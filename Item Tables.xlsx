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https://d.docs.live.net/7cf76eeb51f4e3b0/Documents/"/>
    </mc:Choice>
  </mc:AlternateContent>
  <xr:revisionPtr revIDLastSave="0" documentId="8_{7ABA6566-2725-D642-A2F1-87A35907EA61}" xr6:coauthVersionLast="47" xr6:coauthVersionMax="47" xr10:uidLastSave="{00000000-0000-0000-0000-000000000000}"/>
  <bookViews>
    <workbookView xWindow="38400" yWindow="2355" windowWidth="36285" windowHeight="18525" tabRatio="664" firstSheet="3" activeTab="6" xr2:uid="{63C426FC-C8CC-4360-8D69-00CAD0BC4068}"/>
  </bookViews>
  <sheets>
    <sheet name="Cover Sheet" sheetId="18" r:id="rId1"/>
    <sheet name="DMG Magic Item Tables" sheetId="1" r:id="rId2"/>
    <sheet name="Table A Common" sheetId="8" r:id="rId3"/>
    <sheet name="Table B Minor Uncommon" sheetId="9" r:id="rId4"/>
    <sheet name="Table F Major Uncommon" sheetId="13" r:id="rId5"/>
    <sheet name="Table C Minor Rare" sheetId="10" r:id="rId6"/>
    <sheet name="Table G Major Rare" sheetId="14" r:id="rId7"/>
    <sheet name="Table D Minor Very Rare" sheetId="11" r:id="rId8"/>
    <sheet name="Table H Major Very Rare" sheetId="15" r:id="rId9"/>
    <sheet name="Table E Minor Legendary" sheetId="12" r:id="rId10"/>
    <sheet name="Table I Major Legendary" sheetId="3" r:id="rId11"/>
    <sheet name="All Spells" sheetId="4" r:id="rId12"/>
    <sheet name="Supplemental Types" sheetId="5" r:id="rId13"/>
  </sheets>
  <definedNames>
    <definedName name="_xlnm._FilterDatabase" localSheetId="3" hidden="1">'Table B Minor Uncommon'!$A$2:$E$6</definedName>
    <definedName name="_xlnm._FilterDatabase" localSheetId="10" hidden="1">'Table I Major Legendary'!$P$1:$T$26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3" i="8" l="1"/>
  <c r="AS4" i="8"/>
  <c r="AS5" i="8"/>
  <c r="AS6" i="8"/>
  <c r="AS7" i="8"/>
  <c r="AS8" i="8"/>
  <c r="AS9" i="8"/>
  <c r="AS10" i="8"/>
  <c r="AS11" i="8"/>
  <c r="AS12" i="8"/>
  <c r="AS13" i="8"/>
  <c r="AS14" i="8"/>
  <c r="AS15" i="8"/>
  <c r="AS16" i="8"/>
  <c r="AS17" i="8"/>
  <c r="AS18" i="8"/>
  <c r="AS19" i="8"/>
  <c r="AS20" i="8"/>
  <c r="AS21" i="8"/>
  <c r="AS22" i="8"/>
  <c r="AS23" i="8"/>
  <c r="AS24" i="8"/>
  <c r="AS25" i="8"/>
  <c r="AS26" i="8"/>
  <c r="AS27" i="8"/>
  <c r="AS28" i="8"/>
  <c r="AS29" i="8"/>
  <c r="AS30" i="8"/>
  <c r="AS31" i="8"/>
  <c r="AS32" i="8"/>
  <c r="AS33" i="8"/>
  <c r="AS34" i="8"/>
  <c r="AS35" i="8"/>
  <c r="AS36" i="8"/>
  <c r="AS37" i="8"/>
  <c r="AS38" i="8"/>
  <c r="AS39" i="8"/>
  <c r="AS40" i="8"/>
  <c r="AS41" i="8"/>
  <c r="AS42" i="8"/>
  <c r="AR3" i="8"/>
  <c r="AR4" i="8"/>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CG3" i="8"/>
  <c r="CG4" i="8"/>
  <c r="CG5" i="8"/>
  <c r="CG2" i="8"/>
  <c r="CF3" i="8"/>
  <c r="CF4" i="8"/>
  <c r="CF5" i="8"/>
  <c r="CF2" i="8"/>
  <c r="CL2" i="8"/>
  <c r="CL3" i="8"/>
  <c r="CL4" i="8"/>
  <c r="CL6" i="8"/>
  <c r="CL8" i="8"/>
  <c r="CL9" i="8"/>
  <c r="CL11" i="8"/>
  <c r="CL13" i="8"/>
  <c r="CL14" i="8"/>
  <c r="CL7" i="8"/>
  <c r="CL10" i="8"/>
  <c r="CL12" i="8"/>
  <c r="CK2" i="8"/>
  <c r="CK3" i="8"/>
  <c r="CK4" i="8"/>
  <c r="CK6" i="8"/>
  <c r="CK8" i="8"/>
  <c r="CK9" i="8"/>
  <c r="CK11" i="8"/>
  <c r="CK13" i="8"/>
  <c r="CK14" i="8"/>
  <c r="CK7" i="8"/>
  <c r="CK10" i="8"/>
  <c r="CK12" i="8"/>
  <c r="DG10" i="5"/>
  <c r="DF10" i="5"/>
  <c r="DG11" i="5"/>
  <c r="DF11" i="5"/>
  <c r="DG12" i="5"/>
  <c r="DF12" i="5"/>
  <c r="DG13" i="5"/>
  <c r="DF13" i="5"/>
  <c r="DG14" i="5"/>
  <c r="DF14" i="5"/>
  <c r="DG15" i="5"/>
  <c r="DF15" i="5"/>
  <c r="DG2" i="5"/>
  <c r="DF2" i="5"/>
  <c r="DG16" i="5"/>
  <c r="DF16" i="5"/>
  <c r="DG17" i="5"/>
  <c r="DF17" i="5"/>
  <c r="DG18" i="5"/>
  <c r="DF18" i="5"/>
  <c r="DG19" i="5"/>
  <c r="DF19" i="5"/>
  <c r="DG20" i="5"/>
  <c r="DF20" i="5"/>
  <c r="DG21" i="5"/>
  <c r="DF21" i="5"/>
  <c r="DG8" i="5"/>
  <c r="DF8" i="5"/>
  <c r="DG22" i="5"/>
  <c r="DF22" i="5"/>
  <c r="DG23" i="5"/>
  <c r="DF23" i="5"/>
  <c r="DG24" i="5"/>
  <c r="DF24" i="5"/>
  <c r="DG3" i="5"/>
  <c r="DF3" i="5"/>
  <c r="DG4" i="5"/>
  <c r="DF4" i="5"/>
  <c r="DG5" i="5"/>
  <c r="DF5" i="5"/>
  <c r="DG6" i="5"/>
  <c r="DF6" i="5"/>
  <c r="DG7" i="5"/>
  <c r="DF7" i="5"/>
  <c r="DG9" i="5"/>
  <c r="DF9" i="5"/>
  <c r="DG1" i="5"/>
  <c r="DF1" i="5"/>
  <c r="D1" i="8"/>
  <c r="E1" i="8"/>
  <c r="I1" i="8"/>
  <c r="J1" i="8"/>
  <c r="N1" i="8"/>
  <c r="O1" i="8"/>
  <c r="S1" i="8"/>
  <c r="T1" i="8"/>
  <c r="X1" i="8"/>
  <c r="Y1" i="8"/>
  <c r="AC1" i="8"/>
  <c r="AD1" i="8"/>
  <c r="AH1" i="8"/>
  <c r="AI1" i="8"/>
  <c r="AM1" i="8"/>
  <c r="AN1" i="8"/>
  <c r="AR1" i="8"/>
  <c r="AS1" i="8"/>
  <c r="AW1" i="8"/>
  <c r="AX1" i="8"/>
  <c r="BB1" i="8"/>
  <c r="BC1" i="8"/>
  <c r="BG1" i="8"/>
  <c r="BH1" i="8"/>
  <c r="BL1" i="8"/>
  <c r="BM1" i="8"/>
  <c r="BQ1" i="8"/>
  <c r="BR1" i="8"/>
  <c r="BV1" i="8"/>
  <c r="BW1" i="8"/>
  <c r="CA1" i="8"/>
  <c r="CB1" i="8"/>
  <c r="CF1" i="8"/>
  <c r="CG1" i="8"/>
  <c r="CK1" i="8"/>
  <c r="CL1" i="8"/>
  <c r="CP1" i="8"/>
  <c r="CQ1" i="8"/>
  <c r="CU1" i="8"/>
  <c r="CV1" i="8"/>
  <c r="CZ1" i="8"/>
  <c r="DA1" i="8"/>
  <c r="DE1" i="8"/>
  <c r="DF1" i="8"/>
  <c r="DJ1" i="8"/>
  <c r="DK1" i="8"/>
  <c r="DO1" i="8"/>
  <c r="DP1" i="8"/>
  <c r="DT1" i="8"/>
  <c r="DU1" i="8"/>
  <c r="DY1" i="8"/>
  <c r="DZ1" i="8"/>
  <c r="ED1" i="8"/>
  <c r="EE1" i="8"/>
  <c r="EI1" i="8"/>
  <c r="EJ1" i="8"/>
  <c r="EN1" i="8"/>
  <c r="EO1" i="8"/>
  <c r="ES1" i="8"/>
  <c r="ET1" i="8"/>
  <c r="D2" i="8"/>
  <c r="E2" i="8"/>
  <c r="I6" i="8"/>
  <c r="J6" i="8"/>
  <c r="N2" i="8"/>
  <c r="O2" i="8"/>
  <c r="S2" i="8"/>
  <c r="T2" i="8"/>
  <c r="X2" i="8"/>
  <c r="Y2" i="8"/>
  <c r="AC2" i="8"/>
  <c r="AD2" i="8"/>
  <c r="AH2" i="8"/>
  <c r="AI2" i="8"/>
  <c r="AM2" i="8"/>
  <c r="AN2" i="8"/>
  <c r="AR2" i="8"/>
  <c r="AS2" i="8"/>
  <c r="AW2" i="8"/>
  <c r="AX2" i="8"/>
  <c r="BB2" i="8"/>
  <c r="BC2" i="8"/>
  <c r="BG2" i="8"/>
  <c r="BH2" i="8"/>
  <c r="BL2" i="8"/>
  <c r="BM2" i="8"/>
  <c r="BQ2" i="8"/>
  <c r="BR2" i="8"/>
  <c r="BV2" i="8"/>
  <c r="BW2" i="8"/>
  <c r="CA2" i="8"/>
  <c r="CB2" i="8"/>
  <c r="CF6" i="8"/>
  <c r="CG6" i="8"/>
  <c r="CK5" i="8"/>
  <c r="CL5" i="8"/>
  <c r="CP2" i="8"/>
  <c r="CQ2" i="8"/>
  <c r="CU2" i="8"/>
  <c r="CV2" i="8"/>
  <c r="CZ2" i="8"/>
  <c r="DA2" i="8"/>
  <c r="DE2" i="8"/>
  <c r="DF2" i="8"/>
  <c r="DJ2" i="8"/>
  <c r="DK2" i="8"/>
  <c r="DO2" i="8"/>
  <c r="DP2" i="8"/>
  <c r="DT2" i="8"/>
  <c r="DU2" i="8"/>
  <c r="DY2" i="8"/>
  <c r="DZ2" i="8"/>
  <c r="ED2" i="8"/>
  <c r="EE2" i="8"/>
  <c r="EI2" i="8"/>
  <c r="EJ2" i="8"/>
  <c r="EN2" i="8"/>
  <c r="EO2" i="8"/>
  <c r="ES2" i="8"/>
  <c r="ET2" i="8"/>
  <c r="D3" i="8"/>
  <c r="E3" i="8"/>
  <c r="I8" i="8"/>
  <c r="J8" i="8"/>
  <c r="N3" i="8"/>
  <c r="O3" i="8"/>
  <c r="X3" i="8"/>
  <c r="Y3" i="8"/>
  <c r="AC3" i="8"/>
  <c r="AD3" i="8"/>
  <c r="AH3" i="8"/>
  <c r="AI3" i="8"/>
  <c r="AM3" i="8"/>
  <c r="AN3" i="8"/>
  <c r="AW3" i="8"/>
  <c r="AX3" i="8"/>
  <c r="BB3" i="8"/>
  <c r="BC3" i="8"/>
  <c r="BG3" i="8"/>
  <c r="BH3" i="8"/>
  <c r="BL3" i="8"/>
  <c r="BM3" i="8"/>
  <c r="BQ3" i="8"/>
  <c r="BR3" i="8"/>
  <c r="BV3" i="8"/>
  <c r="BW3" i="8"/>
  <c r="CA3" i="8"/>
  <c r="CB3" i="8"/>
  <c r="CP3" i="8"/>
  <c r="CQ3" i="8"/>
  <c r="CU3" i="8"/>
  <c r="CV3" i="8"/>
  <c r="CZ3" i="8"/>
  <c r="DA3" i="8"/>
  <c r="DE3" i="8"/>
  <c r="DF3" i="8"/>
  <c r="DJ3" i="8"/>
  <c r="DK3" i="8"/>
  <c r="DO3" i="8"/>
  <c r="DP3" i="8"/>
  <c r="DT3" i="8"/>
  <c r="DU3" i="8"/>
  <c r="DY3" i="8"/>
  <c r="DZ3" i="8"/>
  <c r="ED3" i="8"/>
  <c r="EE3" i="8"/>
  <c r="EI3" i="8"/>
  <c r="EJ3" i="8"/>
  <c r="EN3" i="8"/>
  <c r="EO3" i="8"/>
  <c r="ES3" i="8"/>
  <c r="ET3" i="8"/>
  <c r="D4" i="8"/>
  <c r="E4" i="8"/>
  <c r="I9" i="8"/>
  <c r="J9" i="8"/>
  <c r="N4" i="8"/>
  <c r="O4" i="8"/>
  <c r="X4" i="8"/>
  <c r="Y4" i="8"/>
  <c r="AH4" i="8"/>
  <c r="AI4" i="8"/>
  <c r="AM4" i="8"/>
  <c r="AN4" i="8"/>
  <c r="AW4" i="8"/>
  <c r="AX4" i="8"/>
  <c r="BB4" i="8"/>
  <c r="BC4" i="8"/>
  <c r="BG4" i="8"/>
  <c r="BH4" i="8"/>
  <c r="BL4" i="8"/>
  <c r="BM4" i="8"/>
  <c r="BQ4" i="8"/>
  <c r="BR4" i="8"/>
  <c r="BV4" i="8"/>
  <c r="BW4" i="8"/>
  <c r="CA4" i="8"/>
  <c r="CB4" i="8"/>
  <c r="CP4" i="8"/>
  <c r="CQ4" i="8"/>
  <c r="CU4" i="8"/>
  <c r="CV4" i="8"/>
  <c r="DE4" i="8"/>
  <c r="DF4" i="8"/>
  <c r="DJ4" i="8"/>
  <c r="DK4" i="8"/>
  <c r="DO4" i="8"/>
  <c r="DP4" i="8"/>
  <c r="DT4" i="8"/>
  <c r="DU4" i="8"/>
  <c r="DY4" i="8"/>
  <c r="DZ4" i="8"/>
  <c r="EI4" i="8"/>
  <c r="EJ4" i="8"/>
  <c r="EN4" i="8"/>
  <c r="EO4" i="8"/>
  <c r="ES4" i="8"/>
  <c r="ET4" i="8"/>
  <c r="I2" i="8"/>
  <c r="J2" i="8"/>
  <c r="X5" i="8"/>
  <c r="Y5" i="8"/>
  <c r="AH5" i="8"/>
  <c r="AI5" i="8"/>
  <c r="AM5" i="8"/>
  <c r="AN5" i="8"/>
  <c r="AW5" i="8"/>
  <c r="AX5" i="8"/>
  <c r="BB5" i="8"/>
  <c r="BC5" i="8"/>
  <c r="BL5" i="8"/>
  <c r="BM5" i="8"/>
  <c r="CP5" i="8"/>
  <c r="CQ5" i="8"/>
  <c r="CU5" i="8"/>
  <c r="CV5" i="8"/>
  <c r="DE5" i="8"/>
  <c r="DF5" i="8"/>
  <c r="DO5" i="8"/>
  <c r="DP5" i="8"/>
  <c r="DT5" i="8"/>
  <c r="DU5" i="8"/>
  <c r="EI5" i="8"/>
  <c r="EJ5" i="8"/>
  <c r="EN5" i="8"/>
  <c r="EO5" i="8"/>
  <c r="ES5" i="8"/>
  <c r="ET5" i="8"/>
  <c r="I3" i="8"/>
  <c r="J3" i="8"/>
  <c r="AH6" i="8"/>
  <c r="AI6" i="8"/>
  <c r="AM6" i="8"/>
  <c r="AN6" i="8"/>
  <c r="AW6" i="8"/>
  <c r="AX6" i="8"/>
  <c r="BB6" i="8"/>
  <c r="BC6" i="8"/>
  <c r="BL6" i="8"/>
  <c r="BM6" i="8"/>
  <c r="CP6" i="8"/>
  <c r="CQ6" i="8"/>
  <c r="CU6" i="8"/>
  <c r="CV6" i="8"/>
  <c r="DE6" i="8"/>
  <c r="DF6" i="8"/>
  <c r="DO6" i="8"/>
  <c r="DP6" i="8"/>
  <c r="DT6" i="8"/>
  <c r="DU6" i="8"/>
  <c r="EI6" i="8"/>
  <c r="EJ6" i="8"/>
  <c r="EN6" i="8"/>
  <c r="EO6" i="8"/>
  <c r="ES6" i="8"/>
  <c r="ET6" i="8"/>
  <c r="I7" i="8"/>
  <c r="J7" i="8"/>
  <c r="AH7" i="8"/>
  <c r="AI7" i="8"/>
  <c r="BB7" i="8"/>
  <c r="BC7" i="8"/>
  <c r="BL7" i="8"/>
  <c r="BM7" i="8"/>
  <c r="CP7" i="8"/>
  <c r="CQ7" i="8"/>
  <c r="CU7" i="8"/>
  <c r="CV7" i="8"/>
  <c r="DE7" i="8"/>
  <c r="DF7" i="8"/>
  <c r="DO7" i="8"/>
  <c r="DP7" i="8"/>
  <c r="DT7" i="8"/>
  <c r="DU7" i="8"/>
  <c r="EI7" i="8"/>
  <c r="EJ7" i="8"/>
  <c r="EN7" i="8"/>
  <c r="EO7" i="8"/>
  <c r="ES7" i="8"/>
  <c r="ET7" i="8"/>
  <c r="I4" i="8"/>
  <c r="J4" i="8"/>
  <c r="X6" i="8"/>
  <c r="Y6" i="8"/>
  <c r="CP8" i="8"/>
  <c r="CQ8" i="8"/>
  <c r="CU8" i="8"/>
  <c r="CV8" i="8"/>
  <c r="DE8" i="8"/>
  <c r="DF8" i="8"/>
  <c r="DO8" i="8"/>
  <c r="DP8" i="8"/>
  <c r="DT8" i="8"/>
  <c r="DU8" i="8"/>
  <c r="EN8" i="8"/>
  <c r="EO8" i="8"/>
  <c r="ES8" i="8"/>
  <c r="ET8" i="8"/>
  <c r="I5" i="8"/>
  <c r="J5" i="8"/>
  <c r="CP9" i="8"/>
  <c r="CQ9" i="8"/>
  <c r="CU9" i="8"/>
  <c r="CV9" i="8"/>
  <c r="DE9" i="8"/>
  <c r="DF9" i="8"/>
  <c r="DO9" i="8"/>
  <c r="DP9" i="8"/>
  <c r="DT9" i="8"/>
  <c r="DU9" i="8"/>
  <c r="EN9" i="8"/>
  <c r="EO9" i="8"/>
  <c r="ES9" i="8"/>
  <c r="ET9" i="8"/>
  <c r="I10" i="8"/>
  <c r="J10" i="8"/>
  <c r="CP10" i="8"/>
  <c r="CQ10" i="8"/>
  <c r="CU10" i="8"/>
  <c r="CV10" i="8"/>
  <c r="DT10" i="8"/>
  <c r="DU10" i="8"/>
  <c r="EN10" i="8"/>
  <c r="EO10" i="8"/>
  <c r="ES10" i="8"/>
  <c r="ET10" i="8"/>
  <c r="I11" i="8"/>
  <c r="J11" i="8"/>
  <c r="CP11" i="8"/>
  <c r="CQ11" i="8"/>
  <c r="CU11" i="8"/>
  <c r="CV11" i="8"/>
  <c r="EN11" i="8"/>
  <c r="EO11" i="8"/>
  <c r="I12" i="8"/>
  <c r="J12" i="8"/>
  <c r="DB1" i="5"/>
  <c r="CW1" i="5"/>
  <c r="CR1" i="5"/>
  <c r="CM1" i="5"/>
  <c r="CH1" i="5"/>
  <c r="CC1" i="5"/>
  <c r="BX1" i="5"/>
  <c r="BS1" i="5"/>
  <c r="BN1" i="5"/>
  <c r="BI1" i="5"/>
  <c r="BD1" i="5"/>
  <c r="AY1" i="5"/>
  <c r="AT1" i="5"/>
  <c r="AO1" i="5"/>
  <c r="AJ1" i="5"/>
  <c r="AE1" i="5"/>
  <c r="Z1" i="5"/>
  <c r="U1" i="5"/>
  <c r="P1" i="5"/>
  <c r="K1" i="5"/>
  <c r="F1" i="5"/>
  <c r="AX1" i="4"/>
  <c r="AS1" i="4"/>
  <c r="AN1" i="4"/>
  <c r="AI1" i="4"/>
  <c r="AD1" i="4"/>
  <c r="Y1" i="4"/>
  <c r="T1" i="4"/>
  <c r="O1" i="4"/>
  <c r="J1" i="4"/>
  <c r="E1" i="4"/>
  <c r="BH1" i="3"/>
  <c r="BC1" i="3"/>
  <c r="AX1" i="3"/>
  <c r="AS1" i="3"/>
  <c r="AN1" i="3"/>
  <c r="AI1" i="3"/>
  <c r="AD1" i="3"/>
  <c r="Y1" i="3"/>
  <c r="T1" i="3"/>
  <c r="O1" i="3"/>
  <c r="J1" i="3"/>
  <c r="E1" i="3"/>
  <c r="Y1" i="12"/>
  <c r="T1" i="12"/>
  <c r="O1" i="12"/>
  <c r="J1" i="12"/>
  <c r="E1" i="12"/>
  <c r="BR1" i="15"/>
  <c r="BM1" i="15"/>
  <c r="BH1" i="15"/>
  <c r="BC1" i="15"/>
  <c r="AX1" i="15"/>
  <c r="AS1" i="15"/>
  <c r="AN1" i="15"/>
  <c r="AI1" i="15"/>
  <c r="AD1" i="15"/>
  <c r="Y1" i="15"/>
  <c r="T1" i="15"/>
  <c r="O1" i="15"/>
  <c r="J1" i="15"/>
  <c r="E1" i="15"/>
  <c r="AD1" i="11"/>
  <c r="Y1" i="11"/>
  <c r="T1" i="11"/>
  <c r="O1" i="11"/>
  <c r="J1" i="11"/>
  <c r="E1" i="11"/>
  <c r="CB1" i="14"/>
  <c r="BW1" i="14"/>
  <c r="BR1" i="14"/>
  <c r="BM1" i="14"/>
  <c r="BH1" i="14"/>
  <c r="BC1" i="14"/>
  <c r="AX1" i="14"/>
  <c r="AS1" i="14"/>
  <c r="AN1" i="14"/>
  <c r="AI1" i="14"/>
  <c r="AD1" i="14"/>
  <c r="Y1" i="14"/>
  <c r="T1" i="14"/>
  <c r="O1" i="14"/>
  <c r="J1" i="14"/>
  <c r="E1" i="14"/>
  <c r="AN1" i="10"/>
  <c r="AI1" i="10"/>
  <c r="AD1" i="10"/>
  <c r="Y1" i="10"/>
  <c r="T1" i="10"/>
  <c r="O1" i="10"/>
  <c r="J1" i="10"/>
  <c r="E1" i="10"/>
  <c r="AS1" i="13"/>
  <c r="AN1" i="13"/>
  <c r="AI1" i="13"/>
  <c r="AD1" i="13"/>
  <c r="Y1" i="13"/>
  <c r="T1" i="13"/>
  <c r="O1" i="13"/>
  <c r="J1" i="13"/>
  <c r="E1" i="13"/>
  <c r="AI1" i="9"/>
  <c r="AD1" i="9"/>
  <c r="Y1" i="9"/>
  <c r="T1" i="9"/>
  <c r="O1" i="9"/>
  <c r="J1" i="9"/>
  <c r="E1" i="9"/>
  <c r="BC1" i="1"/>
  <c r="AX1" i="1"/>
  <c r="AS1" i="1"/>
  <c r="AN1" i="1"/>
  <c r="AI1" i="1"/>
  <c r="AD1" i="1"/>
  <c r="Y1" i="1"/>
  <c r="T1" i="1"/>
  <c r="O1" i="1"/>
  <c r="J1" i="1"/>
  <c r="E1" i="1"/>
  <c r="J2" i="18"/>
  <c r="AS22" i="13"/>
  <c r="AS23" i="13"/>
  <c r="AS21" i="13"/>
  <c r="AR22" i="13"/>
  <c r="AR23" i="13"/>
  <c r="AR21" i="13"/>
  <c r="AN2" i="10"/>
  <c r="AM2" i="10"/>
  <c r="AM1" i="10"/>
  <c r="X2" i="12"/>
  <c r="Y2" i="12"/>
  <c r="X1" i="12"/>
  <c r="O3" i="3"/>
  <c r="O5" i="3"/>
  <c r="O6" i="3"/>
  <c r="O7" i="3"/>
  <c r="O8" i="3"/>
  <c r="O4" i="3"/>
  <c r="N3" i="3"/>
  <c r="N5" i="3"/>
  <c r="N6" i="3"/>
  <c r="N7" i="3"/>
  <c r="N8" i="3"/>
  <c r="N4" i="3"/>
  <c r="T8" i="3"/>
  <c r="S8" i="3"/>
  <c r="BH4" i="3"/>
  <c r="BH6" i="3"/>
  <c r="BH7" i="3"/>
  <c r="BH8" i="3"/>
  <c r="BH9" i="3"/>
  <c r="BH3" i="3"/>
  <c r="BH5" i="3"/>
  <c r="BG3" i="3"/>
  <c r="BG5" i="3"/>
  <c r="AW5" i="3"/>
  <c r="AW18" i="3"/>
  <c r="AW19" i="3"/>
  <c r="AX19" i="3"/>
  <c r="AX18" i="3"/>
  <c r="AH35" i="13"/>
  <c r="AH36" i="13"/>
  <c r="AH34" i="13"/>
  <c r="AH10" i="13"/>
  <c r="AH11" i="13"/>
  <c r="AH12" i="13"/>
  <c r="AI12" i="13"/>
  <c r="AI11" i="13"/>
  <c r="AI10" i="13"/>
  <c r="AR3" i="13"/>
  <c r="AR4" i="13"/>
  <c r="AR5" i="13"/>
  <c r="AR6" i="13"/>
  <c r="AR7" i="13"/>
  <c r="AR8" i="13"/>
  <c r="AR9" i="13"/>
  <c r="AR10" i="13"/>
  <c r="AR11" i="13"/>
  <c r="AR12" i="13"/>
  <c r="AR13" i="13"/>
  <c r="AR14" i="13"/>
  <c r="AR15" i="13"/>
  <c r="AR16" i="13"/>
  <c r="AR17" i="13"/>
  <c r="AR18" i="13"/>
  <c r="AR19" i="13"/>
  <c r="AR20" i="13"/>
  <c r="BR3" i="15"/>
  <c r="BR4" i="15"/>
  <c r="BR5" i="15"/>
  <c r="BR6" i="15"/>
  <c r="BR7" i="15"/>
  <c r="BR8" i="15"/>
  <c r="BR9" i="15"/>
  <c r="BR10" i="15"/>
  <c r="BR11" i="15"/>
  <c r="BR12" i="15"/>
  <c r="BR13" i="15"/>
  <c r="BR14" i="15"/>
  <c r="BR15" i="15"/>
  <c r="BR16" i="15"/>
  <c r="BR17" i="15"/>
  <c r="BR18" i="15"/>
  <c r="BR19" i="15"/>
  <c r="BR20" i="15"/>
  <c r="BR21" i="15"/>
  <c r="BR22" i="15"/>
  <c r="BR23" i="15"/>
  <c r="BR24" i="15"/>
  <c r="BQ3" i="15"/>
  <c r="BQ4" i="15"/>
  <c r="BQ5" i="15"/>
  <c r="BQ6" i="15"/>
  <c r="BQ7" i="15"/>
  <c r="BQ8" i="15"/>
  <c r="BQ9" i="15"/>
  <c r="BQ10" i="15"/>
  <c r="BQ11" i="15"/>
  <c r="BQ12" i="15"/>
  <c r="BQ13" i="15"/>
  <c r="BQ14" i="15"/>
  <c r="BQ15" i="15"/>
  <c r="BQ16" i="15"/>
  <c r="BQ17" i="15"/>
  <c r="BQ18" i="15"/>
  <c r="BQ19" i="15"/>
  <c r="BQ20" i="15"/>
  <c r="BQ21" i="15"/>
  <c r="BQ22" i="15"/>
  <c r="BQ23" i="15"/>
  <c r="BQ24" i="15"/>
  <c r="AR14" i="15"/>
  <c r="AR13" i="15"/>
  <c r="AR12" i="15"/>
  <c r="AR11" i="15"/>
  <c r="AS11" i="15"/>
  <c r="AS12" i="15"/>
  <c r="AS13" i="15"/>
  <c r="AS14" i="15"/>
  <c r="J3" i="11"/>
  <c r="J4" i="11"/>
  <c r="J5" i="11"/>
  <c r="I3" i="11"/>
  <c r="I4" i="11"/>
  <c r="I5" i="11"/>
  <c r="AM3" i="15"/>
  <c r="AM4" i="15"/>
  <c r="AM5" i="15"/>
  <c r="AM6" i="15"/>
  <c r="AM7" i="15"/>
  <c r="AM8" i="15"/>
  <c r="AM9" i="15"/>
  <c r="AM10" i="15"/>
  <c r="AM11" i="15"/>
  <c r="AM12" i="15"/>
  <c r="AM13" i="15"/>
  <c r="AM14" i="15"/>
  <c r="AM15" i="15"/>
  <c r="AM16" i="15"/>
  <c r="AM17" i="15"/>
  <c r="AM18" i="15"/>
  <c r="AM19" i="15"/>
  <c r="AM20" i="15"/>
  <c r="AM21" i="15"/>
  <c r="AM22" i="15"/>
  <c r="AM23" i="15"/>
  <c r="AM24" i="15"/>
  <c r="AM25" i="15"/>
  <c r="AM26" i="15"/>
  <c r="AM27" i="15"/>
  <c r="AM28" i="15"/>
  <c r="AM29" i="15"/>
  <c r="AM30" i="15"/>
  <c r="AN8" i="15"/>
  <c r="AN30" i="15"/>
  <c r="AN4" i="15"/>
  <c r="AN27" i="15"/>
  <c r="AN25" i="15"/>
  <c r="AN20" i="15"/>
  <c r="AN18" i="15"/>
  <c r="AN17" i="15"/>
  <c r="AN3" i="15"/>
  <c r="AN19" i="15"/>
  <c r="AN6" i="15"/>
  <c r="J3" i="15"/>
  <c r="J4" i="15"/>
  <c r="J5" i="15"/>
  <c r="J6" i="15"/>
  <c r="J7" i="15"/>
  <c r="J8" i="15"/>
  <c r="J9" i="15"/>
  <c r="J10" i="15"/>
  <c r="J11" i="15"/>
  <c r="J12" i="15"/>
  <c r="J13" i="15"/>
  <c r="J14" i="15"/>
  <c r="J15" i="15"/>
  <c r="J16" i="15"/>
  <c r="J17" i="15"/>
  <c r="J18" i="15"/>
  <c r="J19" i="15"/>
  <c r="J20" i="15"/>
  <c r="J21" i="15"/>
  <c r="J22" i="15"/>
  <c r="J23" i="15"/>
  <c r="J24" i="15"/>
  <c r="J25" i="15"/>
  <c r="I3" i="15"/>
  <c r="I4" i="15"/>
  <c r="I5" i="15"/>
  <c r="I6" i="15"/>
  <c r="I7" i="15"/>
  <c r="I8" i="15"/>
  <c r="I9" i="15"/>
  <c r="I10" i="15"/>
  <c r="I11" i="15"/>
  <c r="I12" i="15"/>
  <c r="I13" i="15"/>
  <c r="I14" i="15"/>
  <c r="I15" i="15"/>
  <c r="I16" i="15"/>
  <c r="I17" i="15"/>
  <c r="I18" i="15"/>
  <c r="I19" i="15"/>
  <c r="I20" i="15"/>
  <c r="I21" i="15"/>
  <c r="I22" i="15"/>
  <c r="I23" i="15"/>
  <c r="I24" i="15"/>
  <c r="I25" i="15"/>
  <c r="Y5" i="15"/>
  <c r="Y6" i="15"/>
  <c r="Y7" i="15"/>
  <c r="Y8" i="15"/>
  <c r="Y10" i="15"/>
  <c r="Y11" i="15"/>
  <c r="Y12" i="15"/>
  <c r="X6" i="15"/>
  <c r="X7" i="15"/>
  <c r="X8" i="15"/>
  <c r="X10" i="15"/>
  <c r="X11" i="15"/>
  <c r="X12" i="15"/>
  <c r="BC29" i="15"/>
  <c r="BC23" i="15"/>
  <c r="BC10" i="15"/>
  <c r="BC11" i="15"/>
  <c r="BB23" i="15"/>
  <c r="BB10" i="15"/>
  <c r="BB11" i="15"/>
  <c r="AX5" i="3"/>
  <c r="I16" i="14"/>
  <c r="I17" i="14"/>
  <c r="I18" i="14"/>
  <c r="I19" i="14"/>
  <c r="I20" i="14"/>
  <c r="I21" i="14"/>
  <c r="I22" i="14"/>
  <c r="I23" i="14"/>
  <c r="I24" i="14"/>
  <c r="I25" i="14"/>
  <c r="I26" i="14"/>
  <c r="I27" i="14"/>
  <c r="I28" i="14"/>
  <c r="O3" i="14"/>
  <c r="O4" i="14"/>
  <c r="O5" i="14"/>
  <c r="O6" i="14"/>
  <c r="O7" i="14"/>
  <c r="O8" i="14"/>
  <c r="O9" i="14"/>
  <c r="O10" i="14"/>
  <c r="O11" i="14"/>
  <c r="O12" i="14"/>
  <c r="O13" i="14"/>
  <c r="O14" i="14"/>
  <c r="O15" i="14"/>
  <c r="O16" i="14"/>
  <c r="O17" i="14"/>
  <c r="N3" i="14"/>
  <c r="N4" i="14"/>
  <c r="N5" i="14"/>
  <c r="N6" i="14"/>
  <c r="N7" i="14"/>
  <c r="N8" i="14"/>
  <c r="N9" i="14"/>
  <c r="N10" i="14"/>
  <c r="N11" i="14"/>
  <c r="N12" i="14"/>
  <c r="N13" i="14"/>
  <c r="N14" i="14"/>
  <c r="N15" i="14"/>
  <c r="N16" i="14"/>
  <c r="N17" i="14"/>
  <c r="AW3" i="14"/>
  <c r="AW4" i="14"/>
  <c r="AW5" i="14"/>
  <c r="AW6" i="14"/>
  <c r="AW7" i="14"/>
  <c r="AW8" i="14"/>
  <c r="AW9" i="14"/>
  <c r="AW10" i="14"/>
  <c r="AW11" i="14"/>
  <c r="AW12" i="14"/>
  <c r="AW13" i="14"/>
  <c r="AW14" i="14"/>
  <c r="AW15" i="14"/>
  <c r="AW16" i="14"/>
  <c r="AW17" i="14"/>
  <c r="AW18" i="14"/>
  <c r="AW19" i="14"/>
  <c r="AW20" i="14"/>
  <c r="AW21" i="14"/>
  <c r="AW22" i="14"/>
  <c r="AW23" i="14"/>
  <c r="AW24" i="14"/>
  <c r="AW25" i="14"/>
  <c r="AW26" i="14"/>
  <c r="AW27" i="14"/>
  <c r="AW28" i="14"/>
  <c r="AW29" i="14"/>
  <c r="AW30" i="14"/>
  <c r="AW31" i="14"/>
  <c r="AW32" i="14"/>
  <c r="AW33" i="14"/>
  <c r="AW34" i="14"/>
  <c r="AW35" i="14"/>
  <c r="AW36" i="14"/>
  <c r="AW37" i="14"/>
  <c r="AW38" i="14"/>
  <c r="AW39" i="14"/>
  <c r="AW40" i="14"/>
  <c r="Y14" i="14"/>
  <c r="Y15" i="14"/>
  <c r="Y16" i="14"/>
  <c r="Y17" i="14"/>
  <c r="Y3" i="14"/>
  <c r="Y4" i="14"/>
  <c r="Y5" i="14"/>
  <c r="Y19" i="14"/>
  <c r="Y6" i="14"/>
  <c r="Y23" i="14"/>
  <c r="Y25" i="14"/>
  <c r="Y7" i="14"/>
  <c r="Y28" i="14"/>
  <c r="Y8" i="14"/>
  <c r="Y9" i="14"/>
  <c r="Y10" i="14"/>
  <c r="Y11" i="14"/>
  <c r="Y12" i="14"/>
  <c r="Y13" i="14"/>
  <c r="Y18" i="14"/>
  <c r="Y20" i="14"/>
  <c r="Y21" i="14"/>
  <c r="Y22" i="14"/>
  <c r="Y24" i="14"/>
  <c r="Y26" i="14"/>
  <c r="Y27" i="14"/>
  <c r="Y29" i="14"/>
  <c r="Y30" i="14"/>
  <c r="Y31" i="14"/>
  <c r="Y32" i="14"/>
  <c r="Y33" i="14"/>
  <c r="Y34" i="14"/>
  <c r="Y35" i="14"/>
  <c r="Y36" i="14"/>
  <c r="Y37" i="14"/>
  <c r="Y38" i="14"/>
  <c r="Y39" i="14"/>
  <c r="Y40" i="14"/>
  <c r="Y41" i="14"/>
  <c r="Y42" i="14"/>
  <c r="Y43" i="14"/>
  <c r="X14" i="14"/>
  <c r="X15" i="14"/>
  <c r="X16" i="14"/>
  <c r="X17" i="14"/>
  <c r="X3" i="14"/>
  <c r="X4" i="14"/>
  <c r="X5" i="14"/>
  <c r="X19" i="14"/>
  <c r="X6" i="14"/>
  <c r="X23" i="14"/>
  <c r="X25" i="14"/>
  <c r="X7" i="14"/>
  <c r="X28" i="14"/>
  <c r="X8" i="14"/>
  <c r="X9" i="14"/>
  <c r="X10" i="14"/>
  <c r="X11" i="14"/>
  <c r="X12" i="14"/>
  <c r="X13" i="14"/>
  <c r="X18" i="14"/>
  <c r="X20" i="14"/>
  <c r="X21" i="14"/>
  <c r="X22" i="14"/>
  <c r="X24" i="14"/>
  <c r="X26" i="14"/>
  <c r="X27" i="14"/>
  <c r="X29" i="14"/>
  <c r="X30" i="14"/>
  <c r="X31" i="14"/>
  <c r="X32" i="14"/>
  <c r="X33" i="14"/>
  <c r="X34" i="14"/>
  <c r="X35" i="14"/>
  <c r="X36" i="14"/>
  <c r="X37" i="14"/>
  <c r="X38" i="14"/>
  <c r="X39" i="14"/>
  <c r="X40" i="14"/>
  <c r="X41" i="14"/>
  <c r="X42" i="14"/>
  <c r="X43" i="14"/>
  <c r="BL21" i="14"/>
  <c r="BM21" i="14"/>
  <c r="J28" i="14"/>
  <c r="AH17" i="14"/>
  <c r="AH18" i="14"/>
  <c r="AI18" i="14"/>
  <c r="AI17" i="14"/>
  <c r="J24" i="14"/>
  <c r="AX8" i="14"/>
  <c r="BL19" i="14"/>
  <c r="BM19" i="14"/>
  <c r="AH3" i="13"/>
  <c r="AH4" i="13"/>
  <c r="AH5" i="13"/>
  <c r="AH6" i="13"/>
  <c r="AH7" i="13"/>
  <c r="AH8" i="13"/>
  <c r="AH9" i="13"/>
  <c r="AH13" i="13"/>
  <c r="AH14" i="13"/>
  <c r="AH15" i="13"/>
  <c r="AH16" i="13"/>
  <c r="AH17" i="13"/>
  <c r="AH18" i="13"/>
  <c r="AH19" i="13"/>
  <c r="AH20" i="13"/>
  <c r="AH21" i="13"/>
  <c r="AH22" i="13"/>
  <c r="AH23" i="13"/>
  <c r="AH24" i="13"/>
  <c r="AH25" i="13"/>
  <c r="AH26" i="13"/>
  <c r="AH27" i="13"/>
  <c r="AH28" i="13"/>
  <c r="AH29" i="13"/>
  <c r="AH30" i="13"/>
  <c r="AH31" i="13"/>
  <c r="AH32" i="13"/>
  <c r="AH33" i="13"/>
  <c r="N7" i="13"/>
  <c r="N6" i="13"/>
  <c r="N9" i="13"/>
  <c r="N4" i="13"/>
  <c r="N2" i="13"/>
  <c r="N5" i="13"/>
  <c r="N8" i="13"/>
  <c r="N10" i="13"/>
  <c r="O7" i="13"/>
  <c r="O6" i="13"/>
  <c r="O9" i="13"/>
  <c r="O4" i="13"/>
  <c r="O2" i="13"/>
  <c r="O5" i="13"/>
  <c r="O8" i="13"/>
  <c r="O10" i="13"/>
  <c r="T18" i="13"/>
  <c r="S10" i="13"/>
  <c r="S4" i="13"/>
  <c r="S5" i="13"/>
  <c r="S6" i="13"/>
  <c r="S7" i="13"/>
  <c r="S20" i="13"/>
  <c r="S3" i="13"/>
  <c r="S9" i="13"/>
  <c r="S11" i="13"/>
  <c r="S12" i="13"/>
  <c r="S13" i="13"/>
  <c r="S14" i="13"/>
  <c r="S15" i="13"/>
  <c r="S16" i="13"/>
  <c r="S17" i="13"/>
  <c r="S19" i="13"/>
  <c r="S21" i="13"/>
  <c r="S8" i="13"/>
  <c r="S22" i="13"/>
  <c r="S23" i="13"/>
  <c r="S24" i="13"/>
  <c r="S18" i="13"/>
  <c r="Y4" i="13"/>
  <c r="Y3" i="13"/>
  <c r="Y5" i="13"/>
  <c r="Y6" i="13"/>
  <c r="Y7" i="13"/>
  <c r="Y8" i="13"/>
  <c r="Y9" i="13"/>
  <c r="Y10" i="13"/>
  <c r="Y11" i="13"/>
  <c r="Y12" i="13"/>
  <c r="Y13" i="13"/>
  <c r="Y14" i="13"/>
  <c r="Y15" i="13"/>
  <c r="Y16" i="13"/>
  <c r="Y17" i="13"/>
  <c r="Y18" i="13"/>
  <c r="Y19" i="13"/>
  <c r="X16" i="13"/>
  <c r="X8" i="13"/>
  <c r="X41" i="4"/>
  <c r="Y41" i="4"/>
  <c r="T3" i="4"/>
  <c r="S3" i="4"/>
  <c r="O75" i="4"/>
  <c r="N75" i="4"/>
  <c r="S4" i="9"/>
  <c r="S13" i="9"/>
  <c r="T13" i="9"/>
  <c r="AI4" i="9"/>
  <c r="AH4" i="9"/>
  <c r="AI2" i="9"/>
  <c r="AH2" i="9"/>
  <c r="AI3" i="9"/>
  <c r="AH3" i="9"/>
  <c r="AH1" i="9"/>
  <c r="T9" i="13"/>
  <c r="T22" i="13"/>
  <c r="AI34" i="13"/>
  <c r="T4" i="9"/>
  <c r="AS8" i="13"/>
  <c r="T20" i="13"/>
  <c r="T21" i="13"/>
  <c r="T6" i="13"/>
  <c r="T10" i="13"/>
  <c r="I6" i="14"/>
  <c r="J6" i="14"/>
  <c r="AS7" i="13"/>
  <c r="AI9" i="13"/>
  <c r="AI35" i="13"/>
  <c r="AI36" i="13"/>
  <c r="AI3" i="13"/>
  <c r="J3" i="13"/>
  <c r="J4" i="13"/>
  <c r="J5" i="13"/>
  <c r="J6" i="13"/>
  <c r="J7" i="13"/>
  <c r="J8" i="13"/>
  <c r="J9" i="13"/>
  <c r="J10" i="13"/>
  <c r="J11" i="13"/>
  <c r="J12" i="13"/>
  <c r="J13" i="13"/>
  <c r="J14" i="13"/>
  <c r="J15" i="13"/>
  <c r="J16" i="13"/>
  <c r="J17" i="13"/>
  <c r="J19" i="13"/>
  <c r="J20" i="13"/>
  <c r="J21" i="13"/>
  <c r="J22" i="13"/>
  <c r="J23" i="13"/>
  <c r="J24" i="13"/>
  <c r="J25" i="13"/>
  <c r="J26" i="13"/>
  <c r="J27" i="13"/>
  <c r="J18" i="13"/>
  <c r="I3" i="13"/>
  <c r="I4" i="13"/>
  <c r="I5" i="13"/>
  <c r="I6" i="13"/>
  <c r="I7" i="13"/>
  <c r="I8" i="13"/>
  <c r="I9" i="13"/>
  <c r="I10" i="13"/>
  <c r="I11" i="13"/>
  <c r="I12" i="13"/>
  <c r="I13" i="13"/>
  <c r="I14" i="13"/>
  <c r="I15" i="13"/>
  <c r="I16" i="13"/>
  <c r="I17" i="13"/>
  <c r="I19" i="13"/>
  <c r="I20" i="13"/>
  <c r="I21" i="13"/>
  <c r="I22" i="13"/>
  <c r="I23" i="13"/>
  <c r="I24" i="13"/>
  <c r="I25" i="13"/>
  <c r="I26" i="13"/>
  <c r="I27" i="13"/>
  <c r="I18" i="13"/>
  <c r="J27" i="14"/>
  <c r="E2" i="1"/>
  <c r="I2" i="18"/>
  <c r="J6" i="18"/>
  <c r="J10" i="18"/>
  <c r="I10" i="18"/>
  <c r="J9" i="18"/>
  <c r="I9" i="18"/>
  <c r="J8" i="18"/>
  <c r="I8" i="18"/>
  <c r="J7" i="18"/>
  <c r="I7" i="18"/>
  <c r="I6" i="18"/>
  <c r="J5" i="18"/>
  <c r="I5" i="18"/>
  <c r="J4" i="18"/>
  <c r="I4" i="18"/>
  <c r="J3" i="18"/>
  <c r="I3" i="18"/>
  <c r="CW10" i="5"/>
  <c r="CW11" i="5"/>
  <c r="CW2" i="5"/>
  <c r="CW3" i="5"/>
  <c r="CW4" i="5"/>
  <c r="CW5" i="5"/>
  <c r="CW6" i="5"/>
  <c r="CW12" i="5"/>
  <c r="CW13" i="5"/>
  <c r="CW14" i="5"/>
  <c r="CW15" i="5"/>
  <c r="CW16" i="5"/>
  <c r="CV10" i="5"/>
  <c r="CV11" i="5"/>
  <c r="CV2" i="5"/>
  <c r="CV3" i="5"/>
  <c r="CV4" i="5"/>
  <c r="CV5" i="5"/>
  <c r="CV6" i="5"/>
  <c r="CV12" i="5"/>
  <c r="CV13" i="5"/>
  <c r="CV14" i="5"/>
  <c r="CV15" i="5"/>
  <c r="CV16" i="5"/>
  <c r="CW9" i="5"/>
  <c r="CV9" i="5"/>
  <c r="CW8" i="5"/>
  <c r="CV8" i="5"/>
  <c r="CW7" i="5"/>
  <c r="CV7" i="5"/>
  <c r="CV1" i="5"/>
  <c r="CB1" i="5"/>
  <c r="CB2" i="5"/>
  <c r="CC2" i="5"/>
  <c r="CB3" i="5"/>
  <c r="CC3" i="5"/>
  <c r="CL1" i="5"/>
  <c r="CL2" i="5"/>
  <c r="CM2" i="5"/>
  <c r="CL3" i="5"/>
  <c r="CM3" i="5"/>
  <c r="CL4" i="5"/>
  <c r="CM4" i="5"/>
  <c r="CL5" i="5"/>
  <c r="CM5" i="5"/>
  <c r="CL6" i="5"/>
  <c r="CM6" i="5"/>
  <c r="CQ1" i="5"/>
  <c r="CG1" i="5"/>
  <c r="BR1" i="5"/>
  <c r="BW1" i="5"/>
  <c r="BM1" i="5"/>
  <c r="BH1" i="5"/>
  <c r="BC1" i="5"/>
  <c r="AX1" i="5"/>
  <c r="AS1" i="5"/>
  <c r="AN1" i="5"/>
  <c r="AI1" i="5"/>
  <c r="AD1" i="5"/>
  <c r="Y1" i="5"/>
  <c r="T1" i="5"/>
  <c r="O1" i="5"/>
  <c r="J1" i="5"/>
  <c r="E1" i="5"/>
  <c r="DA1" i="5"/>
  <c r="AH3" i="3"/>
  <c r="AH4" i="3"/>
  <c r="AH5" i="3"/>
  <c r="AH6" i="3"/>
  <c r="AH7" i="3"/>
  <c r="AH8" i="3"/>
  <c r="AH9" i="3"/>
  <c r="AH10" i="3"/>
  <c r="AH11" i="3"/>
  <c r="BC2" i="3"/>
  <c r="BC4" i="3"/>
  <c r="BB2" i="3"/>
  <c r="BB4" i="3"/>
  <c r="BC3" i="3"/>
  <c r="BB3" i="3"/>
  <c r="BB1" i="3"/>
  <c r="AS5" i="3"/>
  <c r="AR5" i="3"/>
  <c r="AS4" i="3"/>
  <c r="AR4" i="3"/>
  <c r="AS3" i="3"/>
  <c r="AR3" i="3"/>
  <c r="AS2" i="3"/>
  <c r="AR2" i="3"/>
  <c r="AR1" i="3"/>
  <c r="AN6" i="3"/>
  <c r="AM6" i="3"/>
  <c r="AN5" i="3"/>
  <c r="AM5" i="3"/>
  <c r="AN4" i="3"/>
  <c r="AM4" i="3"/>
  <c r="AN3" i="3"/>
  <c r="AM3" i="3"/>
  <c r="AN2" i="3"/>
  <c r="AM2" i="3"/>
  <c r="AM1" i="3"/>
  <c r="AH2" i="3"/>
  <c r="BG4" i="3"/>
  <c r="BG6" i="3"/>
  <c r="BG7" i="3"/>
  <c r="BG8" i="3"/>
  <c r="BG9" i="3"/>
  <c r="BG2" i="3"/>
  <c r="D4" i="3"/>
  <c r="E4" i="3"/>
  <c r="D2" i="3"/>
  <c r="E2" i="3"/>
  <c r="D7" i="3"/>
  <c r="E7" i="3"/>
  <c r="D6" i="3"/>
  <c r="E6" i="3"/>
  <c r="D5" i="3"/>
  <c r="E5" i="3"/>
  <c r="E3" i="3"/>
  <c r="D3" i="3"/>
  <c r="D3" i="15"/>
  <c r="D4" i="15"/>
  <c r="D5" i="15"/>
  <c r="D6" i="15"/>
  <c r="D7" i="15"/>
  <c r="AX25" i="14"/>
  <c r="D5" i="14"/>
  <c r="D3" i="14"/>
  <c r="D4" i="14"/>
  <c r="D2" i="14"/>
  <c r="D7" i="14"/>
  <c r="E7" i="14"/>
  <c r="E2" i="14"/>
  <c r="D1" i="14"/>
  <c r="AW1" i="14"/>
  <c r="AH1" i="14"/>
  <c r="AR1" i="14"/>
  <c r="N1" i="14"/>
  <c r="S1" i="14"/>
  <c r="I1" i="14"/>
  <c r="X1" i="14"/>
  <c r="BL1" i="14"/>
  <c r="BQ1" i="14"/>
  <c r="BV1" i="14"/>
  <c r="CA1" i="14"/>
  <c r="BB1" i="14"/>
  <c r="BG1" i="14"/>
  <c r="AM1" i="14"/>
  <c r="AC1" i="14"/>
  <c r="D6" i="14"/>
  <c r="E6" i="14"/>
  <c r="AW2" i="14"/>
  <c r="AX2" i="14"/>
  <c r="AH2" i="14"/>
  <c r="AI2" i="14"/>
  <c r="AR8" i="14"/>
  <c r="AS8" i="14"/>
  <c r="N2" i="14"/>
  <c r="O2" i="14"/>
  <c r="I8" i="14"/>
  <c r="J8" i="14"/>
  <c r="X2" i="14"/>
  <c r="Y2" i="14"/>
  <c r="BL2" i="14"/>
  <c r="BM2" i="14"/>
  <c r="BQ2" i="14"/>
  <c r="BR2" i="14"/>
  <c r="BV2" i="14"/>
  <c r="BW2" i="14"/>
  <c r="CA2" i="14"/>
  <c r="CB2" i="14"/>
  <c r="BB2" i="14"/>
  <c r="BC2" i="14"/>
  <c r="BG2" i="14"/>
  <c r="BH2" i="14"/>
  <c r="AM2" i="14"/>
  <c r="AN2" i="14"/>
  <c r="AC2" i="14"/>
  <c r="AD2" i="14"/>
  <c r="E5" i="14"/>
  <c r="AX17" i="14"/>
  <c r="AH3" i="14"/>
  <c r="AI3" i="14"/>
  <c r="AR2" i="14"/>
  <c r="AS2" i="14"/>
  <c r="S2" i="14"/>
  <c r="T2" i="14"/>
  <c r="I9" i="14"/>
  <c r="J9" i="14"/>
  <c r="BL3" i="14"/>
  <c r="BM3" i="14"/>
  <c r="BQ3" i="14"/>
  <c r="BR3" i="14"/>
  <c r="BV3" i="14"/>
  <c r="BW3" i="14"/>
  <c r="CA3" i="14"/>
  <c r="CB3" i="14"/>
  <c r="BB3" i="14"/>
  <c r="BC3" i="14"/>
  <c r="BG3" i="14"/>
  <c r="BH3" i="14"/>
  <c r="AM3" i="14"/>
  <c r="AN3" i="14"/>
  <c r="AC3" i="14"/>
  <c r="AD3" i="14"/>
  <c r="E3" i="14"/>
  <c r="AX3" i="14"/>
  <c r="AH4" i="14"/>
  <c r="AI4" i="14"/>
  <c r="AR3" i="14"/>
  <c r="AS3" i="14"/>
  <c r="S3" i="14"/>
  <c r="T3" i="14"/>
  <c r="I2" i="14"/>
  <c r="J2" i="14"/>
  <c r="BL4" i="14"/>
  <c r="BM4" i="14"/>
  <c r="BQ4" i="14"/>
  <c r="BR4" i="14"/>
  <c r="BV4" i="14"/>
  <c r="BW4" i="14"/>
  <c r="CA4" i="14"/>
  <c r="CB4" i="14"/>
  <c r="BB4" i="14"/>
  <c r="BC4" i="14"/>
  <c r="BG4" i="14"/>
  <c r="BH4" i="14"/>
  <c r="AM4" i="14"/>
  <c r="AN4" i="14"/>
  <c r="E4" i="14"/>
  <c r="AX4" i="14"/>
  <c r="AH5" i="14"/>
  <c r="AI5" i="14"/>
  <c r="AR4" i="14"/>
  <c r="AS4" i="14"/>
  <c r="I3" i="14"/>
  <c r="J3" i="14"/>
  <c r="BL5" i="14"/>
  <c r="BM5" i="14"/>
  <c r="BQ5" i="14"/>
  <c r="BR5" i="14"/>
  <c r="BV5" i="14"/>
  <c r="BW5" i="14"/>
  <c r="CA5" i="14"/>
  <c r="CB5" i="14"/>
  <c r="BB5" i="14"/>
  <c r="BC5" i="14"/>
  <c r="AM5" i="14"/>
  <c r="AN5" i="14"/>
  <c r="AX5" i="14"/>
  <c r="AH6" i="14"/>
  <c r="AI6" i="14"/>
  <c r="AR5" i="14"/>
  <c r="AS5" i="14"/>
  <c r="I4" i="14"/>
  <c r="J4" i="14"/>
  <c r="BL6" i="14"/>
  <c r="BM6" i="14"/>
  <c r="BQ6" i="14"/>
  <c r="BR6" i="14"/>
  <c r="BV6" i="14"/>
  <c r="BW6" i="14"/>
  <c r="CA6" i="14"/>
  <c r="CB6" i="14"/>
  <c r="BB6" i="14"/>
  <c r="BC6" i="14"/>
  <c r="AM6" i="14"/>
  <c r="AN6" i="14"/>
  <c r="AX6" i="14"/>
  <c r="AH7" i="14"/>
  <c r="AI7" i="14"/>
  <c r="AR6" i="14"/>
  <c r="AS6" i="14"/>
  <c r="I5" i="14"/>
  <c r="J5" i="14"/>
  <c r="BL7" i="14"/>
  <c r="BM7" i="14"/>
  <c r="BQ7" i="14"/>
  <c r="BR7" i="14"/>
  <c r="BV7" i="14"/>
  <c r="BW7" i="14"/>
  <c r="BB7" i="14"/>
  <c r="BC7" i="14"/>
  <c r="AM7" i="14"/>
  <c r="AN7" i="14"/>
  <c r="AX7" i="14"/>
  <c r="AH8" i="14"/>
  <c r="AI8" i="14"/>
  <c r="AR7" i="14"/>
  <c r="AS7" i="14"/>
  <c r="I7" i="14"/>
  <c r="J7" i="14"/>
  <c r="BL8" i="14"/>
  <c r="BM8" i="14"/>
  <c r="BQ8" i="14"/>
  <c r="BR8" i="14"/>
  <c r="BV8" i="14"/>
  <c r="BW8" i="14"/>
  <c r="BB8" i="14"/>
  <c r="BC8" i="14"/>
  <c r="AM8" i="14"/>
  <c r="AN8" i="14"/>
  <c r="AX9" i="14"/>
  <c r="AH9" i="14"/>
  <c r="AI9" i="14"/>
  <c r="J25" i="14"/>
  <c r="BL9" i="14"/>
  <c r="BM9" i="14"/>
  <c r="BQ9" i="14"/>
  <c r="BR9" i="14"/>
  <c r="BV9" i="14"/>
  <c r="BW9" i="14"/>
  <c r="AM9" i="14"/>
  <c r="AN9" i="14"/>
  <c r="AX10" i="14"/>
  <c r="AH10" i="14"/>
  <c r="AI10" i="14"/>
  <c r="I10" i="14"/>
  <c r="J10" i="14"/>
  <c r="BL10" i="14"/>
  <c r="BM10" i="14"/>
  <c r="BQ10" i="14"/>
  <c r="BR10" i="14"/>
  <c r="BV10" i="14"/>
  <c r="BW10" i="14"/>
  <c r="AM10" i="14"/>
  <c r="AN10" i="14"/>
  <c r="AX11" i="14"/>
  <c r="AH11" i="14"/>
  <c r="AI11" i="14"/>
  <c r="I11" i="14"/>
  <c r="J11" i="14"/>
  <c r="BL11" i="14"/>
  <c r="BM11" i="14"/>
  <c r="BQ11" i="14"/>
  <c r="BR11" i="14"/>
  <c r="BV11" i="14"/>
  <c r="BW11" i="14"/>
  <c r="AM11" i="14"/>
  <c r="AN11" i="14"/>
  <c r="AX12" i="14"/>
  <c r="AH12" i="14"/>
  <c r="AI12" i="14"/>
  <c r="I12" i="14"/>
  <c r="J12" i="14"/>
  <c r="BL16" i="14"/>
  <c r="BM16" i="14"/>
  <c r="BQ12" i="14"/>
  <c r="BR12" i="14"/>
  <c r="AH13" i="14"/>
  <c r="AI13" i="14"/>
  <c r="I13" i="14"/>
  <c r="J13" i="14"/>
  <c r="BL17" i="14"/>
  <c r="BM17" i="14"/>
  <c r="BQ13" i="14"/>
  <c r="BR13" i="14"/>
  <c r="AX13" i="14"/>
  <c r="AH14" i="14"/>
  <c r="AI14" i="14"/>
  <c r="I14" i="14"/>
  <c r="J14" i="14"/>
  <c r="BL18" i="14"/>
  <c r="BM18" i="14"/>
  <c r="AX14" i="14"/>
  <c r="AH15" i="14"/>
  <c r="AI15" i="14"/>
  <c r="I15" i="14"/>
  <c r="J15" i="14"/>
  <c r="BL20" i="14"/>
  <c r="BM20" i="14"/>
  <c r="AX15" i="14"/>
  <c r="AH16" i="14"/>
  <c r="AI16" i="14"/>
  <c r="J16" i="14"/>
  <c r="BL12" i="14"/>
  <c r="BM12" i="14"/>
  <c r="AX28" i="14"/>
  <c r="J17" i="14"/>
  <c r="BL13" i="14"/>
  <c r="BM13" i="14"/>
  <c r="AX29" i="14"/>
  <c r="J18" i="14"/>
  <c r="BL14" i="14"/>
  <c r="BM14" i="14"/>
  <c r="AX30" i="14"/>
  <c r="J19" i="14"/>
  <c r="BL15" i="14"/>
  <c r="BM15" i="14"/>
  <c r="AX16" i="14"/>
  <c r="J20" i="14"/>
  <c r="AX19" i="14"/>
  <c r="J21" i="14"/>
  <c r="AX20" i="14"/>
  <c r="J22" i="14"/>
  <c r="AX21" i="14"/>
  <c r="J23" i="14"/>
  <c r="AX22" i="14"/>
  <c r="J26" i="14"/>
  <c r="AX23" i="14"/>
  <c r="AX18" i="14"/>
  <c r="AX24" i="14"/>
  <c r="AX26" i="14"/>
  <c r="AX27" i="14"/>
  <c r="AX31" i="14"/>
  <c r="AX32" i="14"/>
  <c r="AX33" i="14"/>
  <c r="AX34" i="14"/>
  <c r="AX35" i="14"/>
  <c r="AX36" i="14"/>
  <c r="AX37" i="14"/>
  <c r="AX38" i="14"/>
  <c r="AX39" i="14"/>
  <c r="AX40" i="14"/>
  <c r="T3" i="13"/>
  <c r="T4" i="13"/>
  <c r="T12" i="13"/>
  <c r="T5" i="13"/>
  <c r="T7" i="13"/>
  <c r="T17" i="13"/>
  <c r="T19" i="13"/>
  <c r="T11" i="13"/>
  <c r="T13" i="13"/>
  <c r="T14" i="13"/>
  <c r="T15" i="13"/>
  <c r="T16" i="13"/>
  <c r="T23" i="13"/>
  <c r="T8" i="13"/>
  <c r="T24" i="13"/>
  <c r="E5" i="13"/>
  <c r="E6" i="13"/>
  <c r="E3" i="13"/>
  <c r="E7" i="13"/>
  <c r="E2" i="13"/>
  <c r="D5" i="13"/>
  <c r="D6" i="13"/>
  <c r="D3" i="13"/>
  <c r="D7" i="13"/>
  <c r="D2" i="13"/>
  <c r="S2" i="13"/>
  <c r="CG6" i="5"/>
  <c r="D32" i="4"/>
  <c r="D33" i="4"/>
  <c r="D34" i="4"/>
  <c r="D35" i="4"/>
  <c r="D36" i="4"/>
  <c r="D37" i="4"/>
  <c r="D38" i="4"/>
  <c r="D39" i="4"/>
  <c r="D40" i="4"/>
  <c r="D41" i="4"/>
  <c r="D42" i="4"/>
  <c r="D43" i="4"/>
  <c r="D44" i="4"/>
  <c r="D45" i="4"/>
  <c r="D46" i="4"/>
  <c r="J2" i="13"/>
  <c r="I2" i="13"/>
  <c r="AS3" i="13"/>
  <c r="AS4" i="13"/>
  <c r="AS5" i="13"/>
  <c r="AS6" i="13"/>
  <c r="AS15" i="13"/>
  <c r="AS16" i="13"/>
  <c r="AS9" i="13"/>
  <c r="AS10" i="13"/>
  <c r="AS11" i="13"/>
  <c r="AS12" i="13"/>
  <c r="AS13" i="13"/>
  <c r="AS14" i="13"/>
  <c r="AS17" i="13"/>
  <c r="AS18" i="13"/>
  <c r="AS19" i="13"/>
  <c r="AS20" i="13"/>
  <c r="AR2" i="13"/>
  <c r="AI5" i="13"/>
  <c r="X3" i="13"/>
  <c r="X4" i="13"/>
  <c r="X5" i="13"/>
  <c r="X6" i="13"/>
  <c r="X7" i="13"/>
  <c r="X9" i="13"/>
  <c r="X10" i="13"/>
  <c r="X11" i="13"/>
  <c r="X12" i="13"/>
  <c r="X13" i="13"/>
  <c r="X14" i="13"/>
  <c r="X15" i="13"/>
  <c r="X17" i="13"/>
  <c r="X18" i="13"/>
  <c r="X19" i="13"/>
  <c r="AI13" i="13"/>
  <c r="AI32" i="13"/>
  <c r="I1" i="13"/>
  <c r="BC22" i="15"/>
  <c r="BB22" i="15"/>
  <c r="O2" i="3"/>
  <c r="N2" i="3"/>
  <c r="N1" i="3"/>
  <c r="AC3" i="3"/>
  <c r="AD3" i="3"/>
  <c r="AC8" i="3"/>
  <c r="AD8" i="3"/>
  <c r="AC10" i="3"/>
  <c r="AC12" i="3"/>
  <c r="AD12" i="3"/>
  <c r="AD10" i="3"/>
  <c r="Y10" i="3"/>
  <c r="X10" i="3"/>
  <c r="Y9" i="3"/>
  <c r="X9" i="3"/>
  <c r="Y3" i="3"/>
  <c r="X3" i="3"/>
  <c r="Y8" i="3"/>
  <c r="X8" i="3"/>
  <c r="Y7" i="3"/>
  <c r="X7" i="3"/>
  <c r="Y6" i="3"/>
  <c r="X6" i="3"/>
  <c r="Y5" i="3"/>
  <c r="X5" i="3"/>
  <c r="Y4" i="3"/>
  <c r="X4" i="3"/>
  <c r="Y2" i="3"/>
  <c r="X2" i="3"/>
  <c r="X1" i="3"/>
  <c r="AD11" i="3"/>
  <c r="AC11" i="3"/>
  <c r="AD9" i="3"/>
  <c r="AC9" i="3"/>
  <c r="AD7" i="3"/>
  <c r="AC7" i="3"/>
  <c r="AD6" i="3"/>
  <c r="AC6" i="3"/>
  <c r="AD2" i="3"/>
  <c r="AC2" i="3"/>
  <c r="AD5" i="3"/>
  <c r="AC5" i="3"/>
  <c r="AD4" i="3"/>
  <c r="AC4" i="3"/>
  <c r="AC1" i="3"/>
  <c r="AI4" i="3"/>
  <c r="AI5" i="3"/>
  <c r="AI6" i="3"/>
  <c r="AI3" i="3"/>
  <c r="AI8" i="3"/>
  <c r="AI7" i="3"/>
  <c r="AI2" i="3"/>
  <c r="AI9" i="3"/>
  <c r="AI10" i="3"/>
  <c r="AI11" i="3"/>
  <c r="AX9" i="3"/>
  <c r="AX21" i="3"/>
  <c r="AX3" i="3"/>
  <c r="AX4" i="3"/>
  <c r="AX7" i="3"/>
  <c r="AX6" i="3"/>
  <c r="AX8" i="3"/>
  <c r="AX17" i="3"/>
  <c r="AX10" i="3"/>
  <c r="AX12" i="3"/>
  <c r="AX11" i="3"/>
  <c r="AX13" i="3"/>
  <c r="AX14" i="3"/>
  <c r="AX15" i="3"/>
  <c r="AX16" i="3"/>
  <c r="AX20" i="3"/>
  <c r="AW9" i="3"/>
  <c r="AW21" i="3"/>
  <c r="AW3" i="3"/>
  <c r="AW4" i="3"/>
  <c r="AW7" i="3"/>
  <c r="AW6" i="3"/>
  <c r="AW8" i="3"/>
  <c r="AW17" i="3"/>
  <c r="AW10" i="3"/>
  <c r="AW12" i="3"/>
  <c r="AW11" i="3"/>
  <c r="AW13" i="3"/>
  <c r="AW14" i="3"/>
  <c r="AW15" i="3"/>
  <c r="AW16" i="3"/>
  <c r="AW20" i="3"/>
  <c r="BH2" i="3"/>
  <c r="J8" i="3"/>
  <c r="J5" i="3"/>
  <c r="J6" i="3"/>
  <c r="J7" i="3"/>
  <c r="J3" i="3"/>
  <c r="J9" i="3"/>
  <c r="J4" i="3"/>
  <c r="J10" i="3"/>
  <c r="I8" i="3"/>
  <c r="I5" i="3"/>
  <c r="I6" i="3"/>
  <c r="I7" i="3"/>
  <c r="I3" i="3"/>
  <c r="I9" i="3"/>
  <c r="I4" i="3"/>
  <c r="I10" i="3"/>
  <c r="S10" i="3"/>
  <c r="S12" i="3"/>
  <c r="S7" i="3"/>
  <c r="S11" i="3"/>
  <c r="S15" i="3"/>
  <c r="S2" i="3"/>
  <c r="S9" i="3"/>
  <c r="S4" i="3"/>
  <c r="S13" i="3"/>
  <c r="S5" i="3"/>
  <c r="S6" i="3"/>
  <c r="S14" i="3"/>
  <c r="T10" i="3"/>
  <c r="T12" i="3"/>
  <c r="T7" i="3"/>
  <c r="T11" i="3"/>
  <c r="T15" i="3"/>
  <c r="T2" i="3"/>
  <c r="T9" i="3"/>
  <c r="T4" i="3"/>
  <c r="T13" i="3"/>
  <c r="T5" i="3"/>
  <c r="T6" i="3"/>
  <c r="T14" i="3"/>
  <c r="AS2" i="15"/>
  <c r="AR2" i="15"/>
  <c r="AX3" i="15"/>
  <c r="AX4" i="15"/>
  <c r="AW3" i="15"/>
  <c r="AW4" i="15"/>
  <c r="AX2" i="15"/>
  <c r="AW2" i="15"/>
  <c r="AW1" i="15"/>
  <c r="D1" i="3"/>
  <c r="AW2" i="3"/>
  <c r="AX2" i="3"/>
  <c r="T3" i="3"/>
  <c r="S3" i="3"/>
  <c r="J2" i="3"/>
  <c r="I2" i="3"/>
  <c r="AH1" i="3"/>
  <c r="AW1" i="3"/>
  <c r="BG1" i="3"/>
  <c r="I1" i="3"/>
  <c r="S1" i="3"/>
  <c r="J3" i="12"/>
  <c r="I3" i="12"/>
  <c r="J2" i="12"/>
  <c r="I2" i="12"/>
  <c r="I1" i="12"/>
  <c r="CR4" i="5"/>
  <c r="CQ4" i="5"/>
  <c r="CR3" i="5"/>
  <c r="CQ3" i="5"/>
  <c r="CR2" i="5"/>
  <c r="CQ2" i="5"/>
  <c r="O4" i="12"/>
  <c r="O5" i="12"/>
  <c r="N4" i="12"/>
  <c r="N5" i="12"/>
  <c r="O3" i="12"/>
  <c r="N3" i="12"/>
  <c r="O2" i="12"/>
  <c r="N2" i="12"/>
  <c r="N1" i="12"/>
  <c r="S3" i="12"/>
  <c r="S4" i="12"/>
  <c r="S5" i="12"/>
  <c r="T5" i="12"/>
  <c r="T4" i="12"/>
  <c r="T3" i="12"/>
  <c r="T2" i="12"/>
  <c r="S2" i="12"/>
  <c r="S1" i="12"/>
  <c r="CG2" i="5"/>
  <c r="CH2" i="5"/>
  <c r="CG3" i="5"/>
  <c r="CH3" i="5"/>
  <c r="CG4" i="5"/>
  <c r="CH4" i="5"/>
  <c r="CG5" i="5"/>
  <c r="CH5" i="5"/>
  <c r="CH6" i="5"/>
  <c r="AS9" i="15"/>
  <c r="AS6" i="15"/>
  <c r="AS10" i="15"/>
  <c r="AS3" i="15"/>
  <c r="AS4" i="15"/>
  <c r="AS5" i="15"/>
  <c r="AS7" i="15"/>
  <c r="AS15" i="15"/>
  <c r="AR9" i="15"/>
  <c r="AR6" i="15"/>
  <c r="AR10" i="15"/>
  <c r="AR3" i="15"/>
  <c r="AR4" i="15"/>
  <c r="AR5" i="15"/>
  <c r="AR7" i="15"/>
  <c r="AR15" i="15"/>
  <c r="BM8" i="15"/>
  <c r="BM9" i="15"/>
  <c r="BM10" i="15"/>
  <c r="BL3" i="15"/>
  <c r="BL4" i="15"/>
  <c r="BL5" i="15"/>
  <c r="BL6" i="15"/>
  <c r="BL7" i="15"/>
  <c r="BL8" i="15"/>
  <c r="BL9" i="15"/>
  <c r="BL10" i="15"/>
  <c r="BM7" i="15"/>
  <c r="BM6" i="15"/>
  <c r="BM5" i="15"/>
  <c r="BM4" i="15"/>
  <c r="BM3" i="15"/>
  <c r="BM2" i="15"/>
  <c r="BL2" i="15"/>
  <c r="BL1" i="15"/>
  <c r="X5" i="15"/>
  <c r="X3" i="15"/>
  <c r="X4" i="15"/>
  <c r="X9" i="15"/>
  <c r="Y3" i="15"/>
  <c r="Y4" i="15"/>
  <c r="Y9" i="15"/>
  <c r="BH3" i="15"/>
  <c r="BH4" i="15"/>
  <c r="BH5" i="15"/>
  <c r="BH6" i="15"/>
  <c r="BH7" i="15"/>
  <c r="BG3" i="15"/>
  <c r="BG4" i="15"/>
  <c r="BG5" i="15"/>
  <c r="BG6" i="15"/>
  <c r="BG7" i="15"/>
  <c r="BH2" i="15"/>
  <c r="BG2" i="15"/>
  <c r="BG1" i="15"/>
  <c r="BB3" i="15"/>
  <c r="BB6" i="15"/>
  <c r="BB7" i="15"/>
  <c r="BB8" i="15"/>
  <c r="BB9" i="15"/>
  <c r="BB12" i="15"/>
  <c r="BB25" i="15"/>
  <c r="BB5" i="15"/>
  <c r="BB13" i="15"/>
  <c r="BB14" i="15"/>
  <c r="BB2" i="15"/>
  <c r="BB15" i="15"/>
  <c r="BB16" i="15"/>
  <c r="BB17" i="15"/>
  <c r="BB18" i="15"/>
  <c r="BB19" i="15"/>
  <c r="BB20" i="15"/>
  <c r="BB26" i="15"/>
  <c r="BB27" i="15"/>
  <c r="BB28" i="15"/>
  <c r="BB21" i="15"/>
  <c r="BB24" i="15"/>
  <c r="BB29" i="15"/>
  <c r="D2" i="15"/>
  <c r="E2" i="15"/>
  <c r="J2" i="15"/>
  <c r="I2" i="15"/>
  <c r="I1" i="15"/>
  <c r="AD5" i="15"/>
  <c r="AD2" i="15"/>
  <c r="AD6" i="15"/>
  <c r="AD4" i="15"/>
  <c r="AC5" i="15"/>
  <c r="AC2" i="15"/>
  <c r="AC6" i="15"/>
  <c r="AC4" i="15"/>
  <c r="AD3" i="15"/>
  <c r="AC3" i="15"/>
  <c r="AC1" i="15"/>
  <c r="E4" i="15"/>
  <c r="E3" i="15"/>
  <c r="E6" i="15"/>
  <c r="E7" i="15"/>
  <c r="E5" i="15"/>
  <c r="AN7" i="15"/>
  <c r="AN23" i="15"/>
  <c r="AN9" i="15"/>
  <c r="AN10" i="15"/>
  <c r="AN11" i="15"/>
  <c r="AN12" i="15"/>
  <c r="AN13" i="15"/>
  <c r="AN14" i="15"/>
  <c r="AN15" i="15"/>
  <c r="AN16" i="15"/>
  <c r="AN21" i="15"/>
  <c r="AN22" i="15"/>
  <c r="AN24" i="15"/>
  <c r="AN26" i="15"/>
  <c r="AN28" i="15"/>
  <c r="AN5" i="15"/>
  <c r="AN29" i="15"/>
  <c r="T2" i="13"/>
  <c r="T3" i="15"/>
  <c r="S3" i="15"/>
  <c r="T2" i="15"/>
  <c r="S2" i="15"/>
  <c r="S1" i="15"/>
  <c r="O11" i="15"/>
  <c r="N11" i="15"/>
  <c r="O10" i="15"/>
  <c r="N10" i="15"/>
  <c r="O9" i="15"/>
  <c r="N9" i="15"/>
  <c r="O8" i="15"/>
  <c r="N8" i="15"/>
  <c r="O7" i="15"/>
  <c r="N7" i="15"/>
  <c r="O6" i="15"/>
  <c r="N6" i="15"/>
  <c r="O5" i="15"/>
  <c r="N5" i="15"/>
  <c r="O4" i="15"/>
  <c r="N4" i="15"/>
  <c r="O3" i="15"/>
  <c r="N3" i="15"/>
  <c r="O2" i="15"/>
  <c r="N2" i="15"/>
  <c r="N1" i="15"/>
  <c r="AM2" i="15"/>
  <c r="BR2" i="15"/>
  <c r="BQ2" i="15"/>
  <c r="BQ1" i="15"/>
  <c r="AI11" i="15"/>
  <c r="AH11" i="15"/>
  <c r="AI10" i="15"/>
  <c r="AH10" i="15"/>
  <c r="AI9" i="15"/>
  <c r="AH9" i="15"/>
  <c r="AI8" i="15"/>
  <c r="AH8" i="15"/>
  <c r="AI7" i="15"/>
  <c r="AH7" i="15"/>
  <c r="AI6" i="15"/>
  <c r="AH6" i="15"/>
  <c r="AI5" i="15"/>
  <c r="AH5" i="15"/>
  <c r="AI4" i="15"/>
  <c r="AH4" i="15"/>
  <c r="AI3" i="15"/>
  <c r="AH3" i="15"/>
  <c r="AI2" i="15"/>
  <c r="AH2" i="15"/>
  <c r="AH1" i="15"/>
  <c r="E5" i="11"/>
  <c r="E6" i="11"/>
  <c r="E3" i="11"/>
  <c r="E4" i="11"/>
  <c r="D5" i="11"/>
  <c r="D6" i="11"/>
  <c r="D3" i="11"/>
  <c r="D4" i="11"/>
  <c r="T2" i="11"/>
  <c r="T3" i="11"/>
  <c r="T7" i="11"/>
  <c r="T8" i="11"/>
  <c r="T5" i="11"/>
  <c r="T10" i="11"/>
  <c r="O2" i="11"/>
  <c r="O5" i="11"/>
  <c r="S9" i="11"/>
  <c r="S2" i="11"/>
  <c r="S3" i="11"/>
  <c r="S7" i="11"/>
  <c r="S8" i="11"/>
  <c r="S5" i="11"/>
  <c r="S10" i="11"/>
  <c r="N2" i="11"/>
  <c r="N5" i="11"/>
  <c r="AC4" i="11"/>
  <c r="AC5" i="11"/>
  <c r="AC6" i="11"/>
  <c r="AC7" i="11"/>
  <c r="X9" i="11"/>
  <c r="X10" i="11"/>
  <c r="X3" i="11"/>
  <c r="X4" i="11"/>
  <c r="X6" i="11"/>
  <c r="X7" i="11"/>
  <c r="X8" i="11"/>
  <c r="D2" i="9"/>
  <c r="S6" i="9"/>
  <c r="S7" i="9"/>
  <c r="S8" i="9"/>
  <c r="S9" i="9"/>
  <c r="S10" i="9"/>
  <c r="S11" i="9"/>
  <c r="S12" i="9"/>
  <c r="S14" i="9"/>
  <c r="S15" i="9"/>
  <c r="S16" i="9"/>
  <c r="S18" i="9"/>
  <c r="S19" i="9"/>
  <c r="S20" i="9"/>
  <c r="S21" i="9"/>
  <c r="S22" i="9"/>
  <c r="S23" i="9"/>
  <c r="S24" i="9"/>
  <c r="S25" i="9"/>
  <c r="S26" i="9"/>
  <c r="S27" i="9"/>
  <c r="S28" i="9"/>
  <c r="S29" i="9"/>
  <c r="S30" i="9"/>
  <c r="S31" i="9"/>
  <c r="I6" i="9"/>
  <c r="I3" i="9"/>
  <c r="I7" i="9"/>
  <c r="I9" i="9"/>
  <c r="I10" i="9"/>
  <c r="I11" i="9"/>
  <c r="X3" i="9"/>
  <c r="X4" i="9"/>
  <c r="X5" i="9"/>
  <c r="X6" i="9"/>
  <c r="X7" i="9"/>
  <c r="X8" i="9"/>
  <c r="X9" i="9"/>
  <c r="AC3" i="9"/>
  <c r="AC4" i="9"/>
  <c r="AC5" i="9"/>
  <c r="AC2" i="9"/>
  <c r="AC1" i="9"/>
  <c r="X2" i="9"/>
  <c r="X1" i="9"/>
  <c r="N5" i="9"/>
  <c r="N4" i="9"/>
  <c r="N3" i="9"/>
  <c r="N2" i="9"/>
  <c r="N1" i="9"/>
  <c r="I5" i="9"/>
  <c r="I8" i="9"/>
  <c r="I4" i="9"/>
  <c r="I2" i="9"/>
  <c r="I1" i="9"/>
  <c r="S17" i="9"/>
  <c r="S5" i="9"/>
  <c r="S3" i="9"/>
  <c r="S2" i="9"/>
  <c r="S1" i="9"/>
  <c r="D6" i="9"/>
  <c r="D3" i="9"/>
  <c r="D4" i="9"/>
  <c r="D5" i="9"/>
  <c r="D1" i="9"/>
  <c r="X2" i="13"/>
  <c r="D4" i="13"/>
  <c r="D1" i="13"/>
  <c r="S1" i="13"/>
  <c r="AR1" i="13"/>
  <c r="X1" i="13"/>
  <c r="AC5" i="13"/>
  <c r="AC4" i="13"/>
  <c r="AC3" i="13"/>
  <c r="AC2" i="13"/>
  <c r="AC1" i="13"/>
  <c r="AH2" i="13"/>
  <c r="AH1" i="13"/>
  <c r="AM4" i="13"/>
  <c r="AM3" i="13"/>
  <c r="AM2" i="13"/>
  <c r="AM1" i="13"/>
  <c r="N3" i="13"/>
  <c r="N1" i="13"/>
  <c r="D2" i="10"/>
  <c r="X6" i="10"/>
  <c r="X7" i="10"/>
  <c r="X8" i="10"/>
  <c r="X9" i="10"/>
  <c r="X10" i="10"/>
  <c r="X11" i="10"/>
  <c r="X12" i="10"/>
  <c r="X13" i="10"/>
  <c r="X14" i="10"/>
  <c r="X15" i="10"/>
  <c r="X16" i="10"/>
  <c r="I3" i="10"/>
  <c r="I5" i="10"/>
  <c r="I6" i="10"/>
  <c r="I7" i="10"/>
  <c r="I8" i="10"/>
  <c r="I9" i="10"/>
  <c r="I10" i="10"/>
  <c r="I11" i="10"/>
  <c r="I4" i="10"/>
  <c r="I12" i="10"/>
  <c r="I13" i="10"/>
  <c r="I14" i="10"/>
  <c r="AC6" i="10"/>
  <c r="AC7" i="10"/>
  <c r="AC8" i="10"/>
  <c r="AC9" i="10"/>
  <c r="AC10" i="10"/>
  <c r="AC11" i="10"/>
  <c r="AC12" i="10"/>
  <c r="AC13" i="10"/>
  <c r="AC14" i="10"/>
  <c r="AC15" i="10"/>
  <c r="AC16" i="10"/>
  <c r="S6" i="10"/>
  <c r="S7" i="10"/>
  <c r="N6" i="10"/>
  <c r="N7" i="10"/>
  <c r="N8" i="10"/>
  <c r="N9" i="10"/>
  <c r="N5" i="10"/>
  <c r="N4" i="10"/>
  <c r="N3" i="10"/>
  <c r="N2" i="10"/>
  <c r="N1" i="10"/>
  <c r="S5" i="10"/>
  <c r="S4" i="10"/>
  <c r="S3" i="10"/>
  <c r="S2" i="10"/>
  <c r="S1" i="10"/>
  <c r="AC5" i="10"/>
  <c r="AC4" i="10"/>
  <c r="AC3" i="10"/>
  <c r="AC2" i="10"/>
  <c r="AC1" i="10"/>
  <c r="AH5" i="10"/>
  <c r="AH4" i="10"/>
  <c r="AH3" i="10"/>
  <c r="AH2" i="10"/>
  <c r="AH1" i="10"/>
  <c r="I2" i="10"/>
  <c r="I1" i="10"/>
  <c r="X5" i="10"/>
  <c r="X4" i="10"/>
  <c r="X3" i="10"/>
  <c r="X2" i="10"/>
  <c r="X1" i="10"/>
  <c r="D6" i="10"/>
  <c r="D4" i="10"/>
  <c r="D3" i="10"/>
  <c r="D5" i="10"/>
  <c r="D1" i="10"/>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7" i="4"/>
  <c r="I68" i="4"/>
  <c r="I69" i="4"/>
  <c r="I70" i="4"/>
  <c r="I71" i="4"/>
  <c r="I72" i="4"/>
  <c r="I73" i="4"/>
  <c r="I74" i="4"/>
  <c r="I75" i="4"/>
  <c r="I76" i="4"/>
  <c r="I77" i="4"/>
  <c r="I78" i="4"/>
  <c r="I66"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6" i="4"/>
  <c r="N77" i="4"/>
  <c r="N78" i="4"/>
  <c r="N79" i="4"/>
  <c r="N80" i="4"/>
  <c r="N81" i="4"/>
  <c r="N82" i="4"/>
  <c r="N83" i="4"/>
  <c r="N84" i="4"/>
  <c r="N85"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15" i="4"/>
  <c r="X32" i="4"/>
  <c r="X33" i="4"/>
  <c r="X34" i="4"/>
  <c r="X35" i="4"/>
  <c r="X36" i="4"/>
  <c r="X37" i="4"/>
  <c r="X38" i="4"/>
  <c r="X39" i="4"/>
  <c r="X40" i="4"/>
  <c r="X42" i="4"/>
  <c r="X43" i="4"/>
  <c r="X44" i="4"/>
  <c r="X45" i="4"/>
  <c r="X46" i="4"/>
  <c r="X47" i="4"/>
  <c r="X48" i="4"/>
  <c r="X49" i="4"/>
  <c r="X50" i="4"/>
  <c r="X51" i="4"/>
  <c r="X52"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H32" i="4"/>
  <c r="AH33" i="4"/>
  <c r="AH34" i="4"/>
  <c r="AH35" i="4"/>
  <c r="AH36" i="4"/>
  <c r="AH37" i="4"/>
  <c r="AH38" i="4"/>
  <c r="AH39" i="4"/>
  <c r="AH40" i="4"/>
  <c r="AH41" i="4"/>
  <c r="AH42" i="4"/>
  <c r="AH43" i="4"/>
  <c r="AH44" i="4"/>
  <c r="AH45" i="4"/>
  <c r="AH46" i="4"/>
  <c r="AH47" i="4"/>
  <c r="AH48" i="4"/>
  <c r="AH49" i="4"/>
  <c r="AW23" i="4"/>
  <c r="AW22" i="4"/>
  <c r="AW21" i="4"/>
  <c r="AW20" i="4"/>
  <c r="AW19" i="4"/>
  <c r="AW18" i="4"/>
  <c r="AW17" i="4"/>
  <c r="AW16" i="4"/>
  <c r="AW15" i="4"/>
  <c r="AW14" i="4"/>
  <c r="AW13" i="4"/>
  <c r="AW12" i="4"/>
  <c r="AW11" i="4"/>
  <c r="AW10" i="4"/>
  <c r="AW9" i="4"/>
  <c r="AW8" i="4"/>
  <c r="AW7" i="4"/>
  <c r="AW6" i="4"/>
  <c r="AW5" i="4"/>
  <c r="AW4" i="4"/>
  <c r="AW3" i="4"/>
  <c r="AW2" i="4"/>
  <c r="AW1" i="4"/>
  <c r="AR25" i="4"/>
  <c r="AR24" i="4"/>
  <c r="AR23" i="4"/>
  <c r="AR22" i="4"/>
  <c r="AR21" i="4"/>
  <c r="AR20" i="4"/>
  <c r="AR19" i="4"/>
  <c r="AR18" i="4"/>
  <c r="AR17" i="4"/>
  <c r="AR16" i="4"/>
  <c r="AR15" i="4"/>
  <c r="AR14" i="4"/>
  <c r="AR13" i="4"/>
  <c r="AR12" i="4"/>
  <c r="AR11" i="4"/>
  <c r="AR10" i="4"/>
  <c r="AR9" i="4"/>
  <c r="AR8" i="4"/>
  <c r="AR7" i="4"/>
  <c r="AR6" i="4"/>
  <c r="AR5" i="4"/>
  <c r="AR4" i="4"/>
  <c r="AR3" i="4"/>
  <c r="AR2" i="4"/>
  <c r="AR1" i="4"/>
  <c r="AM29" i="4"/>
  <c r="AM28" i="4"/>
  <c r="AM27" i="4"/>
  <c r="AM26" i="4"/>
  <c r="AM25" i="4"/>
  <c r="AM24" i="4"/>
  <c r="AM23" i="4"/>
  <c r="AM22" i="4"/>
  <c r="AM21" i="4"/>
  <c r="AM20" i="4"/>
  <c r="AM19" i="4"/>
  <c r="AM18" i="4"/>
  <c r="AM17" i="4"/>
  <c r="AM16" i="4"/>
  <c r="AM15" i="4"/>
  <c r="AM14" i="4"/>
  <c r="AM13" i="4"/>
  <c r="AM12" i="4"/>
  <c r="AM11" i="4"/>
  <c r="AM10" i="4"/>
  <c r="AM9" i="4"/>
  <c r="AM8" i="4"/>
  <c r="AM7" i="4"/>
  <c r="AM6" i="4"/>
  <c r="AM5" i="4"/>
  <c r="AM4" i="4"/>
  <c r="AM3" i="4"/>
  <c r="AM2" i="4"/>
  <c r="AM1" i="4"/>
  <c r="AH31" i="4"/>
  <c r="AH30" i="4"/>
  <c r="AH29" i="4"/>
  <c r="AH28" i="4"/>
  <c r="AH27" i="4"/>
  <c r="AH26" i="4"/>
  <c r="AH25" i="4"/>
  <c r="AH24" i="4"/>
  <c r="AH23" i="4"/>
  <c r="AH22" i="4"/>
  <c r="AH21" i="4"/>
  <c r="AH20" i="4"/>
  <c r="AH19" i="4"/>
  <c r="AH18" i="4"/>
  <c r="AH17" i="4"/>
  <c r="AH16" i="4"/>
  <c r="AH15" i="4"/>
  <c r="AH14" i="4"/>
  <c r="AH13" i="4"/>
  <c r="AH12" i="4"/>
  <c r="AH11" i="4"/>
  <c r="AH10" i="4"/>
  <c r="AH9" i="4"/>
  <c r="AH8" i="4"/>
  <c r="AH7" i="4"/>
  <c r="AH6" i="4"/>
  <c r="AH5" i="4"/>
  <c r="AH4" i="4"/>
  <c r="AH3" i="4"/>
  <c r="AH2" i="4"/>
  <c r="AH1" i="4"/>
  <c r="AC31" i="4"/>
  <c r="AC30" i="4"/>
  <c r="AC29" i="4"/>
  <c r="AC28" i="4"/>
  <c r="AC27" i="4"/>
  <c r="AC26" i="4"/>
  <c r="AC25" i="4"/>
  <c r="AC24" i="4"/>
  <c r="AC23" i="4"/>
  <c r="AC22" i="4"/>
  <c r="AC21" i="4"/>
  <c r="AC20" i="4"/>
  <c r="AC19" i="4"/>
  <c r="AC18" i="4"/>
  <c r="AC17" i="4"/>
  <c r="AC16" i="4"/>
  <c r="AC15" i="4"/>
  <c r="AC14" i="4"/>
  <c r="AC13" i="4"/>
  <c r="AC12" i="4"/>
  <c r="AC11" i="4"/>
  <c r="AC10" i="4"/>
  <c r="AC9" i="4"/>
  <c r="AC8" i="4"/>
  <c r="AC7" i="4"/>
  <c r="AC6" i="4"/>
  <c r="AC5" i="4"/>
  <c r="AC4" i="4"/>
  <c r="AC3" i="4"/>
  <c r="AC2" i="4"/>
  <c r="AC1" i="4"/>
  <c r="X31" i="4"/>
  <c r="X30" i="4"/>
  <c r="X29" i="4"/>
  <c r="X28" i="4"/>
  <c r="X27" i="4"/>
  <c r="X26" i="4"/>
  <c r="X25" i="4"/>
  <c r="X24" i="4"/>
  <c r="X23" i="4"/>
  <c r="X22" i="4"/>
  <c r="X21" i="4"/>
  <c r="X20" i="4"/>
  <c r="X19" i="4"/>
  <c r="X18" i="4"/>
  <c r="X17" i="4"/>
  <c r="X16" i="4"/>
  <c r="X15" i="4"/>
  <c r="X14" i="4"/>
  <c r="X13" i="4"/>
  <c r="X12" i="4"/>
  <c r="X11" i="4"/>
  <c r="X10" i="4"/>
  <c r="X9" i="4"/>
  <c r="X8" i="4"/>
  <c r="X7" i="4"/>
  <c r="X6" i="4"/>
  <c r="X5" i="4"/>
  <c r="X4" i="4"/>
  <c r="X3" i="4"/>
  <c r="X2" i="4"/>
  <c r="X1"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D1" i="4"/>
  <c r="S33" i="4"/>
  <c r="S32" i="4"/>
  <c r="S31" i="4"/>
  <c r="S30" i="4"/>
  <c r="S29" i="4"/>
  <c r="S28" i="4"/>
  <c r="S27" i="4"/>
  <c r="S26" i="4"/>
  <c r="S25" i="4"/>
  <c r="S24" i="4"/>
  <c r="S23" i="4"/>
  <c r="S22" i="4"/>
  <c r="S21" i="4"/>
  <c r="S20" i="4"/>
  <c r="S19" i="4"/>
  <c r="S18" i="4"/>
  <c r="S17" i="4"/>
  <c r="S16" i="4"/>
  <c r="S14" i="4"/>
  <c r="S13" i="4"/>
  <c r="S12" i="4"/>
  <c r="S11" i="4"/>
  <c r="S10" i="4"/>
  <c r="S9" i="4"/>
  <c r="S8" i="4"/>
  <c r="S7" i="4"/>
  <c r="S6" i="4"/>
  <c r="S5" i="4"/>
  <c r="S4" i="4"/>
  <c r="S2" i="4"/>
  <c r="S1"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N1"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2" i="4"/>
  <c r="I1" i="4"/>
  <c r="D2" i="12"/>
  <c r="D3" i="12"/>
  <c r="D4" i="12"/>
  <c r="D5" i="12"/>
  <c r="D1" i="12"/>
  <c r="AR8" i="15"/>
  <c r="AR1" i="15"/>
  <c r="BB4" i="15"/>
  <c r="BB1" i="15"/>
  <c r="AM1" i="15"/>
  <c r="D1" i="15"/>
  <c r="X2" i="15"/>
  <c r="X1" i="15"/>
  <c r="D1" i="11"/>
  <c r="D2" i="11"/>
  <c r="X5" i="11"/>
  <c r="X2" i="11"/>
  <c r="X1" i="11"/>
  <c r="AC3" i="11"/>
  <c r="AC2" i="11"/>
  <c r="AC1" i="11"/>
  <c r="I2" i="11"/>
  <c r="I1" i="11"/>
  <c r="S6" i="11"/>
  <c r="S4" i="11"/>
  <c r="S1" i="11"/>
  <c r="N1" i="11"/>
  <c r="N4" i="11"/>
  <c r="N3" i="11"/>
  <c r="BC9" i="15"/>
  <c r="BC26" i="15"/>
  <c r="BC27" i="15"/>
  <c r="BC28" i="15"/>
  <c r="BC3" i="15"/>
  <c r="BC12" i="15"/>
  <c r="BC25" i="15"/>
  <c r="BC5" i="15"/>
  <c r="BC2" i="15"/>
  <c r="BC15" i="15"/>
  <c r="BC16" i="15"/>
  <c r="BC4" i="15"/>
  <c r="BC7" i="15"/>
  <c r="BC8" i="15"/>
  <c r="BC13" i="15"/>
  <c r="BC14" i="15"/>
  <c r="BC17" i="15"/>
  <c r="BC18" i="15"/>
  <c r="BC19" i="15"/>
  <c r="BC20" i="15"/>
  <c r="BC21" i="15"/>
  <c r="BC24" i="15"/>
  <c r="Y2" i="15"/>
  <c r="BC6" i="15"/>
  <c r="AN2" i="15"/>
  <c r="AS8" i="15"/>
  <c r="BR3" i="5"/>
  <c r="BR5" i="5"/>
  <c r="BR6" i="5"/>
  <c r="BR2" i="5"/>
  <c r="BR4" i="5"/>
  <c r="BW3" i="5"/>
  <c r="BW2" i="5"/>
  <c r="BM3" i="5"/>
  <c r="BM2" i="5"/>
  <c r="BH6" i="5"/>
  <c r="BH7" i="5"/>
  <c r="BH5" i="5"/>
  <c r="BH4" i="5"/>
  <c r="BH3" i="5"/>
  <c r="BH2" i="5"/>
  <c r="BC5" i="5"/>
  <c r="BC4" i="5"/>
  <c r="BC3" i="5"/>
  <c r="BC2" i="5"/>
  <c r="AX6" i="5"/>
  <c r="AX5" i="5"/>
  <c r="AX4" i="5"/>
  <c r="AX3" i="5"/>
  <c r="AX2" i="5"/>
  <c r="AS6" i="5"/>
  <c r="AS7" i="5"/>
  <c r="AS8" i="5"/>
  <c r="AS9" i="5"/>
  <c r="AS10" i="5"/>
  <c r="AS11" i="5"/>
  <c r="AS12" i="5"/>
  <c r="AS13" i="5"/>
  <c r="AS14" i="5"/>
  <c r="AS15" i="5"/>
  <c r="AS16" i="5"/>
  <c r="AS17" i="5"/>
  <c r="AS18" i="5"/>
  <c r="AS19" i="5"/>
  <c r="AS20" i="5"/>
  <c r="AS5" i="5"/>
  <c r="AS4" i="5"/>
  <c r="AS3" i="5"/>
  <c r="AS2" i="5"/>
  <c r="AN5" i="5"/>
  <c r="AN4" i="5"/>
  <c r="AN3" i="5"/>
  <c r="AN2" i="5"/>
  <c r="AI6" i="5"/>
  <c r="AI7" i="5"/>
  <c r="AI8" i="5"/>
  <c r="AI9" i="5"/>
  <c r="AI10" i="5"/>
  <c r="AI11" i="5"/>
  <c r="AI5" i="5"/>
  <c r="AI4" i="5"/>
  <c r="AI3" i="5"/>
  <c r="AI2" i="5"/>
  <c r="AD5" i="5"/>
  <c r="AD4" i="5"/>
  <c r="AD3" i="5"/>
  <c r="AD2" i="5"/>
  <c r="Y6" i="5"/>
  <c r="Y7" i="5"/>
  <c r="Y8" i="5"/>
  <c r="Y9" i="5"/>
  <c r="Y5" i="5"/>
  <c r="Y4" i="5"/>
  <c r="Y3" i="5"/>
  <c r="Y2" i="5"/>
  <c r="T5" i="5"/>
  <c r="T4" i="5"/>
  <c r="T3" i="5"/>
  <c r="T2" i="5"/>
  <c r="O5" i="5"/>
  <c r="O6" i="5"/>
  <c r="O4" i="5"/>
  <c r="O3" i="5"/>
  <c r="O2" i="5"/>
  <c r="J4" i="5"/>
  <c r="J3" i="5"/>
  <c r="J2" i="5"/>
  <c r="E4" i="5"/>
  <c r="E3" i="5"/>
  <c r="E2" i="5"/>
  <c r="DA11" i="5"/>
  <c r="DA10" i="5"/>
  <c r="DA9" i="5"/>
  <c r="DA8" i="5"/>
  <c r="DA7" i="5"/>
  <c r="DA6" i="5"/>
  <c r="DA5" i="5"/>
  <c r="DA4" i="5"/>
  <c r="DA3" i="5"/>
  <c r="DA2" i="5"/>
  <c r="AX2" i="4"/>
  <c r="AX3" i="4"/>
  <c r="AX4" i="4"/>
  <c r="AX5" i="4"/>
  <c r="AX6" i="4"/>
  <c r="AX7" i="4"/>
  <c r="AX8" i="4"/>
  <c r="AX9" i="4"/>
  <c r="AX10" i="4"/>
  <c r="AX11" i="4"/>
  <c r="AX12" i="4"/>
  <c r="AX13" i="4"/>
  <c r="AX14" i="4"/>
  <c r="AX15" i="4"/>
  <c r="AX16" i="4"/>
  <c r="AX17" i="4"/>
  <c r="AX18" i="4"/>
  <c r="AX19" i="4"/>
  <c r="AX20" i="4"/>
  <c r="AX21" i="4"/>
  <c r="AX22" i="4"/>
  <c r="AX23" i="4"/>
  <c r="AS2" i="4"/>
  <c r="AS3" i="4"/>
  <c r="AS4" i="4"/>
  <c r="AS5" i="4"/>
  <c r="AS6" i="4"/>
  <c r="AS7" i="4"/>
  <c r="AS8" i="4"/>
  <c r="AS9" i="4"/>
  <c r="AS10" i="4"/>
  <c r="AS11" i="4"/>
  <c r="AS12" i="4"/>
  <c r="AS13" i="4"/>
  <c r="AS14" i="4"/>
  <c r="AS15" i="4"/>
  <c r="AS16" i="4"/>
  <c r="AS17" i="4"/>
  <c r="AS18" i="4"/>
  <c r="AS19" i="4"/>
  <c r="AS20" i="4"/>
  <c r="AS21" i="4"/>
  <c r="AS22" i="4"/>
  <c r="AS23" i="4"/>
  <c r="AS24" i="4"/>
  <c r="AS25" i="4"/>
  <c r="AN2" i="4"/>
  <c r="AN3" i="4"/>
  <c r="AN4" i="4"/>
  <c r="AN5" i="4"/>
  <c r="AN6" i="4"/>
  <c r="AN7" i="4"/>
  <c r="AN8" i="4"/>
  <c r="AN9" i="4"/>
  <c r="AN10" i="4"/>
  <c r="AN11" i="4"/>
  <c r="AN12" i="4"/>
  <c r="AN13" i="4"/>
  <c r="AN14" i="4"/>
  <c r="AN15" i="4"/>
  <c r="AN16" i="4"/>
  <c r="AN17" i="4"/>
  <c r="AN18" i="4"/>
  <c r="AN19" i="4"/>
  <c r="AN20" i="4"/>
  <c r="AN21" i="4"/>
  <c r="AN22" i="4"/>
  <c r="AN23" i="4"/>
  <c r="AN24" i="4"/>
  <c r="AN25" i="4"/>
  <c r="AN26" i="4"/>
  <c r="AN27" i="4"/>
  <c r="AN28" i="4"/>
  <c r="AN29" i="4"/>
  <c r="AI3" i="4"/>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2" i="4"/>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2" i="4"/>
  <c r="Y43" i="4"/>
  <c r="Y44" i="4"/>
  <c r="Y45" i="4"/>
  <c r="Y46" i="4"/>
  <c r="Y47" i="4"/>
  <c r="Y48" i="4"/>
  <c r="Y49" i="4"/>
  <c r="Y50" i="4"/>
  <c r="Y51" i="4"/>
  <c r="Y52" i="4"/>
  <c r="Y2"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6" i="4"/>
  <c r="O77" i="4"/>
  <c r="O78" i="4"/>
  <c r="O79" i="4"/>
  <c r="O80" i="4"/>
  <c r="O81" i="4"/>
  <c r="O82" i="4"/>
  <c r="O83" i="4"/>
  <c r="O84" i="4"/>
  <c r="O85" i="4"/>
  <c r="O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2" i="4"/>
  <c r="BB6" i="1"/>
  <c r="BB7" i="1"/>
  <c r="BB8" i="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M6" i="1"/>
  <c r="AM7" i="1"/>
  <c r="AM8"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X6" i="1"/>
  <c r="X7" i="1"/>
  <c r="X8" i="1"/>
  <c r="S6" i="1"/>
  <c r="S7" i="1"/>
  <c r="S8" i="1"/>
  <c r="S9" i="1"/>
  <c r="S10" i="1"/>
  <c r="S11" i="1"/>
  <c r="S12" i="1"/>
  <c r="S13" i="1"/>
  <c r="S14" i="1"/>
  <c r="S15" i="1"/>
  <c r="S16" i="1"/>
  <c r="S17" i="1"/>
  <c r="N6" i="1"/>
  <c r="N7" i="1"/>
  <c r="N8" i="1"/>
  <c r="N9" i="1"/>
  <c r="N10" i="1"/>
  <c r="N11" i="1"/>
  <c r="N12" i="1"/>
  <c r="N13" i="1"/>
  <c r="N14" i="1"/>
  <c r="N15" i="1"/>
  <c r="N16" i="1"/>
  <c r="N17" i="1"/>
  <c r="N18" i="1"/>
  <c r="N19" i="1"/>
  <c r="N20" i="1"/>
  <c r="N21" i="1"/>
  <c r="N22" i="1"/>
  <c r="N23" i="1"/>
  <c r="N24" i="1"/>
  <c r="N25" i="1"/>
  <c r="N26" i="1"/>
  <c r="N27" i="1"/>
  <c r="N28" i="1"/>
  <c r="N29"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D6" i="1"/>
  <c r="D7" i="1"/>
  <c r="D8" i="1"/>
  <c r="D9" i="1"/>
  <c r="D5" i="1"/>
  <c r="D4" i="1"/>
  <c r="D3" i="1"/>
  <c r="D2" i="1"/>
  <c r="D1" i="1"/>
  <c r="I5" i="1"/>
  <c r="I4" i="1"/>
  <c r="I3" i="1"/>
  <c r="I2" i="1"/>
  <c r="I1" i="1"/>
  <c r="N5" i="1"/>
  <c r="N4" i="1"/>
  <c r="N3" i="1"/>
  <c r="N2" i="1"/>
  <c r="N1" i="1"/>
  <c r="S5" i="1"/>
  <c r="S4" i="1"/>
  <c r="S3" i="1"/>
  <c r="S2" i="1"/>
  <c r="S1" i="1"/>
  <c r="X5" i="1"/>
  <c r="X4" i="1"/>
  <c r="X3" i="1"/>
  <c r="X2" i="1"/>
  <c r="X1" i="1"/>
  <c r="AC5" i="1"/>
  <c r="AC4" i="1"/>
  <c r="AC3" i="1"/>
  <c r="AC2" i="1"/>
  <c r="AC1" i="1"/>
  <c r="AH5" i="1"/>
  <c r="AH4" i="1"/>
  <c r="AH3" i="1"/>
  <c r="AH2" i="1"/>
  <c r="AH1" i="1"/>
  <c r="AM5" i="1"/>
  <c r="AM4" i="1"/>
  <c r="AM3" i="1"/>
  <c r="AM2" i="1"/>
  <c r="AM1" i="1"/>
  <c r="AR5" i="1"/>
  <c r="AR4" i="1"/>
  <c r="AR3" i="1"/>
  <c r="AR2" i="1"/>
  <c r="AR1" i="1"/>
  <c r="AW5" i="1"/>
  <c r="AW4" i="1"/>
  <c r="AW3" i="1"/>
  <c r="AW2" i="1"/>
  <c r="AW1" i="1"/>
  <c r="BB5" i="1"/>
  <c r="BB4" i="1"/>
  <c r="BB3" i="1"/>
  <c r="BB2" i="1"/>
  <c r="BB1" i="1"/>
  <c r="Y2" i="13"/>
  <c r="AD2" i="13"/>
  <c r="AD3" i="13"/>
  <c r="AD4" i="13"/>
  <c r="AD5" i="13"/>
  <c r="Y16" i="10"/>
  <c r="J2" i="11"/>
  <c r="Y7" i="11"/>
  <c r="Y8" i="11"/>
  <c r="O2" i="9"/>
  <c r="O3" i="9"/>
  <c r="O4" i="9"/>
  <c r="O5" i="9"/>
  <c r="AD7" i="11"/>
  <c r="AD6" i="11"/>
  <c r="AD5" i="11"/>
  <c r="T9" i="11"/>
  <c r="T6" i="11"/>
  <c r="T4" i="11"/>
  <c r="O4" i="11"/>
  <c r="O3" i="11"/>
  <c r="AD4" i="11"/>
  <c r="AD3" i="11"/>
  <c r="AD2" i="11"/>
  <c r="Y10" i="11"/>
  <c r="Y6" i="11"/>
  <c r="Y3" i="11"/>
  <c r="Y4" i="11"/>
  <c r="Y9" i="11"/>
  <c r="Y5" i="11"/>
  <c r="Y2" i="11"/>
  <c r="F4" i="5"/>
  <c r="F3" i="5"/>
  <c r="F2" i="5"/>
  <c r="K4" i="5"/>
  <c r="K3" i="5"/>
  <c r="K2" i="5"/>
  <c r="J11" i="10"/>
  <c r="AD4" i="10"/>
  <c r="AD12" i="10"/>
  <c r="AD13" i="10"/>
  <c r="AD14" i="10"/>
  <c r="J7" i="10"/>
  <c r="J8" i="10"/>
  <c r="J9" i="10"/>
  <c r="J12" i="10"/>
  <c r="J14" i="10"/>
  <c r="J3" i="10"/>
  <c r="J13" i="10"/>
  <c r="Y8" i="10"/>
  <c r="Y11" i="10"/>
  <c r="Y2" i="10"/>
  <c r="Y4" i="10"/>
  <c r="Y5" i="10"/>
  <c r="Y6" i="10"/>
  <c r="AI17" i="13"/>
  <c r="AI4" i="13"/>
  <c r="AI15" i="13"/>
  <c r="AI16" i="13"/>
  <c r="AI30" i="13"/>
  <c r="AI28" i="13"/>
  <c r="AI29" i="13"/>
  <c r="BX3" i="5"/>
  <c r="BX2" i="5"/>
  <c r="BS6" i="5"/>
  <c r="BS4" i="5"/>
  <c r="BS2" i="5"/>
  <c r="BS3" i="5"/>
  <c r="BS5" i="5"/>
  <c r="AI6" i="13"/>
  <c r="AD7" i="10"/>
  <c r="AI21" i="13"/>
  <c r="E4" i="10"/>
  <c r="Y9" i="10"/>
  <c r="Y10" i="10"/>
  <c r="Y12" i="10"/>
  <c r="Y13" i="10"/>
  <c r="Y3" i="10"/>
  <c r="Y14" i="10"/>
  <c r="Y15" i="10"/>
  <c r="Y7" i="10"/>
  <c r="J2" i="10"/>
  <c r="J5" i="10"/>
  <c r="J6" i="10"/>
  <c r="J10" i="10"/>
  <c r="E3" i="10"/>
  <c r="J4" i="10"/>
  <c r="AI4" i="10"/>
  <c r="AI5" i="10"/>
  <c r="E6" i="10"/>
  <c r="AI3" i="10"/>
  <c r="AI2" i="10"/>
  <c r="E5" i="10"/>
  <c r="AD5" i="10"/>
  <c r="AD6" i="10"/>
  <c r="AD9" i="10"/>
  <c r="AD8" i="10"/>
  <c r="AD16" i="10"/>
  <c r="AD10" i="10"/>
  <c r="AD11" i="10"/>
  <c r="AD15" i="10"/>
  <c r="AD3" i="10"/>
  <c r="AD2" i="10"/>
  <c r="J4" i="9"/>
  <c r="J8" i="9"/>
  <c r="J5" i="9"/>
  <c r="J6" i="9"/>
  <c r="J3" i="9"/>
  <c r="J7" i="9"/>
  <c r="J9" i="9"/>
  <c r="J10" i="9"/>
  <c r="J11" i="9"/>
  <c r="BI5" i="5"/>
  <c r="AT9" i="5"/>
  <c r="AT10" i="5"/>
  <c r="AT11" i="5"/>
  <c r="AT6" i="5"/>
  <c r="AT5" i="5"/>
  <c r="AT12" i="5"/>
  <c r="AT18" i="5"/>
  <c r="AT2" i="5"/>
  <c r="AT13" i="5"/>
  <c r="AT7" i="5"/>
  <c r="AT14" i="5"/>
  <c r="AT15" i="5"/>
  <c r="AT16" i="5"/>
  <c r="AT3" i="5"/>
  <c r="AT19" i="5"/>
  <c r="AT20" i="5"/>
  <c r="AT8" i="5"/>
  <c r="AT17" i="5"/>
  <c r="AO4" i="5"/>
  <c r="AO3" i="5"/>
  <c r="AO5" i="5"/>
  <c r="AS2" i="13"/>
  <c r="AI2" i="13"/>
  <c r="AI23" i="13"/>
  <c r="AI24" i="13"/>
  <c r="AI25" i="13"/>
  <c r="AI26" i="13"/>
  <c r="AI27" i="13"/>
  <c r="AI7" i="13"/>
  <c r="AI8" i="13"/>
  <c r="AI14" i="13"/>
  <c r="AI31" i="13"/>
  <c r="AI18" i="13"/>
  <c r="AI19" i="13"/>
  <c r="AI20" i="13"/>
  <c r="AI33" i="13"/>
  <c r="AN4" i="13"/>
  <c r="AN3" i="13"/>
  <c r="AN2" i="13"/>
  <c r="E4" i="13"/>
  <c r="O3" i="13"/>
  <c r="Z9" i="5"/>
  <c r="Z8" i="5"/>
  <c r="Z7" i="5"/>
  <c r="T19" i="9"/>
  <c r="T23" i="9"/>
  <c r="T25" i="9"/>
  <c r="T6" i="9"/>
  <c r="T10" i="9"/>
  <c r="T2" i="9"/>
  <c r="T31" i="9"/>
  <c r="T30" i="9"/>
  <c r="T24" i="9"/>
  <c r="T9" i="9"/>
  <c r="T17" i="9"/>
  <c r="T26" i="9"/>
  <c r="E5" i="9"/>
  <c r="Y9" i="9"/>
  <c r="T3" i="9"/>
  <c r="T28" i="9"/>
  <c r="T27" i="9"/>
  <c r="T22" i="9"/>
  <c r="T21" i="9"/>
  <c r="T20" i="9"/>
  <c r="T18" i="9"/>
  <c r="T5" i="9"/>
  <c r="T16" i="9"/>
  <c r="T15" i="9"/>
  <c r="T14" i="9"/>
  <c r="T12" i="9"/>
  <c r="T11" i="9"/>
  <c r="T8" i="9"/>
  <c r="T7" i="9"/>
  <c r="T29" i="9"/>
  <c r="J2" i="9"/>
  <c r="Y5" i="9"/>
  <c r="Y6" i="9"/>
  <c r="Y7" i="9"/>
  <c r="Y8" i="9"/>
  <c r="Y2" i="9"/>
  <c r="Y3" i="9"/>
  <c r="Y4" i="9"/>
  <c r="AI22" i="13"/>
  <c r="AD3" i="9"/>
  <c r="AD2" i="9"/>
  <c r="AD5" i="9"/>
  <c r="AD4" i="9"/>
  <c r="O9" i="10"/>
  <c r="O8" i="10"/>
  <c r="O7" i="10"/>
  <c r="O6" i="10"/>
  <c r="O5" i="10"/>
  <c r="O4" i="10"/>
  <c r="O3" i="10"/>
  <c r="O2" i="10"/>
  <c r="T7" i="10"/>
  <c r="T6" i="10"/>
  <c r="T5" i="10"/>
  <c r="T4" i="10"/>
  <c r="T3" i="10"/>
  <c r="T2" i="10"/>
  <c r="E5" i="12"/>
  <c r="E4" i="12"/>
  <c r="E3" i="12"/>
  <c r="E2" i="12"/>
  <c r="E2" i="11"/>
  <c r="E2" i="10"/>
  <c r="E2" i="9"/>
  <c r="E6" i="9"/>
  <c r="E3" i="9"/>
  <c r="E4" i="9"/>
  <c r="Z5" i="5"/>
  <c r="Z4" i="5"/>
  <c r="Z3" i="5"/>
  <c r="Z2" i="5"/>
  <c r="P2" i="5"/>
  <c r="BN3" i="5"/>
  <c r="BN2" i="5"/>
  <c r="BD5" i="5"/>
  <c r="BD4" i="5"/>
  <c r="BD3" i="5"/>
  <c r="BD2" i="5"/>
  <c r="BI4" i="5"/>
  <c r="BI2" i="5"/>
  <c r="BI6" i="5"/>
  <c r="BI7" i="5"/>
  <c r="BI3" i="5"/>
  <c r="Z6" i="5"/>
  <c r="P6" i="5"/>
  <c r="P5" i="5"/>
  <c r="P4" i="5"/>
  <c r="P3" i="5"/>
  <c r="U5" i="5"/>
  <c r="U4" i="5"/>
  <c r="U3" i="5"/>
  <c r="U2" i="5"/>
  <c r="AJ6" i="5"/>
  <c r="AJ11" i="5"/>
  <c r="AJ5" i="5"/>
  <c r="AJ9" i="5"/>
  <c r="AJ8" i="5"/>
  <c r="AJ4" i="5"/>
  <c r="AJ3" i="5"/>
  <c r="AJ10" i="5"/>
  <c r="AJ2" i="5"/>
  <c r="AJ7" i="5"/>
  <c r="AO2" i="5"/>
  <c r="AT4" i="5"/>
  <c r="AE3" i="5"/>
  <c r="AE4" i="5"/>
  <c r="AE5" i="5"/>
  <c r="AE2" i="5"/>
  <c r="AY5" i="5"/>
  <c r="AY4" i="5"/>
  <c r="AY2" i="5"/>
  <c r="AY3" i="5"/>
  <c r="AY6" i="5"/>
  <c r="DB3" i="5"/>
  <c r="DB4" i="5"/>
  <c r="DB5" i="5"/>
  <c r="DB6" i="5"/>
  <c r="DB7" i="5"/>
  <c r="DB8" i="5"/>
  <c r="DB9" i="5"/>
  <c r="DB10" i="5"/>
  <c r="DB11" i="5"/>
  <c r="DB2" i="5"/>
  <c r="AN3" i="1"/>
  <c r="AN4" i="1"/>
  <c r="AN5" i="1"/>
  <c r="AN6" i="1"/>
  <c r="AN7" i="1"/>
  <c r="AN8" i="1"/>
  <c r="AN2" i="1"/>
  <c r="BC3" i="1"/>
  <c r="BC4" i="1"/>
  <c r="BC5" i="1"/>
  <c r="BC6" i="1"/>
  <c r="BC7" i="1"/>
  <c r="BC8" i="1"/>
  <c r="BC2" i="1"/>
  <c r="AI89" i="1"/>
  <c r="AI88" i="1"/>
  <c r="AI87" i="1"/>
  <c r="AI86" i="1"/>
  <c r="AI85" i="1"/>
  <c r="AI84" i="1"/>
  <c r="AI83" i="1"/>
  <c r="AI82" i="1"/>
  <c r="AI81" i="1"/>
  <c r="AI80" i="1"/>
  <c r="AI79" i="1"/>
  <c r="AI78" i="1"/>
  <c r="AI77" i="1"/>
  <c r="AI76" i="1"/>
  <c r="AI75" i="1"/>
  <c r="AI74" i="1"/>
  <c r="AI73" i="1"/>
  <c r="AI72" i="1"/>
  <c r="AI71" i="1"/>
  <c r="AS70" i="1"/>
  <c r="AI70" i="1"/>
  <c r="AS69" i="1"/>
  <c r="AI69" i="1"/>
  <c r="AS68" i="1"/>
  <c r="AI68" i="1"/>
  <c r="AS67" i="1"/>
  <c r="AI67" i="1"/>
  <c r="AS66" i="1"/>
  <c r="AI66" i="1"/>
  <c r="AS65" i="1"/>
  <c r="AI65" i="1"/>
  <c r="AS64" i="1"/>
  <c r="AI64" i="1"/>
  <c r="AS63" i="1"/>
  <c r="AI63" i="1"/>
  <c r="AS62" i="1"/>
  <c r="AI62" i="1"/>
  <c r="AS61" i="1"/>
  <c r="AI61" i="1"/>
  <c r="AD61" i="1"/>
  <c r="AS60" i="1"/>
  <c r="AI60" i="1"/>
  <c r="AD60" i="1"/>
  <c r="AS59" i="1"/>
  <c r="AI59" i="1"/>
  <c r="AD59" i="1"/>
  <c r="AS58" i="1"/>
  <c r="AI58" i="1"/>
  <c r="AD58" i="1"/>
  <c r="AS57" i="1"/>
  <c r="AI57" i="1"/>
  <c r="AD57" i="1"/>
  <c r="AS56" i="1"/>
  <c r="AI56" i="1"/>
  <c r="AD56" i="1"/>
  <c r="AS55" i="1"/>
  <c r="AI55" i="1"/>
  <c r="AD55" i="1"/>
  <c r="AX54" i="1"/>
  <c r="AS54" i="1"/>
  <c r="AI54" i="1"/>
  <c r="AD54" i="1"/>
  <c r="AX53" i="1"/>
  <c r="AS53" i="1"/>
  <c r="AI53" i="1"/>
  <c r="AD53" i="1"/>
  <c r="AX52" i="1"/>
  <c r="AS52" i="1"/>
  <c r="AI52" i="1"/>
  <c r="AD52" i="1"/>
  <c r="AX51" i="1"/>
  <c r="AS51" i="1"/>
  <c r="AI51" i="1"/>
  <c r="AD51" i="1"/>
  <c r="AX50" i="1"/>
  <c r="AS50" i="1"/>
  <c r="AI50" i="1"/>
  <c r="AD50" i="1"/>
  <c r="AX49" i="1"/>
  <c r="AS49" i="1"/>
  <c r="AI49" i="1"/>
  <c r="AD49" i="1"/>
  <c r="AX48" i="1"/>
  <c r="AS48" i="1"/>
  <c r="AI48" i="1"/>
  <c r="AD48" i="1"/>
  <c r="AX47" i="1"/>
  <c r="AS47" i="1"/>
  <c r="AI47" i="1"/>
  <c r="AD47" i="1"/>
  <c r="AX46" i="1"/>
  <c r="AS46" i="1"/>
  <c r="AI46" i="1"/>
  <c r="AD46" i="1"/>
  <c r="AX45" i="1"/>
  <c r="AS45" i="1"/>
  <c r="AI45" i="1"/>
  <c r="AD45" i="1"/>
  <c r="AX44" i="1"/>
  <c r="AS44" i="1"/>
  <c r="AI44" i="1"/>
  <c r="AD44" i="1"/>
  <c r="AX43" i="1"/>
  <c r="AS43" i="1"/>
  <c r="AI43" i="1"/>
  <c r="AD43" i="1"/>
  <c r="AX42" i="1"/>
  <c r="AS42" i="1"/>
  <c r="AI42" i="1"/>
  <c r="AD42" i="1"/>
  <c r="AX41" i="1"/>
  <c r="AS41" i="1"/>
  <c r="AI41" i="1"/>
  <c r="AD41" i="1"/>
  <c r="AX40" i="1"/>
  <c r="AS40" i="1"/>
  <c r="AI40" i="1"/>
  <c r="AD40" i="1"/>
  <c r="AX39" i="1"/>
  <c r="AS39" i="1"/>
  <c r="AI39" i="1"/>
  <c r="AD39" i="1"/>
  <c r="AX38" i="1"/>
  <c r="AS38" i="1"/>
  <c r="AI38" i="1"/>
  <c r="AD38" i="1"/>
  <c r="AX37" i="1"/>
  <c r="AS37" i="1"/>
  <c r="AI37" i="1"/>
  <c r="AD37" i="1"/>
  <c r="AX36" i="1"/>
  <c r="AS36" i="1"/>
  <c r="AI36" i="1"/>
  <c r="AD36" i="1"/>
  <c r="AX35" i="1"/>
  <c r="AS35" i="1"/>
  <c r="AI35" i="1"/>
  <c r="AD35" i="1"/>
  <c r="AX34" i="1"/>
  <c r="AS34" i="1"/>
  <c r="AI34" i="1"/>
  <c r="AD34" i="1"/>
  <c r="AX33" i="1"/>
  <c r="AS33" i="1"/>
  <c r="AI33" i="1"/>
  <c r="AD33" i="1"/>
  <c r="AX32" i="1"/>
  <c r="AS32" i="1"/>
  <c r="AI32" i="1"/>
  <c r="AD32" i="1"/>
  <c r="AX31" i="1"/>
  <c r="AS31" i="1"/>
  <c r="AI31" i="1"/>
  <c r="AD31" i="1"/>
  <c r="AX30" i="1"/>
  <c r="AS30" i="1"/>
  <c r="AI30" i="1"/>
  <c r="AD30" i="1"/>
  <c r="AX29" i="1"/>
  <c r="AS29" i="1"/>
  <c r="AI29" i="1"/>
  <c r="AD29" i="1"/>
  <c r="AX28" i="1"/>
  <c r="AS28" i="1"/>
  <c r="AI28" i="1"/>
  <c r="AD28" i="1"/>
  <c r="AX27" i="1"/>
  <c r="AS27" i="1"/>
  <c r="AI27" i="1"/>
  <c r="AD27" i="1"/>
  <c r="AX26" i="1"/>
  <c r="AS26" i="1"/>
  <c r="AI26" i="1"/>
  <c r="AD26" i="1"/>
  <c r="AX25" i="1"/>
  <c r="AS25" i="1"/>
  <c r="AI25" i="1"/>
  <c r="AD25" i="1"/>
  <c r="AX24" i="1"/>
  <c r="AS24" i="1"/>
  <c r="AI24" i="1"/>
  <c r="AD24" i="1"/>
  <c r="AX23" i="1"/>
  <c r="AS23" i="1"/>
  <c r="AI23" i="1"/>
  <c r="AD23" i="1"/>
  <c r="AX22" i="1"/>
  <c r="AS22" i="1"/>
  <c r="AI22" i="1"/>
  <c r="AD22" i="1"/>
  <c r="AX21" i="1"/>
  <c r="AS21" i="1"/>
  <c r="AI21" i="1"/>
  <c r="AD21" i="1"/>
  <c r="AX20" i="1"/>
  <c r="AS20" i="1"/>
  <c r="AI20" i="1"/>
  <c r="AD20" i="1"/>
  <c r="AX19" i="1"/>
  <c r="AS19" i="1"/>
  <c r="AI19" i="1"/>
  <c r="AD19" i="1"/>
  <c r="AX18" i="1"/>
  <c r="AS18" i="1"/>
  <c r="AI18" i="1"/>
  <c r="AD18" i="1"/>
  <c r="AX17" i="1"/>
  <c r="AS17" i="1"/>
  <c r="AI17" i="1"/>
  <c r="AD17" i="1"/>
  <c r="AX16" i="1"/>
  <c r="AS16" i="1"/>
  <c r="AI16" i="1"/>
  <c r="AD16" i="1"/>
  <c r="AX15" i="1"/>
  <c r="AS15" i="1"/>
  <c r="AI15" i="1"/>
  <c r="AD15" i="1"/>
  <c r="AX14" i="1"/>
  <c r="AS14" i="1"/>
  <c r="AI14" i="1"/>
  <c r="AD14" i="1"/>
  <c r="AX13" i="1"/>
  <c r="AS13" i="1"/>
  <c r="AI13" i="1"/>
  <c r="AD13" i="1"/>
  <c r="AX12" i="1"/>
  <c r="AS12" i="1"/>
  <c r="AI12" i="1"/>
  <c r="AD12" i="1"/>
  <c r="AX11" i="1"/>
  <c r="AS11" i="1"/>
  <c r="AI11" i="1"/>
  <c r="AD11" i="1"/>
  <c r="AX10" i="1"/>
  <c r="AS10" i="1"/>
  <c r="AI10" i="1"/>
  <c r="AD10" i="1"/>
  <c r="AX9" i="1"/>
  <c r="AS9" i="1"/>
  <c r="AI9" i="1"/>
  <c r="AD9" i="1"/>
  <c r="AX8" i="1"/>
  <c r="AS8" i="1"/>
  <c r="AI8" i="1"/>
  <c r="AD8" i="1"/>
  <c r="AX7" i="1"/>
  <c r="AS7" i="1"/>
  <c r="AI7" i="1"/>
  <c r="AD7" i="1"/>
  <c r="AX6" i="1"/>
  <c r="AS6" i="1"/>
  <c r="AI6" i="1"/>
  <c r="AD6" i="1"/>
  <c r="AX5" i="1"/>
  <c r="AS5" i="1"/>
  <c r="AI5" i="1"/>
  <c r="AD5" i="1"/>
  <c r="AX4" i="1"/>
  <c r="AS4" i="1"/>
  <c r="AI4" i="1"/>
  <c r="AD4" i="1"/>
  <c r="AX3" i="1"/>
  <c r="AS3" i="1"/>
  <c r="AI3" i="1"/>
  <c r="AD3" i="1"/>
  <c r="AX2" i="1"/>
  <c r="AS2" i="1"/>
  <c r="AI2" i="1"/>
  <c r="AD2" i="1"/>
  <c r="Y3" i="1"/>
  <c r="Y4" i="1"/>
  <c r="Y5" i="1"/>
  <c r="Y6" i="1"/>
  <c r="Y7" i="1"/>
  <c r="Y8" i="1"/>
  <c r="Y2" i="1"/>
  <c r="T3" i="1"/>
  <c r="T4" i="1"/>
  <c r="T5" i="1"/>
  <c r="T6" i="1"/>
  <c r="T7" i="1"/>
  <c r="T8" i="1"/>
  <c r="T9" i="1"/>
  <c r="T10" i="1"/>
  <c r="T11" i="1"/>
  <c r="T12" i="1"/>
  <c r="T13" i="1"/>
  <c r="T14" i="1"/>
  <c r="T15" i="1"/>
  <c r="T16" i="1"/>
  <c r="T17" i="1"/>
  <c r="T2" i="1"/>
  <c r="O3" i="1"/>
  <c r="O4" i="1"/>
  <c r="O5" i="1"/>
  <c r="O6" i="1"/>
  <c r="O7" i="1"/>
  <c r="O8" i="1"/>
  <c r="O9" i="1"/>
  <c r="O10" i="1"/>
  <c r="O11" i="1"/>
  <c r="O12" i="1"/>
  <c r="O13" i="1"/>
  <c r="O14" i="1"/>
  <c r="O15" i="1"/>
  <c r="O16" i="1"/>
  <c r="O17" i="1"/>
  <c r="O18" i="1"/>
  <c r="O19" i="1"/>
  <c r="O20" i="1"/>
  <c r="O21" i="1"/>
  <c r="O22" i="1"/>
  <c r="O23" i="1"/>
  <c r="O24" i="1"/>
  <c r="O25" i="1"/>
  <c r="O26" i="1"/>
  <c r="O27" i="1"/>
  <c r="O28" i="1"/>
  <c r="O29" i="1"/>
  <c r="O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2" i="1"/>
  <c r="E4" i="1"/>
  <c r="E5" i="1"/>
  <c r="E6" i="1"/>
  <c r="E7" i="1"/>
  <c r="E8" i="1"/>
  <c r="E9" i="1"/>
  <c r="E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d12,Stone Description" description="Connection to the 'd12,Stone Description' query in the workbook." type="5" refreshedVersion="0" background="1" saveData="1">
    <dbPr connection="Provider=Microsoft.Mashup.OleDb.1;Data Source=$Workbook$;Location=&quot;d12,Stone Description&quot;;Extended Properties=&quot;&quot;" command="SELECT * FROM [d12,Stone Description]"/>
  </connection>
  <connection id="2" xr16:uid="{00000000-0015-0000-FFFF-FFFF01000000}" keepAlive="1" name="Query - d12,Stone Description (2)" description="Connection to the 'd12,Stone Description (2)' query in the workbook." type="5" refreshedVersion="0" background="1" saveData="1">
    <dbPr connection="Provider=Microsoft.Mashup.OleDb.1;Data Source=$Workbook$;Location=&quot;d12,Stone Description (2)&quot;;Extended Properties=&quot;&quot;" command="SELECT * FROM [d12,Stone Description (2)]"/>
  </connection>
  <connection id="3" xr16:uid="{00000000-0015-0000-FFFF-FFFF02000000}" keepAlive="1" name="Query - d12,Stone Description (3)" description="Connection to the 'd12,Stone Description (3)' query in the workbook." type="5" refreshedVersion="0" background="1" saveData="1">
    <dbPr connection="Provider=Microsoft.Mashup.OleDb.1;Data Source=$Workbook$;Location=&quot;d12,Stone Description (3)&quot;;Extended Properties=&quot;&quot;" command="SELECT * FROM [d12,Stone Description (3)]"/>
  </connection>
  <connection id="4" xr16:uid="{00000000-0015-0000-FFFF-FFFF03000000}" keepAlive="1" name="Query - d12,Stone Description (4)" description="Connection to the 'd12,Stone Description (4)' query in the workbook." type="5" refreshedVersion="0" background="1" saveData="1">
    <dbPr connection="Provider=Microsoft.Mashup.OleDb.1;Data Source=$Workbook$;Location=&quot;d12,Stone Description (4)&quot;;Extended Properties=&quot;&quot;" command="SELECT * FROM [d12,Stone Description (4)]"/>
  </connection>
  <connection id="5" xr16:uid="{00000000-0015-0000-FFFF-FFFF04000000}" keepAlive="1" name="Query - d12,Stone Description (5)" description="Connection to the 'd12,Stone Description (5)' query in the workbook." type="5" refreshedVersion="0" background="1" saveData="1">
    <dbPr connection="Provider=Microsoft.Mashup.OleDb.1;Data Source=$Workbook$;Location=&quot;d12,Stone Description (5)&quot;;Extended Properties=&quot;&quot;" command="SELECT * FROM [d12,Stone Description (5)]"/>
  </connection>
  <connection id="6" xr16:uid="{00000000-0015-0000-FFFF-FFFF05000000}" keepAlive="1" name="Query - d12,Stone Description (6)" description="Connection to the 'd12,Stone Description (6)' query in the workbook." type="5" refreshedVersion="0" background="1" saveData="1">
    <dbPr connection="Provider=Microsoft.Mashup.OleDb.1;Data Source=$Workbook$;Location=&quot;d12,Stone Description (6)&quot;;Extended Properties=&quot;&quot;" command="SELECT * FROM [d12,Stone Description (6)]"/>
  </connection>
  <connection id="7" xr16:uid="{00000000-0015-0000-FFFF-FFFF06000000}" keepAlive="1" name="Query - Items" description="Connection to the 'Items' query in the workbook." type="5" refreshedVersion="0" background="1" saveData="1">
    <dbPr connection="Provider=Microsoft.Mashup.OleDb.1;Data Source=$Workbook$;Location=Items;Extended Properties=&quot;&quot;" command="SELECT * FROM [Items]"/>
  </connection>
  <connection id="8" xr16:uid="{00000000-0015-0000-FFFF-FFFF07000000}" keepAlive="1" name="Query - Items (2)" description="Connection to the 'Items (2)' query in the workbook." type="5" refreshedVersion="0" background="1" saveData="1">
    <dbPr connection="Provider=Microsoft.Mashup.OleDb.1;Data Source=$Workbook$;Location=&quot;Items (2)&quot;;Extended Properties=&quot;&quot;" command="SELECT * FROM [Items (2)]"/>
  </connection>
  <connection id="9" xr16:uid="{00000000-0015-0000-FFFF-FFFF08000000}" keepAlive="1" name="Query - Items(1)" description="Connection to the 'Items(1)' query in the workbook." type="5" refreshedVersion="8" background="1" saveData="1">
    <dbPr connection="Provider=Microsoft.Mashup.OleDb.1;Data Source=$Workbook$;Location=Items(1);Extended Properties=&quot;&quot;" command="SELECT * FROM [Items(1)]"/>
  </connection>
  <connection id="10" xr16:uid="{00000000-0015-0000-FFFF-FFFF09000000}" keepAlive="1" name="Query - Items(2)" description="Connection to the 'Items(2)' query in the workbook." type="5" refreshedVersion="8" background="1" saveData="1">
    <dbPr connection="Provider=Microsoft.Mashup.OleDb.1;Data Source=$Workbook$;Location=Items(2);Extended Properties=&quot;&quot;" command="SELECT * FROM [Items(2)]"/>
  </connection>
  <connection id="11" xr16:uid="{00000000-0015-0000-FFFF-FFFF0A000000}" keepAlive="1" name="Query - Items(3)" description="Connection to the 'Items(3)' query in the workbook." type="5" refreshedVersion="8" background="1" saveData="1">
    <dbPr connection="Provider=Microsoft.Mashup.OleDb.1;Data Source=$Workbook$;Location=Items(3);Extended Properties=&quot;&quot;" command="SELECT * FROM [Items(3)]"/>
  </connection>
  <connection id="12" xr16:uid="{00000000-0015-0000-FFFF-FFFF0B000000}" keepAlive="1" name="Query - Items(5)" description="Connection to the 'Items(5)' query in the workbook." type="5" refreshedVersion="8" background="1" saveData="1">
    <dbPr connection="Provider=Microsoft.Mashup.OleDb.1;Data Source=$Workbook$;Location=Items(5);Extended Properties=&quot;&quot;" command="SELECT * FROM [Items(5)]"/>
  </connection>
  <connection id="13" xr16:uid="{00000000-0015-0000-FFFF-FFFF0C000000}" keepAlive="1" name="Query - Spells (10)" description="Connection to the 'Spells (10)' query in the workbook." type="5" refreshedVersion="0" background="1" saveData="1">
    <dbPr connection="Provider=Microsoft.Mashup.OleDb.1;Data Source=$Workbook$;Location=&quot;Spells (10)&quot;;Extended Properties=&quot;&quot;" command="SELECT * FROM [Spells (10)]"/>
  </connection>
  <connection id="14" xr16:uid="{00000000-0015-0000-FFFF-FFFF0D000000}" keepAlive="1" name="Query - Spells (11)" description="Connection to the 'Spells (11)' query in the workbook." type="5" refreshedVersion="0" background="1" saveData="1">
    <dbPr connection="Provider=Microsoft.Mashup.OleDb.1;Data Source=$Workbook$;Location=&quot;Spells (11)&quot;;Extended Properties=&quot;&quot;" command="SELECT * FROM [Spells (11)]"/>
  </connection>
  <connection id="15" xr16:uid="{00000000-0015-0000-FFFF-FFFF0E000000}" keepAlive="1" name="Query - Spells (3)" description="Connection to the 'Spells (3)' query in the workbook." type="5" refreshedVersion="0" background="1" saveData="1">
    <dbPr connection="Provider=Microsoft.Mashup.OleDb.1;Data Source=$Workbook$;Location=&quot;Spells (3)&quot;;Extended Properties=&quot;&quot;" command="SELECT * FROM [Spells (3)]"/>
  </connection>
  <connection id="16" xr16:uid="{00000000-0015-0000-FFFF-FFFF0F000000}" keepAlive="1" name="Query - Spells (4)" description="Connection to the 'Spells (4)' query in the workbook." type="5" refreshedVersion="0" background="1" saveData="1">
    <dbPr connection="Provider=Microsoft.Mashup.OleDb.1;Data Source=$Workbook$;Location=&quot;Spells (4)&quot;;Extended Properties=&quot;&quot;" command="SELECT * FROM [Spells (4)]"/>
  </connection>
  <connection id="17" xr16:uid="{00000000-0015-0000-FFFF-FFFF10000000}" keepAlive="1" name="Query - Spells (5)" description="Connection to the 'Spells (5)' query in the workbook." type="5" refreshedVersion="8" background="1" saveData="1">
    <dbPr connection="Provider=Microsoft.Mashup.OleDb.1;Data Source=$Workbook$;Location=&quot;Spells (5)&quot;;Extended Properties=&quot;&quot;" command="SELECT * FROM [Spells (5)]"/>
  </connection>
  <connection id="18" xr16:uid="{00000000-0015-0000-FFFF-FFFF11000000}" keepAlive="1" name="Query - Spells (6)" description="Connection to the 'Spells (6)' query in the workbook." type="5" refreshedVersion="0" background="1" saveData="1">
    <dbPr connection="Provider=Microsoft.Mashup.OleDb.1;Data Source=$Workbook$;Location=&quot;Spells (6)&quot;;Extended Properties=&quot;&quot;" command="SELECT * FROM [Spells (6)]"/>
  </connection>
  <connection id="19" xr16:uid="{00000000-0015-0000-FFFF-FFFF12000000}" keepAlive="1" name="Query - Spells (7)" description="Connection to the 'Spells (7)' query in the workbook." type="5" refreshedVersion="0" background="1" saveData="1">
    <dbPr connection="Provider=Microsoft.Mashup.OleDb.1;Data Source=$Workbook$;Location=&quot;Spells (7)&quot;;Extended Properties=&quot;&quot;" command="SELECT * FROM [Spells (7)]"/>
  </connection>
  <connection id="20" xr16:uid="{00000000-0015-0000-FFFF-FFFF13000000}" keepAlive="1" name="Query - Spells (8)" description="Connection to the 'Spells (8)' query in the workbook." type="5" refreshedVersion="0" background="1" saveData="1">
    <dbPr connection="Provider=Microsoft.Mashup.OleDb.1;Data Source=$Workbook$;Location=&quot;Spells (8)&quot;;Extended Properties=&quot;&quot;" command="SELECT * FROM [Spells (8)]"/>
  </connection>
  <connection id="21" xr16:uid="{00000000-0015-0000-FFFF-FFFF14000000}" keepAlive="1" name="Query - Spells (9)" description="Connection to the 'Spells (9)' query in the workbook." type="5" refreshedVersion="0" background="1" saveData="1">
    <dbPr connection="Provider=Microsoft.Mashup.OleDb.1;Data Source=$Workbook$;Location=&quot;Spells (9)&quot;;Extended Properties=&quot;&quot;" command="SELECT * FROM [Spells (9)]"/>
  </connection>
  <connection id="22" xr16:uid="{00000000-0015-0000-FFFF-FFFF15000000}" keepAlive="1" name="Query - Spells(10)" description="Connection to the 'Spells(10)' query in the workbook." type="5" refreshedVersion="0" background="1" saveData="1">
    <dbPr connection="Provider=Microsoft.Mashup.OleDb.1;Data Source=$Workbook$;Location=Spells(10);Extended Properties=&quot;&quot;" command="SELECT * FROM [Spells(10)]"/>
  </connection>
  <connection id="23" xr16:uid="{00000000-0015-0000-FFFF-FFFF16000000}" keepAlive="1" name="Query - Spells(11)" description="Connection to the 'Spells(11)' query in the workbook." type="5" refreshedVersion="0" background="1" saveData="1">
    <dbPr connection="Provider=Microsoft.Mashup.OleDb.1;Data Source=$Workbook$;Location=Spells(11);Extended Properties=&quot;&quot;" command="SELECT * FROM [Spells(11)]"/>
  </connection>
  <connection id="24" xr16:uid="{00000000-0015-0000-FFFF-FFFF17000000}" keepAlive="1" name="Query - Spells(2)" description="Connection to the 'Spells(2)' query in the workbook." type="5" refreshedVersion="0" background="1" saveData="1">
    <dbPr connection="Provider=Microsoft.Mashup.OleDb.1;Data Source=$Workbook$;Location=Spells(2);Extended Properties=&quot;&quot;" command="SELECT * FROM [Spells(2)]"/>
  </connection>
  <connection id="25" xr16:uid="{00000000-0015-0000-FFFF-FFFF18000000}" keepAlive="1" name="Query - Spells(3)" description="Connection to the 'Spells(3)' query in the workbook." type="5" refreshedVersion="0" background="1" saveData="1">
    <dbPr connection="Provider=Microsoft.Mashup.OleDb.1;Data Source=$Workbook$;Location=Spells(3);Extended Properties=&quot;&quot;" command="SELECT * FROM [Spells(3)]"/>
  </connection>
  <connection id="26" xr16:uid="{00000000-0015-0000-FFFF-FFFF19000000}" keepAlive="1" name="Query - Spells(4)" description="Connection to the 'Spells(4)' query in the workbook." type="5" refreshedVersion="0" background="1" saveData="1">
    <dbPr connection="Provider=Microsoft.Mashup.OleDb.1;Data Source=$Workbook$;Location=Spells(4);Extended Properties=&quot;&quot;" command="SELECT * FROM [Spells(4)]"/>
  </connection>
  <connection id="27" xr16:uid="{00000000-0015-0000-FFFF-FFFF1A000000}" keepAlive="1" name="Query - Spells(5)" description="Connection to the 'Spells(5)' query in the workbook." type="5" refreshedVersion="0" background="1" saveData="1">
    <dbPr connection="Provider=Microsoft.Mashup.OleDb.1;Data Source=$Workbook$;Location=Spells(5);Extended Properties=&quot;&quot;" command="SELECT * FROM [Spells(5)]"/>
  </connection>
  <connection id="28" xr16:uid="{00000000-0015-0000-FFFF-FFFF1B000000}" keepAlive="1" name="Query - Spells(6)" description="Connection to the 'Spells(6)' query in the workbook." type="5" refreshedVersion="0" background="1" saveData="1">
    <dbPr connection="Provider=Microsoft.Mashup.OleDb.1;Data Source=$Workbook$;Location=Spells(6);Extended Properties=&quot;&quot;" command="SELECT * FROM [Spells(6)]"/>
  </connection>
  <connection id="29" xr16:uid="{00000000-0015-0000-FFFF-FFFF1C000000}" keepAlive="1" name="Query - Spells(7)" description="Connection to the 'Spells(7)' query in the workbook." type="5" refreshedVersion="0" background="1" saveData="1">
    <dbPr connection="Provider=Microsoft.Mashup.OleDb.1;Data Source=$Workbook$;Location=Spells(7);Extended Properties=&quot;&quot;" command="SELECT * FROM [Spells(7)]"/>
  </connection>
  <connection id="30" xr16:uid="{00000000-0015-0000-FFFF-FFFF1D000000}" keepAlive="1" name="Query - Spells(8)" description="Connection to the 'Spells(8)' query in the workbook." type="5" refreshedVersion="0" background="1" saveData="1">
    <dbPr connection="Provider=Microsoft.Mashup.OleDb.1;Data Source=$Workbook$;Location=Spells(8);Extended Properties=&quot;&quot;" command="SELECT * FROM [Spells(8)]"/>
  </connection>
  <connection id="31" xr16:uid="{00000000-0015-0000-FFFF-FFFF1E000000}" keepAlive="1" name="Query - Spells(9)" description="Connection to the 'Spells(9)' query in the workbook." type="5" refreshedVersion="0" background="1" saveData="1">
    <dbPr connection="Provider=Microsoft.Mashup.OleDb.1;Data Source=$Workbook$;Location=Spells(9);Extended Properties=&quot;&quot;" command="SELECT * FROM [Spells(9)]"/>
  </connection>
</connections>
</file>

<file path=xl/sharedStrings.xml><?xml version="1.0" encoding="utf-8"?>
<sst xmlns="http://schemas.openxmlformats.org/spreadsheetml/2006/main" count="4528" uniqueCount="2023">
  <si>
    <t>Magic-Item-Table-A</t>
  </si>
  <si>
    <t>Magic-Item-Table-B</t>
  </si>
  <si>
    <t>Magic-Item-Table-C</t>
  </si>
  <si>
    <t>Magic-Item-Table-D</t>
  </si>
  <si>
    <t>Magic-Item-Table-E</t>
  </si>
  <si>
    <t>Magic-Item-Table-F</t>
  </si>
  <si>
    <t>Magic-Item-Table-G</t>
  </si>
  <si>
    <t>Magic-Item-Table-H</t>
  </si>
  <si>
    <t>Magic-Item-Table-I</t>
  </si>
  <si>
    <t>Weight</t>
  </si>
  <si>
    <t>Command</t>
  </si>
  <si>
    <t>Potion of Healing</t>
  </si>
  <si>
    <t>Spell Scroll (Cantrip)</t>
  </si>
  <si>
    <t>Potion of Climbing</t>
  </si>
  <si>
    <t>Spell Scroll (1st Level)</t>
  </si>
  <si>
    <t>Spell Scroll (2nd Level)</t>
  </si>
  <si>
    <t>Potion of Greater Healing</t>
  </si>
  <si>
    <t>Bag of Holding</t>
  </si>
  <si>
    <t>Driftglobe</t>
  </si>
  <si>
    <t>Potion of Fire Breath</t>
  </si>
  <si>
    <t>Ammunition, +1</t>
  </si>
  <si>
    <t>Ammunition, +2</t>
  </si>
  <si>
    <t>Potion of Animal Friendship</t>
  </si>
  <si>
    <t>Potion of Hill Giant Strength</t>
  </si>
  <si>
    <t>Potion of Growth</t>
  </si>
  <si>
    <t>Potion of Water Breathing</t>
  </si>
  <si>
    <t>Spell Scroll (3rd Level)</t>
  </si>
  <si>
    <t>Keoghtom's Ointment</t>
  </si>
  <si>
    <t>Oil of Slipperiness</t>
  </si>
  <si>
    <t>Dust of Disappearance</t>
  </si>
  <si>
    <t>Dust of Dryness</t>
  </si>
  <si>
    <t>Dust of Sneezing and Choking</t>
  </si>
  <si>
    <t>Elemental Gem</t>
  </si>
  <si>
    <t>Philter of Love</t>
  </si>
  <si>
    <t>Alchemy Jug</t>
  </si>
  <si>
    <t>Cap of Water Breathing</t>
  </si>
  <si>
    <t>Cloak of the Manta Ray</t>
  </si>
  <si>
    <t>Goggles of Night</t>
  </si>
  <si>
    <t>Helm of Comprehending Languages</t>
  </si>
  <si>
    <t>Immovable Rod</t>
  </si>
  <si>
    <t>Lantern of Revealing</t>
  </si>
  <si>
    <t>Mariner's Armor</t>
  </si>
  <si>
    <t>Mithral Armor</t>
  </si>
  <si>
    <t>Potion of Poison</t>
  </si>
  <si>
    <t>Ring of Swimming</t>
  </si>
  <si>
    <t>Robe of Useful Items</t>
  </si>
  <si>
    <t>Rope of Climbing</t>
  </si>
  <si>
    <t>Saddle of the Cavalier</t>
  </si>
  <si>
    <t>Wand of Magic Detection</t>
  </si>
  <si>
    <t>Wand of Secrets</t>
  </si>
  <si>
    <t>Potion of Superior Healing</t>
  </si>
  <si>
    <t>Spell Scroll (4th Level)</t>
  </si>
  <si>
    <t>Potion of Clairvoyance</t>
  </si>
  <si>
    <t>Potion of Diminution</t>
  </si>
  <si>
    <t>Potion of Gaseous Form</t>
  </si>
  <si>
    <t>Potion of Frost Giant Strength</t>
  </si>
  <si>
    <t>Potion of Stone Giant Strength</t>
  </si>
  <si>
    <t>Potion of Heroism</t>
  </si>
  <si>
    <t>Potion of Invulnerability</t>
  </si>
  <si>
    <t>Potion of Mind Reading</t>
  </si>
  <si>
    <t>Spell Scroll (5th Level)</t>
  </si>
  <si>
    <t>Elixir of Health</t>
  </si>
  <si>
    <t>Oil of Etherealness</t>
  </si>
  <si>
    <t>Potion of Fire Giant Strength</t>
  </si>
  <si>
    <t>Quaal's Feather Token</t>
  </si>
  <si>
    <t>Scroll of Protection</t>
  </si>
  <si>
    <t>Bag of Beans</t>
  </si>
  <si>
    <t>Bead of Force</t>
  </si>
  <si>
    <t>Chime of Opening</t>
  </si>
  <si>
    <t>Decanter of Endless Water</t>
  </si>
  <si>
    <t>Eyes of Minute Seeing</t>
  </si>
  <si>
    <t>Folding Boat</t>
  </si>
  <si>
    <t>Heward's Handy Haversack</t>
  </si>
  <si>
    <t>Horseshoes of Speed</t>
  </si>
  <si>
    <t>Necklace of Fireballs</t>
  </si>
  <si>
    <t>Periapt of Health</t>
  </si>
  <si>
    <t>Sending Stones</t>
  </si>
  <si>
    <t>Potion of Supreme Healing</t>
  </si>
  <si>
    <t>Potion of Invisibility</t>
  </si>
  <si>
    <t>Potion of Speed</t>
  </si>
  <si>
    <t>Spell Scroll (7th Level)</t>
  </si>
  <si>
    <t>Ammunition, +3</t>
  </si>
  <si>
    <t>Oil of Sharpness</t>
  </si>
  <si>
    <t>Potion of Flying</t>
  </si>
  <si>
    <t>Potion of Cloud Giant Strength</t>
  </si>
  <si>
    <t>Invisibility</t>
  </si>
  <si>
    <t>Potion of Longevity</t>
  </si>
  <si>
    <t>Potion of Vitality</t>
  </si>
  <si>
    <t>Spell Scroll (8th Level)</t>
  </si>
  <si>
    <t>Horseshoes of a Zephyr</t>
  </si>
  <si>
    <t>Nolzur's Marvelous Pigments</t>
  </si>
  <si>
    <t>Bag of Devouring</t>
  </si>
  <si>
    <t>Portable Hole</t>
  </si>
  <si>
    <t>Spell Scroll (6th Level)</t>
  </si>
  <si>
    <t>Potion of Storm Giant Strength</t>
  </si>
  <si>
    <t>Spell Scroll (9th Level)</t>
  </si>
  <si>
    <t>Universal Solvent</t>
  </si>
  <si>
    <t>Arrow of Slaying</t>
  </si>
  <si>
    <t>Weapon, +1</t>
  </si>
  <si>
    <t>Shield, +1</t>
  </si>
  <si>
    <t>Sentinel Shield</t>
  </si>
  <si>
    <t>Boots of Elvenkind</t>
  </si>
  <si>
    <t>Boots of  Springing and Striding</t>
  </si>
  <si>
    <t>Bracers of Archery</t>
  </si>
  <si>
    <t>Brooch of Shielding</t>
  </si>
  <si>
    <t>Broom of Flying</t>
  </si>
  <si>
    <t>Cloak of Elvenkind</t>
  </si>
  <si>
    <t>Cloak of Protection</t>
  </si>
  <si>
    <t>Gauntlets of Ogre Power</t>
  </si>
  <si>
    <t>Hat of Disguise</t>
  </si>
  <si>
    <t>Javelin of Lightning</t>
  </si>
  <si>
    <t>Pearl of Power</t>
  </si>
  <si>
    <t>Rod of the Pact Keeper, +1</t>
  </si>
  <si>
    <t>Slippers of Spider Climbing</t>
  </si>
  <si>
    <t>Staff of the Adder</t>
  </si>
  <si>
    <t>Staff of the Python</t>
  </si>
  <si>
    <t>Sword of Vengeance</t>
  </si>
  <si>
    <t>Trident of Fish Command</t>
  </si>
  <si>
    <t>Wand of Magic Missiles</t>
  </si>
  <si>
    <t>Wand of the War Mage, +1</t>
  </si>
  <si>
    <t>Wand of Web</t>
  </si>
  <si>
    <t>Weapon of Warning</t>
  </si>
  <si>
    <t>Adamantine Armor (chain mail)</t>
  </si>
  <si>
    <t>Adamantine Armor (chain shirt)</t>
  </si>
  <si>
    <t>Adamantine Armor (scale mail)</t>
  </si>
  <si>
    <t>Bag of Tricks (gray)</t>
  </si>
  <si>
    <t>Bag of Tricks (rust)</t>
  </si>
  <si>
    <t>Bag of tricks (tan)</t>
  </si>
  <si>
    <t>Boots of the Winterlands</t>
  </si>
  <si>
    <t>Circlet of Blasting</t>
  </si>
  <si>
    <t>Deck of Illusions</t>
  </si>
  <si>
    <t>Eversmoking Bottle</t>
  </si>
  <si>
    <t>Eyes of Charming</t>
  </si>
  <si>
    <t>Eyes of the Eagle</t>
  </si>
  <si>
    <t>Gem of Brightness</t>
  </si>
  <si>
    <t>Gloves of Missile Snaring</t>
  </si>
  <si>
    <t>Gloves of swimming and climbing</t>
  </si>
  <si>
    <t>Gloves of thievery</t>
  </si>
  <si>
    <t>Headband of Intellect</t>
  </si>
  <si>
    <t>Helm of Telepathy</t>
  </si>
  <si>
    <t>Instrument of the Bards (Mac-Fuimidh cittern)</t>
  </si>
  <si>
    <t>Medallion of Thoughts</t>
  </si>
  <si>
    <t>Instrument of the Bards (Doss lute)</t>
  </si>
  <si>
    <t>Instrument of the Bards (Fochlucan bandore)</t>
  </si>
  <si>
    <t>Necklace of Adaptation</t>
  </si>
  <si>
    <t>Periapt of Wound Closure</t>
  </si>
  <si>
    <t>Pipes of Haunting</t>
  </si>
  <si>
    <t>Pipes of the Sewers</t>
  </si>
  <si>
    <t>Ring of Jumping</t>
  </si>
  <si>
    <t>Ring of Mind Shielding</t>
  </si>
  <si>
    <t>Ring of Warmth</t>
  </si>
  <si>
    <t>Ring of Water Walking</t>
  </si>
  <si>
    <t>Quiver of Ehlonna</t>
  </si>
  <si>
    <t>Stone of Good Luck</t>
  </si>
  <si>
    <t>Wind Fan</t>
  </si>
  <si>
    <t>Winged Boots</t>
  </si>
  <si>
    <t>Weapon, +2</t>
  </si>
  <si>
    <t>Adamantine Armor (splint)</t>
  </si>
  <si>
    <t>Adamantine Armor (breastplate)</t>
  </si>
  <si>
    <t>Amulet of Health</t>
  </si>
  <si>
    <t>Armor of Vulnerability</t>
  </si>
  <si>
    <t>Arrow-Catching Shield</t>
  </si>
  <si>
    <t>Belt of Dwarvenkind</t>
  </si>
  <si>
    <t>Belt of Hill Giant Strength</t>
  </si>
  <si>
    <t>Berserker Axe</t>
  </si>
  <si>
    <t>Boots of Levitation</t>
  </si>
  <si>
    <t>Boots of Speed</t>
  </si>
  <si>
    <t>Bowl of Commanding Water Elementals</t>
  </si>
  <si>
    <t>Bracers of Defense</t>
  </si>
  <si>
    <t>Brazier of Commanding Fire Elementals</t>
  </si>
  <si>
    <t>Cape of the Mountebank</t>
  </si>
  <si>
    <t>Censer of Controlling Air Elementals</t>
  </si>
  <si>
    <t>Armor, +1 chain mail</t>
  </si>
  <si>
    <t>Armor of Resistance (chain mail)</t>
  </si>
  <si>
    <t>Armor, +1 chain shirt</t>
  </si>
  <si>
    <t>Armor of Resistance (chain shirt)</t>
  </si>
  <si>
    <t>Cloak of Displacement</t>
  </si>
  <si>
    <t>Cloak of the Bat</t>
  </si>
  <si>
    <t>Cube of Force</t>
  </si>
  <si>
    <t>Daern's Instant Fortress</t>
  </si>
  <si>
    <t>Dagger of Venom</t>
  </si>
  <si>
    <t>Dimensional Shackles</t>
  </si>
  <si>
    <t>Dragon Slayer</t>
  </si>
  <si>
    <t>Elven Chain</t>
  </si>
  <si>
    <t>Flame Tongue</t>
  </si>
  <si>
    <t>Gem of Seeing</t>
  </si>
  <si>
    <t>Giant Slayer</t>
  </si>
  <si>
    <t>Glamoured Studded Leather</t>
  </si>
  <si>
    <t>Helm of Teleportation</t>
  </si>
  <si>
    <t>Horn of Blasting</t>
  </si>
  <si>
    <t>Horn of Valhalla (silver or brass)</t>
  </si>
  <si>
    <t>Instrument of the Bards (Cli lyre)</t>
  </si>
  <si>
    <t>Ioun Stone (awareness)</t>
  </si>
  <si>
    <t>Ioun Stone (protection)</t>
  </si>
  <si>
    <t>Ioun Stone (reserve)</t>
  </si>
  <si>
    <t>Iron Bands of Bilarro</t>
  </si>
  <si>
    <t>Armor, +1 leather</t>
  </si>
  <si>
    <t>Armor of Resistance (leather)</t>
  </si>
  <si>
    <t>Mace of Disruption</t>
  </si>
  <si>
    <t>Mace of Smiting</t>
  </si>
  <si>
    <t>Mace of Terror</t>
  </si>
  <si>
    <t>Mantle of Spell Resistance</t>
  </si>
  <si>
    <t>Amulet of Proof Against Detection and Location</t>
  </si>
  <si>
    <t>Instrument of the Bards (Canaith mandolin)</t>
  </si>
  <si>
    <t>Ioun Stone (sustenance)</t>
  </si>
  <si>
    <t>Necklace of Prayer Beads</t>
  </si>
  <si>
    <t>Periapt of Proof Against Poison</t>
  </si>
  <si>
    <t>Ring of Animal Influence</t>
  </si>
  <si>
    <t>Ring of Evasion</t>
  </si>
  <si>
    <t>Ring of Free Action</t>
  </si>
  <si>
    <t>Ring of Protection</t>
  </si>
  <si>
    <t>Ring of Resistance</t>
  </si>
  <si>
    <t>Ring of Spell Storing</t>
  </si>
  <si>
    <t>Ring of the Ram</t>
  </si>
  <si>
    <t>Ring of X-Ray Vision</t>
  </si>
  <si>
    <t>Robe of Eyes</t>
  </si>
  <si>
    <t>Rod of Rulership</t>
  </si>
  <si>
    <t>Rod of the Pact Keeper, +2</t>
  </si>
  <si>
    <t>Rope of Entanglement</t>
  </si>
  <si>
    <t>Armor, +1 scale mail</t>
  </si>
  <si>
    <t>Armor of Resistance (scale mail)</t>
  </si>
  <si>
    <t>Shield, +2</t>
  </si>
  <si>
    <t>Shield of Missile Attraction</t>
  </si>
  <si>
    <t>Staff of Charming</t>
  </si>
  <si>
    <t>Staff of Swarming Insects</t>
  </si>
  <si>
    <t>Staff of the Woodlands</t>
  </si>
  <si>
    <t>Staff of Withering</t>
  </si>
  <si>
    <t>Stone of Controlling Earth Elementals</t>
  </si>
  <si>
    <t>Sun Blade</t>
  </si>
  <si>
    <t>Sword of Life Stealing</t>
  </si>
  <si>
    <t>Sword of Wounding</t>
  </si>
  <si>
    <t>Tentacle Rod</t>
  </si>
  <si>
    <t>Vicious Weapon</t>
  </si>
  <si>
    <t>Wand of Binding</t>
  </si>
  <si>
    <t>Wand of Enemy Detection</t>
  </si>
  <si>
    <t>Wand of Fear</t>
  </si>
  <si>
    <t>Wand of Fireballs</t>
  </si>
  <si>
    <t>Wand of Lightning Bolts</t>
  </si>
  <si>
    <t>Wand of Paralysis</t>
  </si>
  <si>
    <t>Wand of the War Mage, +2</t>
  </si>
  <si>
    <t>Wand of Wonder</t>
  </si>
  <si>
    <t>Wings of Flying</t>
  </si>
  <si>
    <t>Weapon, +3</t>
  </si>
  <si>
    <t>Amulet of the Planes</t>
  </si>
  <si>
    <t>Carpet of Flying</t>
  </si>
  <si>
    <t>Crystal Ball (very rare version)</t>
  </si>
  <si>
    <t>Ring of Regeneration</t>
  </si>
  <si>
    <t>Ring of Shooting Stars</t>
  </si>
  <si>
    <t>Ring of Telekinesis</t>
  </si>
  <si>
    <t>Robe of Stars</t>
  </si>
  <si>
    <t>Rod of Absorption</t>
  </si>
  <si>
    <t>Rod of Alertness</t>
  </si>
  <si>
    <t>Rod of Security</t>
  </si>
  <si>
    <t>Rod of the Pact Keeper, +3</t>
  </si>
  <si>
    <t>Scimitar of Speed</t>
  </si>
  <si>
    <t>Shield, +3</t>
  </si>
  <si>
    <t>Staff of Power</t>
  </si>
  <si>
    <t>Staff of Striking</t>
  </si>
  <si>
    <t>Sword of Sharpness</t>
  </si>
  <si>
    <t>Wand of Polymorph</t>
  </si>
  <si>
    <t>Wand of the War Mage, +3</t>
  </si>
  <si>
    <t>Adamantine armor (half plate)</t>
  </si>
  <si>
    <t>Adamantine armor (plate)</t>
  </si>
  <si>
    <t>Animated Shield</t>
  </si>
  <si>
    <t>Belt of Fire Giant Strength</t>
  </si>
  <si>
    <t>Belt of frost (or stone) giant strength</t>
  </si>
  <si>
    <t>Armor, +1 breastplate</t>
  </si>
  <si>
    <t>Armor of Resistance (breastplate)</t>
  </si>
  <si>
    <t>Candle of Invocation</t>
  </si>
  <si>
    <t>Armor, +2 chain mail</t>
  </si>
  <si>
    <t>Armor, +2 chain shirt</t>
  </si>
  <si>
    <t>Cloak of Arachnida</t>
  </si>
  <si>
    <t>Dancing Sword</t>
  </si>
  <si>
    <t>Demon Armor</t>
  </si>
  <si>
    <t>Dragon Scale Mail</t>
  </si>
  <si>
    <t>Dwarven Plate</t>
  </si>
  <si>
    <t>Dwarven Thrower</t>
  </si>
  <si>
    <t>Efreeti Bottle</t>
  </si>
  <si>
    <t>Frost Brand</t>
  </si>
  <si>
    <t>Helm of Brilliance</t>
  </si>
  <si>
    <t>Horn of Valhalla (bronze)</t>
  </si>
  <si>
    <t>Instrument of the Bards (Anstruth harp)</t>
  </si>
  <si>
    <t>Ioun Stone (absorption)</t>
  </si>
  <si>
    <t>Ioun Stone (agility)</t>
  </si>
  <si>
    <t>Ioun Stone (fortitude)</t>
  </si>
  <si>
    <t>Ioun Stone (insight)</t>
  </si>
  <si>
    <t>Ioun Stone (leadership)</t>
  </si>
  <si>
    <t>Ioun Stone (strength)</t>
  </si>
  <si>
    <t>Armor, +2 leather</t>
  </si>
  <si>
    <t>Manual of Bodily Health</t>
  </si>
  <si>
    <t>Manual of Gainful Exercise</t>
  </si>
  <si>
    <t>Manual of Golems</t>
  </si>
  <si>
    <t>Manual of Quickness of Action</t>
  </si>
  <si>
    <t>Mirror of Life Trapping</t>
  </si>
  <si>
    <t>Nine Lives Stealer</t>
  </si>
  <si>
    <t>Oathbow</t>
  </si>
  <si>
    <t>Armor, +2 scale mail</t>
  </si>
  <si>
    <t>Spellguard Shield</t>
  </si>
  <si>
    <t>Armor, +1 splint</t>
  </si>
  <si>
    <t>Armor of Resistance (splint)</t>
  </si>
  <si>
    <t>Armor, +1 studded leather</t>
  </si>
  <si>
    <t>Armor of Resistance (studded leather)</t>
  </si>
  <si>
    <t>Tome of Clear Thought</t>
  </si>
  <si>
    <t>Tome of Leadership and Influence</t>
  </si>
  <si>
    <t>Tome of Understanding</t>
  </si>
  <si>
    <t>Defender</t>
  </si>
  <si>
    <t>Hammer of Thunderbolts</t>
  </si>
  <si>
    <t>Luck Blade</t>
  </si>
  <si>
    <t>Sword of Answering</t>
  </si>
  <si>
    <t>Holy Avenger</t>
  </si>
  <si>
    <t>Ring of Djinni Summoning</t>
  </si>
  <si>
    <t>Ring of Invisibility</t>
  </si>
  <si>
    <t>Ring of Spell Turning</t>
  </si>
  <si>
    <t>Rod of Lordly Might</t>
  </si>
  <si>
    <t>Staff of the Magi</t>
  </si>
  <si>
    <t>Vorpal Sword</t>
  </si>
  <si>
    <t>Belt of Cloud Giant Strength</t>
  </si>
  <si>
    <t>Armor, +2 breastplate</t>
  </si>
  <si>
    <t>Armor, +3 chain shirt</t>
  </si>
  <si>
    <t>Armor, +3 chain mail</t>
  </si>
  <si>
    <t>Cloak of Invisibility</t>
  </si>
  <si>
    <t>Crystal Ball (legendary version)</t>
  </si>
  <si>
    <t>Armor, +1 half plate</t>
  </si>
  <si>
    <t>Iron Flask</t>
  </si>
  <si>
    <t>Armor, +3 leather</t>
  </si>
  <si>
    <t>Armor, +1 plate</t>
  </si>
  <si>
    <t>Robe of the Archmagi</t>
  </si>
  <si>
    <t>Rod of Resurrection</t>
  </si>
  <si>
    <t>Scarab of Protection</t>
  </si>
  <si>
    <t>Armor, +2 splint</t>
  </si>
  <si>
    <t>Armor, +2 studded leather</t>
  </si>
  <si>
    <t>Well of Many Worlds</t>
  </si>
  <si>
    <t>Magic Armor (roll d12)</t>
  </si>
  <si>
    <t>Apparatus of Kwalish</t>
  </si>
  <si>
    <t>Armor of Invulnerability</t>
  </si>
  <si>
    <t>Belt of Storm Giant Strength</t>
  </si>
  <si>
    <t>Cubic Gate</t>
  </si>
  <si>
    <t>Deck of Many Things</t>
  </si>
  <si>
    <t>Efreeti Chain</t>
  </si>
  <si>
    <t>Armor of resistance (half plate)</t>
  </si>
  <si>
    <t>Horn of Valhalla (iron)</t>
  </si>
  <si>
    <t>Instrument of the Bards (Ollahm Harp)</t>
  </si>
  <si>
    <t>Ioun Stone (greater absorption)</t>
  </si>
  <si>
    <t>Ioun Stone (mastery)</t>
  </si>
  <si>
    <t>Ioun Stone (regeneration)</t>
  </si>
  <si>
    <t>Plate Armor of Etherealness</t>
  </si>
  <si>
    <t>Armor of Resistance (plate)</t>
  </si>
  <si>
    <t>Ring of Air Elemental Command</t>
  </si>
  <si>
    <t>Ring of Earth Elemental Command</t>
  </si>
  <si>
    <t>Ring of Fire Elemental Command</t>
  </si>
  <si>
    <t>Ring of Three Wishes</t>
  </si>
  <si>
    <t>Ring of Water Elemental Command</t>
  </si>
  <si>
    <t>Sphere of Annihilation</t>
  </si>
  <si>
    <t>Talisman of Pure Good</t>
  </si>
  <si>
    <t>Talisman of the Sphere</t>
  </si>
  <si>
    <t>Talisman of Ultimate Evil</t>
  </si>
  <si>
    <t>Tome of the Stilled Tongue</t>
  </si>
  <si>
    <t>Armor, +2 half plate</t>
  </si>
  <si>
    <t>Armor, +2 plate</t>
  </si>
  <si>
    <t>Armor, +3 studded leather</t>
  </si>
  <si>
    <t>Armor, +3 breastplate</t>
  </si>
  <si>
    <t>Armor, +3 splint</t>
  </si>
  <si>
    <t>Armor, +3 half plate</t>
  </si>
  <si>
    <t>Armor, +3 plate</t>
  </si>
  <si>
    <t>Magic-Armor-I</t>
  </si>
  <si>
    <t>Bronze Griffon</t>
  </si>
  <si>
    <t>Ebony Fly</t>
  </si>
  <si>
    <t>Golden Lions</t>
  </si>
  <si>
    <t>Ivory Goats</t>
  </si>
  <si>
    <t>Marble Elephant</t>
  </si>
  <si>
    <t>Onyx Dog</t>
  </si>
  <si>
    <t>Serpentine Owl</t>
  </si>
  <si>
    <t>Ioun Stone (Intellect)</t>
  </si>
  <si>
    <t>Ring of Feather Falling</t>
  </si>
  <si>
    <t>Staff of Healing</t>
  </si>
  <si>
    <t>Potion of Resistance</t>
  </si>
  <si>
    <t>Sovereign Glue</t>
  </si>
  <si>
    <t>Robe of Scintillating Colors</t>
  </si>
  <si>
    <t>Staff of Fire</t>
  </si>
  <si>
    <t>Staff of Frost</t>
  </si>
  <si>
    <t>Staff of Thunder and Lightning</t>
  </si>
  <si>
    <t>Spells-Level-2</t>
  </si>
  <si>
    <t>Spells-Level-3</t>
  </si>
  <si>
    <t>Spells-Level-4</t>
  </si>
  <si>
    <t>Spells-Level-5</t>
  </si>
  <si>
    <t>Spells-Level-6</t>
  </si>
  <si>
    <t>Spells-Level-7</t>
  </si>
  <si>
    <t>Spells-Level-8</t>
  </si>
  <si>
    <t>Spells-Level-9</t>
  </si>
  <si>
    <t>Spells-Level-1</t>
  </si>
  <si>
    <t>Spell Scroll ([[ 1t[Spells-Level-1] ]])</t>
  </si>
  <si>
    <t>Spell Scroll ([[ 1t[Spells-Level-2] ]])</t>
  </si>
  <si>
    <t>Spell Scroll ([[ 1t[Spells-Level-3] ]])</t>
  </si>
  <si>
    <t>Spell Scroll ([[ 1t[Spells-Level-4] ]])</t>
  </si>
  <si>
    <t>Spell Scroll ([[ 1t[Spells-Level-5] ]])</t>
  </si>
  <si>
    <t>Spell Scroll ([[ 1t[Spells-Level-6] ]])</t>
  </si>
  <si>
    <t>Spell Scroll ([[ 1t[Spells-Level-7] ]])</t>
  </si>
  <si>
    <t>Spell Scroll ([[ 1t[Spells-Level-8] ]])</t>
  </si>
  <si>
    <t>Spell Scroll ([[ 1t[Spells-Level-9] ]])</t>
  </si>
  <si>
    <t>Spells-Cantrip</t>
  </si>
  <si>
    <t>Spell Scroll ([[ 1t[Spells-Cantrip] ]])</t>
  </si>
  <si>
    <t>Horn-of-Valhalla-G</t>
  </si>
  <si>
    <t>Silver</t>
  </si>
  <si>
    <t>Brass</t>
  </si>
  <si>
    <t>Damage-Type</t>
  </si>
  <si>
    <t>Acid</t>
  </si>
  <si>
    <t>Cold</t>
  </si>
  <si>
    <t>Fire</t>
  </si>
  <si>
    <t>Force</t>
  </si>
  <si>
    <t>Lightning</t>
  </si>
  <si>
    <t>Necrotic</t>
  </si>
  <si>
    <t>Poison</t>
  </si>
  <si>
    <t>Psychic</t>
  </si>
  <si>
    <t>Radiant</t>
  </si>
  <si>
    <t>Thunder</t>
  </si>
  <si>
    <t>Potion of [[ 1t[Damage-Type] ]] Resistance</t>
  </si>
  <si>
    <t>Gloves of Thievery</t>
  </si>
  <si>
    <t>Psychic Resistace, set with jade</t>
  </si>
  <si>
    <t>Radiant Resistance, set with topaz</t>
  </si>
  <si>
    <t>Thunder Resistance, set with spinel</t>
  </si>
  <si>
    <t>Necrotic Resistance, set with jet</t>
  </si>
  <si>
    <t>Poison Resistance, set with amethyst</t>
  </si>
  <si>
    <t>Lightning Resistance, set with citrine</t>
  </si>
  <si>
    <t>Force Resistance, set with sapphire</t>
  </si>
  <si>
    <t>Fire Resistance, set with garnet</t>
  </si>
  <si>
    <t>Cold Resistance, set with tourmaline</t>
  </si>
  <si>
    <t>Acid Resistance, set with pearl</t>
  </si>
  <si>
    <t>Scroll of Protection Against [[ 1t[Creature-Type-C] ]]</t>
  </si>
  <si>
    <t>Aberrations</t>
  </si>
  <si>
    <t>Beasts</t>
  </si>
  <si>
    <t>Celestials</t>
  </si>
  <si>
    <t>Elementals</t>
  </si>
  <si>
    <t>Fey</t>
  </si>
  <si>
    <t>Fiends</t>
  </si>
  <si>
    <t>Plants</t>
  </si>
  <si>
    <t>Undead</t>
  </si>
  <si>
    <t>Quaal's Feather Token, [[ 1t[Feather-Token-C] ]]</t>
  </si>
  <si>
    <t>Creature-Type-C</t>
  </si>
  <si>
    <t>Feather-Token-C</t>
  </si>
  <si>
    <t>Anchor</t>
  </si>
  <si>
    <t>Bird</t>
  </si>
  <si>
    <t>Fan</t>
  </si>
  <si>
    <t>Swan Boat</t>
  </si>
  <si>
    <t>Tree</t>
  </si>
  <si>
    <t>Whip</t>
  </si>
  <si>
    <t>Ring of [[ 1t[Damage-Type-Gem-G] ]]</t>
  </si>
  <si>
    <t>Damage-Type-Gem-G</t>
  </si>
  <si>
    <t>Absorb Elements</t>
  </si>
  <si>
    <t>Alarm</t>
  </si>
  <si>
    <t>Animal Friendship</t>
  </si>
  <si>
    <t>Armor of Agathys</t>
  </si>
  <si>
    <t>Arms of Hadar</t>
  </si>
  <si>
    <t>Bane</t>
  </si>
  <si>
    <t>Beast Bond</t>
  </si>
  <si>
    <t>Divination</t>
  </si>
  <si>
    <t>Bless</t>
  </si>
  <si>
    <t>Burning Hands</t>
  </si>
  <si>
    <t>Catapult</t>
  </si>
  <si>
    <t>Cause Fear</t>
  </si>
  <si>
    <t>Ceremony</t>
  </si>
  <si>
    <t>Chaos Bolt</t>
  </si>
  <si>
    <t>Charm Person</t>
  </si>
  <si>
    <t>Chromatic Orb</t>
  </si>
  <si>
    <t>Color Spray</t>
  </si>
  <si>
    <t>Compelled Duel</t>
  </si>
  <si>
    <t>Comprehend Languages</t>
  </si>
  <si>
    <t>Create or Destroy Water</t>
  </si>
  <si>
    <t>Cure Wounds</t>
  </si>
  <si>
    <t>Detect Evil and Good</t>
  </si>
  <si>
    <t>Detect Magic</t>
  </si>
  <si>
    <t>Detect Poison and Disease</t>
  </si>
  <si>
    <t>Disguise Self</t>
  </si>
  <si>
    <t>Dissonant Whispers</t>
  </si>
  <si>
    <t>Divine Favor</t>
  </si>
  <si>
    <t>Earth Tremor</t>
  </si>
  <si>
    <t>Ensnaring Strike</t>
  </si>
  <si>
    <t>Entangle</t>
  </si>
  <si>
    <t>Expeditious Retreat</t>
  </si>
  <si>
    <t>Faerie Fire</t>
  </si>
  <si>
    <t>False Life</t>
  </si>
  <si>
    <t>Feather Fall</t>
  </si>
  <si>
    <t>Find Familiar</t>
  </si>
  <si>
    <t>Fog Cloud</t>
  </si>
  <si>
    <t>Frost Fingers</t>
  </si>
  <si>
    <t>Gift of Alacrity</t>
  </si>
  <si>
    <t>Goodberry</t>
  </si>
  <si>
    <t>Grease</t>
  </si>
  <si>
    <t>Guiding Bolt</t>
  </si>
  <si>
    <t>Hail of Thorns</t>
  </si>
  <si>
    <t>Healing Word</t>
  </si>
  <si>
    <t>Hellish Rebuke</t>
  </si>
  <si>
    <t>Heroism</t>
  </si>
  <si>
    <t>Hex</t>
  </si>
  <si>
    <t>Hunter's Mark</t>
  </si>
  <si>
    <t>Ice Knife</t>
  </si>
  <si>
    <t>Identify</t>
  </si>
  <si>
    <t>Illusory Script</t>
  </si>
  <si>
    <t>Inflict Wounds</t>
  </si>
  <si>
    <t>Jump</t>
  </si>
  <si>
    <t>Longstrider</t>
  </si>
  <si>
    <t>Mage Armor</t>
  </si>
  <si>
    <t>Magic Missile</t>
  </si>
  <si>
    <t>Magnify Gravity</t>
  </si>
  <si>
    <t>Protection from Evil and Good</t>
  </si>
  <si>
    <t>Purify Food and Drink</t>
  </si>
  <si>
    <t>Ray of Sickness</t>
  </si>
  <si>
    <t>Sanctuary</t>
  </si>
  <si>
    <t>Searing Smite</t>
  </si>
  <si>
    <t>Shield</t>
  </si>
  <si>
    <t>Shield of Faith</t>
  </si>
  <si>
    <t>Silent Image</t>
  </si>
  <si>
    <t>Silvery Barbs</t>
  </si>
  <si>
    <t>Sleep</t>
  </si>
  <si>
    <t>Snare</t>
  </si>
  <si>
    <t>Speak with Animals</t>
  </si>
  <si>
    <t>Tasha's Caustic Brew</t>
  </si>
  <si>
    <t>Tasha's Hideous Laughter</t>
  </si>
  <si>
    <t>Tenser's Floating Disk</t>
  </si>
  <si>
    <t>Thunderous Smite</t>
  </si>
  <si>
    <t>Thunderwave</t>
  </si>
  <si>
    <t>Unseen Servant</t>
  </si>
  <si>
    <t>Witch Bolt</t>
  </si>
  <si>
    <t>Wrathful Smite</t>
  </si>
  <si>
    <t>Zephyr Strike</t>
  </si>
  <si>
    <t>Acid Splash</t>
  </si>
  <si>
    <t>Blade Ward</t>
  </si>
  <si>
    <t>Booming Blade</t>
  </si>
  <si>
    <t>Chill Touch</t>
  </si>
  <si>
    <t>Control Flames</t>
  </si>
  <si>
    <t>Create Bonfire</t>
  </si>
  <si>
    <t>Dancing Lights</t>
  </si>
  <si>
    <t>Druidcraft</t>
  </si>
  <si>
    <t>Eldritch Blast</t>
  </si>
  <si>
    <t>Fire Bolt</t>
  </si>
  <si>
    <t>Friends</t>
  </si>
  <si>
    <t>Frostbite</t>
  </si>
  <si>
    <t>Green-Flame Blade</t>
  </si>
  <si>
    <t>Guidance</t>
  </si>
  <si>
    <t>Gust</t>
  </si>
  <si>
    <t>Infestation</t>
  </si>
  <si>
    <t>Light</t>
  </si>
  <si>
    <t>Lightning Lure</t>
  </si>
  <si>
    <t>Mage Hand</t>
  </si>
  <si>
    <t>Magic Stone</t>
  </si>
  <si>
    <t>Mending</t>
  </si>
  <si>
    <t>Message</t>
  </si>
  <si>
    <t>Mind Sliver</t>
  </si>
  <si>
    <t>Minor Illusion</t>
  </si>
  <si>
    <t>Mold Earth</t>
  </si>
  <si>
    <t>Poison Spray</t>
  </si>
  <si>
    <t>Prestidigitation</t>
  </si>
  <si>
    <t>Primal Savagery</t>
  </si>
  <si>
    <t>Produce Flame</t>
  </si>
  <si>
    <t>Ray of Frost</t>
  </si>
  <si>
    <t>Resistance</t>
  </si>
  <si>
    <t>Sacred Flame</t>
  </si>
  <si>
    <t>Sapping Sting</t>
  </si>
  <si>
    <t>Shape Water</t>
  </si>
  <si>
    <t>Shillelagh</t>
  </si>
  <si>
    <t>Shocking Grasp</t>
  </si>
  <si>
    <t>Spare the Dying</t>
  </si>
  <si>
    <t>Sword Burst</t>
  </si>
  <si>
    <t>Thaumaturgy</t>
  </si>
  <si>
    <t>Thorn Whip</t>
  </si>
  <si>
    <t>Thunderclap</t>
  </si>
  <si>
    <t>Toll the Dead</t>
  </si>
  <si>
    <t>True Strike</t>
  </si>
  <si>
    <t>Vicious Mockery</t>
  </si>
  <si>
    <t>Word of Radiance</t>
  </si>
  <si>
    <t>Aganazzar's Scorcher</t>
  </si>
  <si>
    <t>Aid</t>
  </si>
  <si>
    <t>Air Bubble</t>
  </si>
  <si>
    <t>Alter Self</t>
  </si>
  <si>
    <t>Animal Messenger</t>
  </si>
  <si>
    <t>Arcane Lock</t>
  </si>
  <si>
    <t>Augury</t>
  </si>
  <si>
    <t>Barkskin</t>
  </si>
  <si>
    <t>Beast Sense</t>
  </si>
  <si>
    <t>Blindness/Deafness</t>
  </si>
  <si>
    <t>Blur</t>
  </si>
  <si>
    <t>Borrowed Knowledge</t>
  </si>
  <si>
    <t>Branding Smite</t>
  </si>
  <si>
    <t>Calm Emotions</t>
  </si>
  <si>
    <t>Cloud of Daggers</t>
  </si>
  <si>
    <t>Continual Flame</t>
  </si>
  <si>
    <t>Cordon of Arrows</t>
  </si>
  <si>
    <t>Crown of Madness</t>
  </si>
  <si>
    <t>Darkness</t>
  </si>
  <si>
    <t>Darkvision</t>
  </si>
  <si>
    <t>Detect Thoughts</t>
  </si>
  <si>
    <t>Dragon's Breath</t>
  </si>
  <si>
    <t>Dust Devil</t>
  </si>
  <si>
    <t>Earthbind</t>
  </si>
  <si>
    <t>Enhance Ability</t>
  </si>
  <si>
    <t>Enlarge/Reduce</t>
  </si>
  <si>
    <t>Enthrall</t>
  </si>
  <si>
    <t>Find Steed</t>
  </si>
  <si>
    <t>Find Traps</t>
  </si>
  <si>
    <t>Flame Blade</t>
  </si>
  <si>
    <t>Flaming Sphere</t>
  </si>
  <si>
    <t>Fortune's Favor</t>
  </si>
  <si>
    <t>Gentle Repose</t>
  </si>
  <si>
    <t>Gust of Wind</t>
  </si>
  <si>
    <t>Healing Spirit</t>
  </si>
  <si>
    <t>Heat Metal</t>
  </si>
  <si>
    <t>Hold Person</t>
  </si>
  <si>
    <t>Immovable Object</t>
  </si>
  <si>
    <t>Kinetic Jaunt</t>
  </si>
  <si>
    <t>Knock</t>
  </si>
  <si>
    <t>Lesser Restoration</t>
  </si>
  <si>
    <t>Levitate</t>
  </si>
  <si>
    <t>Locate Animals or Plants</t>
  </si>
  <si>
    <t>Locate Object</t>
  </si>
  <si>
    <t>Magic Mouth</t>
  </si>
  <si>
    <t>Magic Weapon</t>
  </si>
  <si>
    <t>Maximilian's Earthen Grasp</t>
  </si>
  <si>
    <t>Melf's Acid Arrow</t>
  </si>
  <si>
    <t>Mind Spike</t>
  </si>
  <si>
    <t>Mirror Image</t>
  </si>
  <si>
    <t>Misty Step</t>
  </si>
  <si>
    <t>Moonbeam</t>
  </si>
  <si>
    <t>Nathair's Mischief</t>
  </si>
  <si>
    <t>Nystul's Magic Aura</t>
  </si>
  <si>
    <t>Pass without Trace</t>
  </si>
  <si>
    <t>Phantasmal Force</t>
  </si>
  <si>
    <t>Prayer of Healing</t>
  </si>
  <si>
    <t>Protection from Poison</t>
  </si>
  <si>
    <t>Pyrotechnics</t>
  </si>
  <si>
    <t>Ray of Enfeeblement</t>
  </si>
  <si>
    <t>Rime's Binding Ice</t>
  </si>
  <si>
    <t>Rope Trick</t>
  </si>
  <si>
    <t>Scorching Ray</t>
  </si>
  <si>
    <t>See Invisibility</t>
  </si>
  <si>
    <t>Shadow Blade</t>
  </si>
  <si>
    <t>Shatter</t>
  </si>
  <si>
    <t>Silence</t>
  </si>
  <si>
    <t>Skywrite</t>
  </si>
  <si>
    <t>Snilloc's Snowball Swarm</t>
  </si>
  <si>
    <t>Spider Climb</t>
  </si>
  <si>
    <t>Spike Growth</t>
  </si>
  <si>
    <t>Spiritual Weapon</t>
  </si>
  <si>
    <t>Suggestion</t>
  </si>
  <si>
    <t>Summon Beast</t>
  </si>
  <si>
    <t>Tasha's Mind Whip</t>
  </si>
  <si>
    <t>Vortex Warp</t>
  </si>
  <si>
    <t>Warding Bond</t>
  </si>
  <si>
    <t>Warding Wind</t>
  </si>
  <si>
    <t>Web</t>
  </si>
  <si>
    <t>Wither and Bloom</t>
  </si>
  <si>
    <t>Wristpocket</t>
  </si>
  <si>
    <t>Zone of Truth</t>
  </si>
  <si>
    <t>Animate Dead</t>
  </si>
  <si>
    <t>Ashardalon's Stride</t>
  </si>
  <si>
    <t>Aura of Vitality</t>
  </si>
  <si>
    <t>Beacon of Hope</t>
  </si>
  <si>
    <t>Bestow Curse</t>
  </si>
  <si>
    <t>Blinding Smite</t>
  </si>
  <si>
    <t>Blink</t>
  </si>
  <si>
    <t>Call Lightning</t>
  </si>
  <si>
    <t>Catnap</t>
  </si>
  <si>
    <t>Clairvoyance</t>
  </si>
  <si>
    <t>Conjure Animals</t>
  </si>
  <si>
    <t>Conjure Barrage</t>
  </si>
  <si>
    <t>Counterspell</t>
  </si>
  <si>
    <t>Create Food and Water</t>
  </si>
  <si>
    <t>Crusader's Mantle</t>
  </si>
  <si>
    <t>Daylight</t>
  </si>
  <si>
    <t>Dispel Magic</t>
  </si>
  <si>
    <t>Elemental Weapon</t>
  </si>
  <si>
    <t>Enemies Abound</t>
  </si>
  <si>
    <t>Erupting Earth</t>
  </si>
  <si>
    <t>Fear</t>
  </si>
  <si>
    <t>Feign Death</t>
  </si>
  <si>
    <t>Fireball</t>
  </si>
  <si>
    <t>Flame Arrows</t>
  </si>
  <si>
    <t>Fly</t>
  </si>
  <si>
    <t>Freedom of the Waves</t>
  </si>
  <si>
    <t>Gaseous Form</t>
  </si>
  <si>
    <t>Glyph of Warding</t>
  </si>
  <si>
    <t>Haste</t>
  </si>
  <si>
    <t>Hunger of Hadar</t>
  </si>
  <si>
    <t>Hypnotic Pattern</t>
  </si>
  <si>
    <t>Intellect Fortress</t>
  </si>
  <si>
    <t>Leomund's Tiny Hut</t>
  </si>
  <si>
    <t>Life Transference</t>
  </si>
  <si>
    <t>Lightning Arrow</t>
  </si>
  <si>
    <t>Lightning Bolt</t>
  </si>
  <si>
    <t>Magic Circle</t>
  </si>
  <si>
    <t>Major Image</t>
  </si>
  <si>
    <t>Mass Healing Word</t>
  </si>
  <si>
    <t>Meld into Stone</t>
  </si>
  <si>
    <t>Melf's Minute Meteors</t>
  </si>
  <si>
    <t>Nondetection</t>
  </si>
  <si>
    <t>Phantom Steed</t>
  </si>
  <si>
    <t>Plant Growth</t>
  </si>
  <si>
    <t>Protection from Energy</t>
  </si>
  <si>
    <t>Pulse Wave</t>
  </si>
  <si>
    <t>Remove Curse</t>
  </si>
  <si>
    <t>Revivify</t>
  </si>
  <si>
    <t>Sending</t>
  </si>
  <si>
    <t>Sleet Storm</t>
  </si>
  <si>
    <t>Slow</t>
  </si>
  <si>
    <t>Speak with Dead</t>
  </si>
  <si>
    <t>Speak with Plants</t>
  </si>
  <si>
    <t>Spirit Guardians</t>
  </si>
  <si>
    <t>Spirit Shroud</t>
  </si>
  <si>
    <t>Stinking Cloud</t>
  </si>
  <si>
    <t>Summon Fey</t>
  </si>
  <si>
    <t>Summon Lesser Demons</t>
  </si>
  <si>
    <t>Summon Shadowspawn</t>
  </si>
  <si>
    <t>Summon Undead</t>
  </si>
  <si>
    <t>Thunder Step</t>
  </si>
  <si>
    <t>Tidal Wave</t>
  </si>
  <si>
    <t>Tiny Servant</t>
  </si>
  <si>
    <t>Tongues</t>
  </si>
  <si>
    <t>Vampiric Touch</t>
  </si>
  <si>
    <t>Wall of Sand</t>
  </si>
  <si>
    <t>Wall of Water</t>
  </si>
  <si>
    <t>Water Breathing</t>
  </si>
  <si>
    <t>Water Walk</t>
  </si>
  <si>
    <t>Wind Wall</t>
  </si>
  <si>
    <t>Arcane Eye</t>
  </si>
  <si>
    <t>Aura of Life</t>
  </si>
  <si>
    <t>Aura of Purity</t>
  </si>
  <si>
    <t>Banishment</t>
  </si>
  <si>
    <t>Blight</t>
  </si>
  <si>
    <t>Charm Monster</t>
  </si>
  <si>
    <t>Compulsion</t>
  </si>
  <si>
    <t>Confusion</t>
  </si>
  <si>
    <t>Conjure Minor Elementals</t>
  </si>
  <si>
    <t>Conjure Woodland Beings</t>
  </si>
  <si>
    <t>Control Water</t>
  </si>
  <si>
    <t>Death Ward</t>
  </si>
  <si>
    <t>Dimension Door</t>
  </si>
  <si>
    <t>Dominate Beast</t>
  </si>
  <si>
    <t>Elemental Bane</t>
  </si>
  <si>
    <t>Evard's Black Tentacles</t>
  </si>
  <si>
    <t>Fabricate</t>
  </si>
  <si>
    <t>Find Greater Steed</t>
  </si>
  <si>
    <t>Fire Shield</t>
  </si>
  <si>
    <t>Freedom of Movement</t>
  </si>
  <si>
    <t>Giant Insect</t>
  </si>
  <si>
    <t>Grasping Vine</t>
  </si>
  <si>
    <t>Gravity Sinkhole</t>
  </si>
  <si>
    <t>Greater Invisibility</t>
  </si>
  <si>
    <t>Guardian of Faith</t>
  </si>
  <si>
    <t>Guardian of Nature</t>
  </si>
  <si>
    <t>Hallucinatory Terrain</t>
  </si>
  <si>
    <t>Ice Storm</t>
  </si>
  <si>
    <t>Leomund's Secret Chest</t>
  </si>
  <si>
    <t>Locate Creature</t>
  </si>
  <si>
    <t>Mordenkainen's Faithful Hound</t>
  </si>
  <si>
    <t>Mordenkainen's Private Sanctum</t>
  </si>
  <si>
    <t>Otiluke's Resilient Sphere</t>
  </si>
  <si>
    <t>Phantasmal Killer</t>
  </si>
  <si>
    <t>Polymorph</t>
  </si>
  <si>
    <t>Raulothim's Psychic Lance</t>
  </si>
  <si>
    <t>Shadow of Moil</t>
  </si>
  <si>
    <t>Sickening Radiance</t>
  </si>
  <si>
    <t>Staggering Smite</t>
  </si>
  <si>
    <t>Stone Shape</t>
  </si>
  <si>
    <t>Stoneskin</t>
  </si>
  <si>
    <t>Storm Sphere</t>
  </si>
  <si>
    <t>Summon Aberration</t>
  </si>
  <si>
    <t>Summon Construct</t>
  </si>
  <si>
    <t>Summon Elemental</t>
  </si>
  <si>
    <t>Summon Greater Demon</t>
  </si>
  <si>
    <t>Vitriolic Sphere</t>
  </si>
  <si>
    <t>Wall of Fire</t>
  </si>
  <si>
    <t>Watery Sphere</t>
  </si>
  <si>
    <t>Animate Objects</t>
  </si>
  <si>
    <t>Antilife Shell</t>
  </si>
  <si>
    <t>Awaken</t>
  </si>
  <si>
    <t>Banishing Smite</t>
  </si>
  <si>
    <t>Bigby's Hand</t>
  </si>
  <si>
    <t>Circle of Power</t>
  </si>
  <si>
    <t>Cloudkill</t>
  </si>
  <si>
    <t>Commune</t>
  </si>
  <si>
    <t>Commune with Nature</t>
  </si>
  <si>
    <t>Cone of Cold</t>
  </si>
  <si>
    <t>Conjure Elemental</t>
  </si>
  <si>
    <t>Conjure Volley</t>
  </si>
  <si>
    <t>Contact Other Plane</t>
  </si>
  <si>
    <t>Contagion</t>
  </si>
  <si>
    <t>Control Winds</t>
  </si>
  <si>
    <t>Creation</t>
  </si>
  <si>
    <t>Danse Macabre</t>
  </si>
  <si>
    <t>Dawn</t>
  </si>
  <si>
    <t>Destructive Wave</t>
  </si>
  <si>
    <t>Dispel Evil and Good</t>
  </si>
  <si>
    <t>Dominate Person</t>
  </si>
  <si>
    <t>Dream</t>
  </si>
  <si>
    <t>Enervation</t>
  </si>
  <si>
    <t>Far Step</t>
  </si>
  <si>
    <t>Flame Strike</t>
  </si>
  <si>
    <t>Freedom of the Winds</t>
  </si>
  <si>
    <t>Geas</t>
  </si>
  <si>
    <t>Greater Restoration</t>
  </si>
  <si>
    <t>Hallow</t>
  </si>
  <si>
    <t>Hold Monster</t>
  </si>
  <si>
    <t>Holy Weapon</t>
  </si>
  <si>
    <t>Immolation</t>
  </si>
  <si>
    <t>Infernal Calling</t>
  </si>
  <si>
    <t>Insect Plague</t>
  </si>
  <si>
    <t>Legend Lore</t>
  </si>
  <si>
    <t>Maelstrom</t>
  </si>
  <si>
    <t>Mass Cure Wounds</t>
  </si>
  <si>
    <t>Mislead</t>
  </si>
  <si>
    <t>Modify Memory</t>
  </si>
  <si>
    <t>Negative Energy Flood</t>
  </si>
  <si>
    <t>Passwall</t>
  </si>
  <si>
    <t>Planar Binding</t>
  </si>
  <si>
    <t>Raise Dead</t>
  </si>
  <si>
    <t>Rary's Telepathic Bond</t>
  </si>
  <si>
    <t>Reincarnate</t>
  </si>
  <si>
    <t>Scrying</t>
  </si>
  <si>
    <t>Seeming</t>
  </si>
  <si>
    <t>Skill Empowerment</t>
  </si>
  <si>
    <t>Steel Wind Strike</t>
  </si>
  <si>
    <t>Summon Celestial</t>
  </si>
  <si>
    <t>Summon Draconic Spirit</t>
  </si>
  <si>
    <t>Swift Quiver</t>
  </si>
  <si>
    <t>Synaptic Static</t>
  </si>
  <si>
    <t>Telekinesis</t>
  </si>
  <si>
    <t>Teleportation Circle</t>
  </si>
  <si>
    <t>Temporal Shunt</t>
  </si>
  <si>
    <t>Transmute Rock</t>
  </si>
  <si>
    <t>Tree Stride</t>
  </si>
  <si>
    <t>Wall of Force</t>
  </si>
  <si>
    <t>Wall of Light</t>
  </si>
  <si>
    <t>Wall of Stone</t>
  </si>
  <si>
    <t>Wrath of Nature</t>
  </si>
  <si>
    <t>Arcane Gate</t>
  </si>
  <si>
    <t>Blade Barrier</t>
  </si>
  <si>
    <t>Bones of the Earth</t>
  </si>
  <si>
    <t>Chain Lightning</t>
  </si>
  <si>
    <t>Circle of Death</t>
  </si>
  <si>
    <t>Conjure Fey</t>
  </si>
  <si>
    <t>Contingency</t>
  </si>
  <si>
    <t>Create Homunculus</t>
  </si>
  <si>
    <t>Create Undead</t>
  </si>
  <si>
    <t>Disintegrate</t>
  </si>
  <si>
    <t>Drawmij's Instant Summons</t>
  </si>
  <si>
    <t>Druid Grove</t>
  </si>
  <si>
    <t>Eyebite</t>
  </si>
  <si>
    <t>Find the Path</t>
  </si>
  <si>
    <t>Fizban's Platinum Shield</t>
  </si>
  <si>
    <t>Flesh to Stone</t>
  </si>
  <si>
    <t>Forbiddance</t>
  </si>
  <si>
    <t>Globe of Invulnerability</t>
  </si>
  <si>
    <t>Gravity Fissure</t>
  </si>
  <si>
    <t>Guards and Wards</t>
  </si>
  <si>
    <t>Harm</t>
  </si>
  <si>
    <t>Heal</t>
  </si>
  <si>
    <t>Heroes' Feast</t>
  </si>
  <si>
    <t>Investiture of Flame</t>
  </si>
  <si>
    <t>Investiture of Ice</t>
  </si>
  <si>
    <t>Investiture of Stone</t>
  </si>
  <si>
    <t>Investiture of Wind</t>
  </si>
  <si>
    <t>Magic Jar</t>
  </si>
  <si>
    <t>Mass Suggestion</t>
  </si>
  <si>
    <t>Mental Prison</t>
  </si>
  <si>
    <t>Move Earth</t>
  </si>
  <si>
    <t>Otiluke's Freezing Sphere</t>
  </si>
  <si>
    <t>Otto's Irresistible Dance</t>
  </si>
  <si>
    <t>Planar Ally</t>
  </si>
  <si>
    <t>Primordial Ward</t>
  </si>
  <si>
    <t>Programmed Illusion</t>
  </si>
  <si>
    <t>Scatter</t>
  </si>
  <si>
    <t>Soul Cage</t>
  </si>
  <si>
    <t>Summon Fiend</t>
  </si>
  <si>
    <t>Sunbeam</t>
  </si>
  <si>
    <t>Tasha's Otherworldly Guise</t>
  </si>
  <si>
    <t>Tenser's Transformation</t>
  </si>
  <si>
    <t>Transport via Plants</t>
  </si>
  <si>
    <t>True Seeing</t>
  </si>
  <si>
    <t>Wall of Ice</t>
  </si>
  <si>
    <t>Wall of Thorns</t>
  </si>
  <si>
    <t>Wind Walk</t>
  </si>
  <si>
    <t>Word of Recall</t>
  </si>
  <si>
    <t>Conjure Celestial</t>
  </si>
  <si>
    <t>Create Magen</t>
  </si>
  <si>
    <t>Crown of Stars</t>
  </si>
  <si>
    <t>Delayed Blast Fireball</t>
  </si>
  <si>
    <t>Divine Word</t>
  </si>
  <si>
    <t>Draconic Transformation</t>
  </si>
  <si>
    <t>Dream of the Blue Veil</t>
  </si>
  <si>
    <t>Etherealness</t>
  </si>
  <si>
    <t>Finger of Death</t>
  </si>
  <si>
    <t>Fire Storm</t>
  </si>
  <si>
    <t>Forcecage</t>
  </si>
  <si>
    <t>Mirage Arcane</t>
  </si>
  <si>
    <t>Mordenkainen's Magnificent Mansion</t>
  </si>
  <si>
    <t>Mordenkainen's Sword</t>
  </si>
  <si>
    <t>Plane Shift</t>
  </si>
  <si>
    <t>Power Word Pain</t>
  </si>
  <si>
    <t>Prismatic Spray</t>
  </si>
  <si>
    <t>Project Image</t>
  </si>
  <si>
    <t>Regenerate</t>
  </si>
  <si>
    <t>Resurrection</t>
  </si>
  <si>
    <t>Reverse Gravity</t>
  </si>
  <si>
    <t>Sequester</t>
  </si>
  <si>
    <t>Simulacrum</t>
  </si>
  <si>
    <t>Symbol</t>
  </si>
  <si>
    <t>Teleport</t>
  </si>
  <si>
    <t>Temple of the Gods</t>
  </si>
  <si>
    <t>Tether Essence</t>
  </si>
  <si>
    <t>Whirlwind</t>
  </si>
  <si>
    <t>Abi-Dalzim's Horrid Wilting</t>
  </si>
  <si>
    <t>Animal Shapes</t>
  </si>
  <si>
    <t>Antimagic Field</t>
  </si>
  <si>
    <t>Antipathy/Sympathy</t>
  </si>
  <si>
    <t>Clone</t>
  </si>
  <si>
    <t>Control Weather</t>
  </si>
  <si>
    <t>Dark Star</t>
  </si>
  <si>
    <t>Demiplane</t>
  </si>
  <si>
    <t>Dominate Monster</t>
  </si>
  <si>
    <t>Earthquake</t>
  </si>
  <si>
    <t>Feeblemind</t>
  </si>
  <si>
    <t>Glibness</t>
  </si>
  <si>
    <t>Holy Aura</t>
  </si>
  <si>
    <t>Illusory Dragon</t>
  </si>
  <si>
    <t>Incendiary Cloud</t>
  </si>
  <si>
    <t>Maddening Darkness</t>
  </si>
  <si>
    <t>Maze</t>
  </si>
  <si>
    <t>Mighty Fortress</t>
  </si>
  <si>
    <t>Mind Blank</t>
  </si>
  <si>
    <t>Power Word Stun</t>
  </si>
  <si>
    <t>Reality Break</t>
  </si>
  <si>
    <t>Sunburst</t>
  </si>
  <si>
    <t>Telepathy</t>
  </si>
  <si>
    <t>Tsunami</t>
  </si>
  <si>
    <t>Astral Projection</t>
  </si>
  <si>
    <t>Blade of Disaster</t>
  </si>
  <si>
    <t>Foresight</t>
  </si>
  <si>
    <t>Gate</t>
  </si>
  <si>
    <t>Imprisonment</t>
  </si>
  <si>
    <t>Invulnerability</t>
  </si>
  <si>
    <t>Mass Heal</t>
  </si>
  <si>
    <t>Mass Polymorph</t>
  </si>
  <si>
    <t>Meteor Swarm</t>
  </si>
  <si>
    <t>Power Word Heal</t>
  </si>
  <si>
    <t>Power Word Kill</t>
  </si>
  <si>
    <t>Prismatic Wall</t>
  </si>
  <si>
    <t>Psychic Scream</t>
  </si>
  <si>
    <t>Ravenous Void</t>
  </si>
  <si>
    <t>Shapechange</t>
  </si>
  <si>
    <t>Storm of Vengeance</t>
  </si>
  <si>
    <t>Time Ravage</t>
  </si>
  <si>
    <t>Time Stop</t>
  </si>
  <si>
    <t>True Polymorph</t>
  </si>
  <si>
    <t>True Resurrection</t>
  </si>
  <si>
    <t>Weird</t>
  </si>
  <si>
    <t>Wish</t>
  </si>
  <si>
    <t>Club</t>
  </si>
  <si>
    <t>Dagger</t>
  </si>
  <si>
    <t>Greatclub</t>
  </si>
  <si>
    <t>Handaxe</t>
  </si>
  <si>
    <t>Javelin</t>
  </si>
  <si>
    <t>Light Hammer</t>
  </si>
  <si>
    <t>Mace</t>
  </si>
  <si>
    <t>Quarterstaff</t>
  </si>
  <si>
    <t>Sickle</t>
  </si>
  <si>
    <t>Spear</t>
  </si>
  <si>
    <t>Light Crossbow</t>
  </si>
  <si>
    <t>Dart</t>
  </si>
  <si>
    <t>Shortbow</t>
  </si>
  <si>
    <t>Sling</t>
  </si>
  <si>
    <t>Battleaxe</t>
  </si>
  <si>
    <t>Flail</t>
  </si>
  <si>
    <t>Glaive</t>
  </si>
  <si>
    <t>Greataxe</t>
  </si>
  <si>
    <t>Greatsword</t>
  </si>
  <si>
    <t>Halberd</t>
  </si>
  <si>
    <t>Lance</t>
  </si>
  <si>
    <t>Longsword</t>
  </si>
  <si>
    <t>Maul</t>
  </si>
  <si>
    <t>Morningstar</t>
  </si>
  <si>
    <t>Pike</t>
  </si>
  <si>
    <t>Rapier</t>
  </si>
  <si>
    <t>Scimitar</t>
  </si>
  <si>
    <t>Shortsword</t>
  </si>
  <si>
    <t>Trident</t>
  </si>
  <si>
    <t>War Pick</t>
  </si>
  <si>
    <t>Warhammer</t>
  </si>
  <si>
    <t>Blowgun</t>
  </si>
  <si>
    <t>Hand Crossbow</t>
  </si>
  <si>
    <t>Heavy Crossbow</t>
  </si>
  <si>
    <t>Longbow</t>
  </si>
  <si>
    <t>Net</t>
  </si>
  <si>
    <t>Boots of False Tracks</t>
  </si>
  <si>
    <t>Breathing Bubble</t>
  </si>
  <si>
    <t>Candle of the Deep</t>
  </si>
  <si>
    <t>Charlatan's Die</t>
  </si>
  <si>
    <t>Chest of Preserving</t>
  </si>
  <si>
    <t>Cleansing Stone</t>
  </si>
  <si>
    <t>Cloak of Billowing</t>
  </si>
  <si>
    <t>Cloak of Many Fashions</t>
  </si>
  <si>
    <t>Clockwork Amulet</t>
  </si>
  <si>
    <t>Clothes of Mending</t>
  </si>
  <si>
    <t>Coin of Delving</t>
  </si>
  <si>
    <t>Common Glamerweave</t>
  </si>
  <si>
    <t>Dark Shard Amulet</t>
  </si>
  <si>
    <t>Doublet of Dramatic Demise</t>
  </si>
  <si>
    <t>Dread Helm</t>
  </si>
  <si>
    <t>Ear Horn of Hearing</t>
  </si>
  <si>
    <t>Enduring Spellbook</t>
  </si>
  <si>
    <t>Ersatz Eye</t>
  </si>
  <si>
    <t>Everbright Lantern</t>
  </si>
  <si>
    <t>Feather Token</t>
  </si>
  <si>
    <t>Hat of Vermin</t>
  </si>
  <si>
    <t>Hat of Wizardry</t>
  </si>
  <si>
    <t>Heward's Handy Spice Pouch</t>
  </si>
  <si>
    <t>Horn of Silent Alarm</t>
  </si>
  <si>
    <t>Illuminator's Tattoo</t>
  </si>
  <si>
    <t>Instrument of Illusions</t>
  </si>
  <si>
    <t>Instrument of Scribing</t>
  </si>
  <si>
    <t>Lock of Trickery</t>
  </si>
  <si>
    <t>Masque Charm</t>
  </si>
  <si>
    <t>Masquerade Tattoo</t>
  </si>
  <si>
    <t>Mystery Key</t>
  </si>
  <si>
    <t>Orb of Direction</t>
  </si>
  <si>
    <t>Orb of Time</t>
  </si>
  <si>
    <t>Perfume of Bewitching</t>
  </si>
  <si>
    <t>Pipe of Remembrance</t>
  </si>
  <si>
    <t>Pipe of Smoke Monsters</t>
  </si>
  <si>
    <t>Pole of Angling</t>
  </si>
  <si>
    <t>Pole of Collapsing</t>
  </si>
  <si>
    <t>Pot of Awakening</t>
  </si>
  <si>
    <t>Potion of Comprehension</t>
  </si>
  <si>
    <t>Potion of Watchful Rest</t>
  </si>
  <si>
    <t>Rope of Mending</t>
  </si>
  <si>
    <t>Ruby of the War Mage</t>
  </si>
  <si>
    <t>Shield of Expression</t>
  </si>
  <si>
    <t>Shiftweave</t>
  </si>
  <si>
    <t>Spellshard</t>
  </si>
  <si>
    <t>Staff of Adornment</t>
  </si>
  <si>
    <t>Staff of Birdcalls</t>
  </si>
  <si>
    <t>Staff of Flowers</t>
  </si>
  <si>
    <t>Talking Doll</t>
  </si>
  <si>
    <t>Tankard of Sobriety</t>
  </si>
  <si>
    <t>Veteran's Cane</t>
  </si>
  <si>
    <t>Vox Seeker</t>
  </si>
  <si>
    <t>Wand of Conducting</t>
  </si>
  <si>
    <t>Wand of Pyrotechnics</t>
  </si>
  <si>
    <t>Wand of Scowls</t>
  </si>
  <si>
    <t>Wand of Smiles</t>
  </si>
  <si>
    <t>[[ 1t[Simple-Ranged] ]]</t>
  </si>
  <si>
    <t>[[ 1t[Simple-Melee] ]]</t>
  </si>
  <si>
    <t>[[ 1t[Martial-Melee] ]]</t>
  </si>
  <si>
    <t>[[ 1t[Martial-Ranged] ]]</t>
  </si>
  <si>
    <t>Simple-Melee</t>
  </si>
  <si>
    <t>Simple-Ranged</t>
  </si>
  <si>
    <t>Martial-Ranged</t>
  </si>
  <si>
    <t>Martial-Melee</t>
  </si>
  <si>
    <t>Armblades</t>
  </si>
  <si>
    <t>Light-Armor</t>
  </si>
  <si>
    <t>Medium-Armor</t>
  </si>
  <si>
    <t>Heavy-Armor</t>
  </si>
  <si>
    <t>Chain Shirt</t>
  </si>
  <si>
    <t>Scale Mail</t>
  </si>
  <si>
    <t>Breastplate</t>
  </si>
  <si>
    <t>Half Plate</t>
  </si>
  <si>
    <t>Ring Mail</t>
  </si>
  <si>
    <t>Chain Mail</t>
  </si>
  <si>
    <t>[[ 1t[Medium-Armor] ]]</t>
  </si>
  <si>
    <t>[[ 1t[Heavy-Armor] ]]</t>
  </si>
  <si>
    <t>Armblade ([[ 1t[Armblades] ]])</t>
  </si>
  <si>
    <t>Cast-Off-Armor</t>
  </si>
  <si>
    <t>[[ 1t[Light-Armor] ]]</t>
  </si>
  <si>
    <t>Cast-Off Armor ([[ 1t[Cast-Off-Armor] ]])</t>
  </si>
  <si>
    <t>Swords</t>
  </si>
  <si>
    <t>Moon-Touched [[ 1t[Swords] ]]</t>
  </si>
  <si>
    <t>Ammunition</t>
  </si>
  <si>
    <t>Bolts</t>
  </si>
  <si>
    <t>Arrows</t>
  </si>
  <si>
    <t>Bullets</t>
  </si>
  <si>
    <t>Needles</t>
  </si>
  <si>
    <t>Walloping [[ 1t[Ammunition] ]]</t>
  </si>
  <si>
    <t>[[ 1t[Ammunition] ]], +2</t>
  </si>
  <si>
    <t>[[ 1t[Ammunition] ]], +1</t>
  </si>
  <si>
    <t>[[ 1t[Ammunition] ]], +3</t>
  </si>
  <si>
    <t>Dancing [[ 1t[Swords] ]]</t>
  </si>
  <si>
    <t>Axes</t>
  </si>
  <si>
    <t>[[ 1t[Swords] ]]</t>
  </si>
  <si>
    <t>[[ 1t[Axes] ]]</t>
  </si>
  <si>
    <t>Defender [[ 1t[Swords] ]]</t>
  </si>
  <si>
    <t>Holy Avenger [[ 1t[Swords] ]]</t>
  </si>
  <si>
    <t>Luck Blade [[ 1t[Swords] ]]</t>
  </si>
  <si>
    <t>Nine Lives Stealer [[ 1t[Swords] ]]</t>
  </si>
  <si>
    <t>[[ 1t[Swords] ]] of Sharpness</t>
  </si>
  <si>
    <t>[[ 1t[Swords] ]] of Life Stealing</t>
  </si>
  <si>
    <t>[[ 1t[Swords] ]] of Wounding</t>
  </si>
  <si>
    <t>Vorpal [[ 1t[Swords] ]]</t>
  </si>
  <si>
    <t>Planar-Wood</t>
  </si>
  <si>
    <t>Planar-Stone</t>
  </si>
  <si>
    <t>Arcane Propulsion Arm</t>
  </si>
  <si>
    <t>Double-Bladed Scimitar</t>
  </si>
  <si>
    <t>Earworm</t>
  </si>
  <si>
    <t>Living Gloves</t>
  </si>
  <si>
    <t>Uncommon Glamerweave</t>
  </si>
  <si>
    <t>Ventilating Lungs</t>
  </si>
  <si>
    <t>Constructs</t>
  </si>
  <si>
    <t>Dragons</t>
  </si>
  <si>
    <t>Giants</t>
  </si>
  <si>
    <t>Monstrosities</t>
  </si>
  <si>
    <t>Prosthesis</t>
  </si>
  <si>
    <t>Smoldering-Armor</t>
  </si>
  <si>
    <t>Smoldering [[ 1t[Smoldering-Armor] ]] Armor</t>
  </si>
  <si>
    <t>Metal-Armor</t>
  </si>
  <si>
    <t>[[ 1t[Metal-Armor] ]] of Gleaming</t>
  </si>
  <si>
    <t>Mithral [[ 1t[Metal-Armor] ]]</t>
  </si>
  <si>
    <t>Wand of Entangle</t>
  </si>
  <si>
    <t>Rhythm-Maker's Drum, +1</t>
  </si>
  <si>
    <t>Moon Sickle, +1</t>
  </si>
  <si>
    <t>Dragonhide Belt, +1</t>
  </si>
  <si>
    <t>Bloodwell Vial, +1</t>
  </si>
  <si>
    <t>Arcane Grimoire, +1</t>
  </si>
  <si>
    <t>Amulet of the Devout, +1</t>
  </si>
  <si>
    <t>All-Purpose Tool, +1</t>
  </si>
  <si>
    <t>Amulet of Proof against Detection and Location</t>
  </si>
  <si>
    <t>Amulet of the Drunkard</t>
  </si>
  <si>
    <t>Dust of Corrosion</t>
  </si>
  <si>
    <t>Gloves of Swimming and Climbing</t>
  </si>
  <si>
    <t>Dust of Deliciousness</t>
  </si>
  <si>
    <t>Ring of Obscuring</t>
  </si>
  <si>
    <t>Ring of Truth Telling</t>
  </si>
  <si>
    <t>Boots of Springing and Striding</t>
  </si>
  <si>
    <t>Spells-B</t>
  </si>
  <si>
    <t>Deck of Illusions ([[34-1d20-1]] cards)</t>
  </si>
  <si>
    <t>Night Caller</t>
  </si>
  <si>
    <t>Balance of Harmony</t>
  </si>
  <si>
    <t>Rod of Mercurial Form</t>
  </si>
  <si>
    <t>Spellwrought Tattoo ([[ 1t[Spells-Level-2] ]])</t>
  </si>
  <si>
    <t>Spellwrought Tattoo ([[ 1t[Spells-Level-3] ]])</t>
  </si>
  <si>
    <t>Nature's Mantle</t>
  </si>
  <si>
    <t>Guardian Emblem</t>
  </si>
  <si>
    <t>Feywild Shard</t>
  </si>
  <si>
    <t>Eldritch Claw Tattoo</t>
  </si>
  <si>
    <t>Coiling Grasp Tattoo</t>
  </si>
  <si>
    <t>Robe of Serpents</t>
  </si>
  <si>
    <t>[[ 1t[Spells-B] ]]</t>
  </si>
  <si>
    <t>Items-B</t>
  </si>
  <si>
    <t>Potions-B</t>
  </si>
  <si>
    <t>[[ 1t[Potions-B] ]]</t>
  </si>
  <si>
    <t>[[ 1t[Items-B] ]]</t>
  </si>
  <si>
    <t>Storm Boomerang</t>
  </si>
  <si>
    <t>Bottled Breath</t>
  </si>
  <si>
    <t>Balloon Pack</t>
  </si>
  <si>
    <t>Lightbringer</t>
  </si>
  <si>
    <t>Hew</t>
  </si>
  <si>
    <t>Helm of Underwater Action</t>
  </si>
  <si>
    <t>Slumbering Dragon-Touched Focus</t>
  </si>
  <si>
    <t>Slumbering Dragon Vessel</t>
  </si>
  <si>
    <t>Emerald Pen</t>
  </si>
  <si>
    <t>Rod of Retribution</t>
  </si>
  <si>
    <t>Goggles of Object Reading</t>
  </si>
  <si>
    <t>Brooch of Living Essence</t>
  </si>
  <si>
    <t>Alchemy Jug (Orange)</t>
  </si>
  <si>
    <t>Alchemy Jug (Blue)</t>
  </si>
  <si>
    <t>Serpent Scale Armor</t>
  </si>
  <si>
    <t>Boots of the Vigilant</t>
  </si>
  <si>
    <t>Echo Stone</t>
  </si>
  <si>
    <t>Pixie Dust</t>
  </si>
  <si>
    <t>Potion of Advantage</t>
  </si>
  <si>
    <t>Propeller Helm</t>
  </si>
  <si>
    <t>Spells-A</t>
  </si>
  <si>
    <t>Spellwrought Tattoo ([[ 1t[Spells-Cantrip] ]])</t>
  </si>
  <si>
    <t>Spellwrought Tattoo ([[ 1t[Spells-Level-1] ]])</t>
  </si>
  <si>
    <t>[[ 1t[Spells-A] ]]</t>
  </si>
  <si>
    <t>Potions-A</t>
  </si>
  <si>
    <t>[[ 1t[Food-A] ]]</t>
  </si>
  <si>
    <t>Food-A</t>
  </si>
  <si>
    <t>[[ 1t[Prosthesis] ]]</t>
  </si>
  <si>
    <t>Giant-Slayer-G</t>
  </si>
  <si>
    <t>Giant Slayer [[ 1t[Giant-Slayer-G] ]]</t>
  </si>
  <si>
    <t>Wand Sheath ([[ 1t[Wands-A] ]])</t>
  </si>
  <si>
    <t>Wands-A</t>
  </si>
  <si>
    <t>Armblades-Simple</t>
  </si>
  <si>
    <t>Armblades-Martial</t>
  </si>
  <si>
    <t>[[ 1t[Armblades-Simple] ]]</t>
  </si>
  <si>
    <t>[[ 1t[Armblades-Martial] ]]</t>
  </si>
  <si>
    <t>Coffee</t>
  </si>
  <si>
    <t>Black Tea</t>
  </si>
  <si>
    <t>Green Tea</t>
  </si>
  <si>
    <t>Still Water</t>
  </si>
  <si>
    <t>Sparkling Water</t>
  </si>
  <si>
    <t>Herbal Tea</t>
  </si>
  <si>
    <t>Excel Code</t>
  </si>
  <si>
    <t>Result</t>
  </si>
  <si>
    <t>Table can be expanded by dragging the formula from the corner of the box down the column.</t>
  </si>
  <si>
    <t>Looks like this:</t>
  </si>
  <si>
    <t>Yellow cells are referenced by red cells. Yellow cells can be edited as desired. Red cells will automatically update accordingly.</t>
  </si>
  <si>
    <t>To import into Roll20 using TableExport Script (Pro/API Required):</t>
  </si>
  <si>
    <t>Jewelry-F</t>
  </si>
  <si>
    <t>Small Barrier Tattoo</t>
  </si>
  <si>
    <t>Arms-F</t>
  </si>
  <si>
    <t>Bag-of-Tricks-F</t>
  </si>
  <si>
    <t>[[ 1t[Bag-of-Tricks-F] ]]</t>
  </si>
  <si>
    <t>Instrument of the Bards (Doss Lute)</t>
  </si>
  <si>
    <t>Instrument of the Bards (Fochlucan Bandore)</t>
  </si>
  <si>
    <t>Instrument of the Bards (Mac-Fuimidh Cittern)</t>
  </si>
  <si>
    <t>[[ 1t[Jewelry-F] ]]</t>
  </si>
  <si>
    <t>[[ 1t[Arms-F] ]]</t>
  </si>
  <si>
    <t>Imbued-Wood</t>
  </si>
  <si>
    <t>Rod</t>
  </si>
  <si>
    <t>Staff</t>
  </si>
  <si>
    <t>Wand</t>
  </si>
  <si>
    <t>Orb-of-Shielding</t>
  </si>
  <si>
    <t>Crystal</t>
  </si>
  <si>
    <t>Orb</t>
  </si>
  <si>
    <t>Imbued [[ 1t[Imbued-Wood] ]] ([[ 1t[Planar-Wood] ]])</t>
  </si>
  <si>
    <t>[[ 1t[Orb-of-Shielding] ]] of Shielding ([[ 1t[Planar-Stone] ]])</t>
  </si>
  <si>
    <t>Fernian Ash - Fire</t>
  </si>
  <si>
    <t>Irian Rosewood - Radiant</t>
  </si>
  <si>
    <t>Kythrian Manchineel - Acid and Poison</t>
  </si>
  <si>
    <t>Risian Pine - Cold</t>
  </si>
  <si>
    <t>Mabaran Ebony - Necrotic</t>
  </si>
  <si>
    <t>Lamannian Oak - Lightning and Thunder</t>
  </si>
  <si>
    <t>Shavarran Birch - Force</t>
  </si>
  <si>
    <t>Xorian Wenge - Psychic</t>
  </si>
  <si>
    <t>Fernian Basalt - Fire</t>
  </si>
  <si>
    <t>Irian Quartz - Radiant</t>
  </si>
  <si>
    <t>Kythrian Skarn - Acid and Poison</t>
  </si>
  <si>
    <t>Lamannian Flint - Lightning and Thunder</t>
  </si>
  <si>
    <t>Mabaran Obsidian - Necrotic</t>
  </si>
  <si>
    <t>Risian Shale - Cold</t>
  </si>
  <si>
    <t>Shavarran Chert - Force</t>
  </si>
  <si>
    <t>Xorian Marble - Psychic</t>
  </si>
  <si>
    <t>[[ 1t[Items-A] ]]</t>
  </si>
  <si>
    <t>Items-A</t>
  </si>
  <si>
    <t>[[ 1t[Potions-A] ]]</t>
  </si>
  <si>
    <t>The original DMG tables are provided with no alterations.</t>
  </si>
  <si>
    <t>Another example randomizes the spells on the scrolls, rather than whatever is implied by the DMG on how to choose.</t>
  </si>
  <si>
    <t>Every other sheet has altered tables to varying degrees. All items from primary supplements are included. Most items from official adventures and settings are included. Most highly specific setting items are not.</t>
  </si>
  <si>
    <t>The exception to that is for the Eberron setting, because that's the setting I made this for. Further, Eberron specific items are often emphasized.</t>
  </si>
  <si>
    <t>The simplest alterations include additional items without altering probabilities. An example is replacing a Spell Scroll entry with a nested table that randomly chooses between a standard scroll and a Spellwrought Tattoo (from TCE).</t>
  </si>
  <si>
    <t>To include new items, all of the original items are combined into a single entry called Items-B with a probability of 20%. Items-B can then be a table of 25+ items, made of old and new items.</t>
  </si>
  <si>
    <t>Table alterations get much more complicated. On Table F, Spellcaster Focuses only made up 4% of the entries with two items. But Tasha's Cauldron provided a ton of new options.</t>
  </si>
  <si>
    <t>Potions-C</t>
  </si>
  <si>
    <t>[[ 1t[Potions-C] ]]</t>
  </si>
  <si>
    <t>Spells-C</t>
  </si>
  <si>
    <t>Spellwrought Tattoo ([[ 1t[Spells-Level-4] ]])</t>
  </si>
  <si>
    <t>Spellwrought Tattoo ([[ 1t[Spells-Level-5] ]])</t>
  </si>
  <si>
    <t>[[ 1t[Spells-C] ]]</t>
  </si>
  <si>
    <t>Consumables-C</t>
  </si>
  <si>
    <t>[[ 1t[Consumables-C] ]]</t>
  </si>
  <si>
    <t>Items-C</t>
  </si>
  <si>
    <t>[[ 1t[Items-C] ]]</t>
  </si>
  <si>
    <t>Black Chromatic Rose</t>
  </si>
  <si>
    <t>Blue Chromatic Rose</t>
  </si>
  <si>
    <t>Cauldron of Plenty</t>
  </si>
  <si>
    <t>Green Chromatic Rose</t>
  </si>
  <si>
    <t>Red Chromatic Rose</t>
  </si>
  <si>
    <t>White Chromatic Rose</t>
  </si>
  <si>
    <t>Dodecahedron of Doom</t>
  </si>
  <si>
    <t>Eagle Whistle</t>
  </si>
  <si>
    <t>Flying Chariot</t>
  </si>
  <si>
    <t>Alchemical Compendium</t>
  </si>
  <si>
    <t>Amulet of Protection from Turning</t>
  </si>
  <si>
    <t>Astral Shard</t>
  </si>
  <si>
    <t>Astromancy Archive</t>
  </si>
  <si>
    <t>Atlas of Endless Horizons</t>
  </si>
  <si>
    <t>Banner of the Krig Rune</t>
  </si>
  <si>
    <t>Battering Shield</t>
  </si>
  <si>
    <t>Bell Branch</t>
  </si>
  <si>
    <t>Bracer of Flying Daggers</t>
  </si>
  <si>
    <t>Bracers of Celerity</t>
  </si>
  <si>
    <t>Butcher's Bib</t>
  </si>
  <si>
    <t>Charm of Plant Command</t>
  </si>
  <si>
    <t>Claw of the Wyrm Rune</t>
  </si>
  <si>
    <t>Coat of the Crest</t>
  </si>
  <si>
    <t>Crown of the Wrath Bringer</t>
  </si>
  <si>
    <t>Dagger of Blindsight</t>
  </si>
  <si>
    <t>Dagger of Denial</t>
  </si>
  <si>
    <t>Delver's Claws</t>
  </si>
  <si>
    <t>Devotee's Censer</t>
  </si>
  <si>
    <t>Docent</t>
  </si>
  <si>
    <t>Duplicitous Manuscript</t>
  </si>
  <si>
    <t>Earthboard</t>
  </si>
  <si>
    <t>Far Realm Shard</t>
  </si>
  <si>
    <t>Feather of Diatryma Summoning</t>
  </si>
  <si>
    <t>Flamefriend Lantern</t>
  </si>
  <si>
    <t>Flayer Slayer</t>
  </si>
  <si>
    <t>Fulminating Treatise</t>
  </si>
  <si>
    <t>Gauntlets of Flaming Fury</t>
  </si>
  <si>
    <t>Gavel of the Venn Rune</t>
  </si>
  <si>
    <t>Ghost Lantern</t>
  </si>
  <si>
    <t>Glowrune Pigment</t>
  </si>
  <si>
    <t>Heart Weaver's Primer</t>
  </si>
  <si>
    <t>Helm of the Gods</t>
  </si>
  <si>
    <t>Hook of Fisher's Delight</t>
  </si>
  <si>
    <t>Inescapable Lash</t>
  </si>
  <si>
    <t>Kagonesti Forest Shroud</t>
  </si>
  <si>
    <t>Lash of Immolation</t>
  </si>
  <si>
    <t>Libram of Souls and Flesh</t>
  </si>
  <si>
    <t>Luminous War Pick</t>
  </si>
  <si>
    <t>Lyre of Building</t>
  </si>
  <si>
    <t>Magician's Judge</t>
  </si>
  <si>
    <t>Mirror of the Past</t>
  </si>
  <si>
    <t>Needle of Mending</t>
  </si>
  <si>
    <t>Opal of the Ild Rune</t>
  </si>
  <si>
    <t>Orb of the Stein Rune</t>
  </si>
  <si>
    <t>Pariah's Shield</t>
  </si>
  <si>
    <t>Planecaller's Codex</t>
  </si>
  <si>
    <t>Potion of Aqueous Form</t>
  </si>
  <si>
    <t>Potion of Maximum Power</t>
  </si>
  <si>
    <t>Professor Orb</t>
  </si>
  <si>
    <t>Protective Verses</t>
  </si>
  <si>
    <t>Reveler's Concertina</t>
  </si>
  <si>
    <t>Ring of Temporal Salvation</t>
  </si>
  <si>
    <t>Robe of Summer</t>
  </si>
  <si>
    <t>Scissors of Shadow Snipping</t>
  </si>
  <si>
    <t>Serpent's Fang</t>
  </si>
  <si>
    <t>Shadowfell Brand Tattoo</t>
  </si>
  <si>
    <t>Shadowfell Shard</t>
  </si>
  <si>
    <t>Siren Song Lyre</t>
  </si>
  <si>
    <t>Skysail</t>
  </si>
  <si>
    <t>Spider Staff</t>
  </si>
  <si>
    <t>Staff of Defense</t>
  </si>
  <si>
    <t>Staff of the Ivory Claw</t>
  </si>
  <si>
    <t>Staff of the Rooted Hills</t>
  </si>
  <si>
    <t>Stirring Dragon Vessel</t>
  </si>
  <si>
    <t>Stonespeaker Crystal</t>
  </si>
  <si>
    <t>Stormrider Boots</t>
  </si>
  <si>
    <t>Summer's Dance</t>
  </si>
  <si>
    <t>Sunforger</t>
  </si>
  <si>
    <t>Teleportation Tablet</t>
  </si>
  <si>
    <t>Two-Birds Sling</t>
  </si>
  <si>
    <t>Wand of Winter</t>
  </si>
  <si>
    <t>War Horn of Valor</t>
  </si>
  <si>
    <t>Wayfarer's Boots</t>
  </si>
  <si>
    <t>Weird Tank</t>
  </si>
  <si>
    <t>Woodcutter's Axe</t>
  </si>
  <si>
    <t>Potion of Mind Control (Beast)</t>
  </si>
  <si>
    <t>Potion of Mind Control (Humanoid)</t>
  </si>
  <si>
    <t>[[ 1t[Horn-of-Valhalla-G] ]]</t>
  </si>
  <si>
    <t>Arms-G</t>
  </si>
  <si>
    <t>Jewelry-G</t>
  </si>
  <si>
    <t>[[ 1t[Jewelry-G] ]]</t>
  </si>
  <si>
    <t>[[ 1t[Arms-G] ]]</t>
  </si>
  <si>
    <t>Bonecounter</t>
  </si>
  <si>
    <t>All-Purpose Tool, +2</t>
  </si>
  <si>
    <t>Amulet of the Devout, +2</t>
  </si>
  <si>
    <t>Arcane Grimoire, +2</t>
  </si>
  <si>
    <t>Bloodwell Vial, +2</t>
  </si>
  <si>
    <t>Dragonhide Belt, +2</t>
  </si>
  <si>
    <t>Moon Sickle, +2</t>
  </si>
  <si>
    <t>Rhythm-Maker's Drum, +2</t>
  </si>
  <si>
    <t>Medium Barrier Tattoo</t>
  </si>
  <si>
    <t>Crystal [[ 1t[Swords] ]]</t>
  </si>
  <si>
    <t>Bows</t>
  </si>
  <si>
    <t>Ranged</t>
  </si>
  <si>
    <t>Oceanic [[ 1t[Ranged] ]]</t>
  </si>
  <si>
    <t>Chromatic</t>
  </si>
  <si>
    <t>Gem</t>
  </si>
  <si>
    <t>Metallic</t>
  </si>
  <si>
    <t>Splint Armor</t>
  </si>
  <si>
    <t>Plate Armor</t>
  </si>
  <si>
    <t>Hide Armor</t>
  </si>
  <si>
    <t>Half Plate Armor</t>
  </si>
  <si>
    <t>Leather Armor</t>
  </si>
  <si>
    <t>Studded Leather Armor</t>
  </si>
  <si>
    <t>Zephyr [[ 1t[Light-Armor] ]]</t>
  </si>
  <si>
    <t>Wizard-G</t>
  </si>
  <si>
    <t>Sorcerer-G</t>
  </si>
  <si>
    <t>Bard-G</t>
  </si>
  <si>
    <t>[[ 1t[Bard-G] ]]</t>
  </si>
  <si>
    <t>[[ 1t[Sorcerer-G] ]]</t>
  </si>
  <si>
    <t>[[ 1t[Wizard-G] ]]</t>
  </si>
  <si>
    <t>Adamantine [[ 1t[Metal-Armor] ]]</t>
  </si>
  <si>
    <t>[[ 1t[Armor] ]] of [[ 1t[Damage-Type] ]] Resistance</t>
  </si>
  <si>
    <t>[[ 1t[Armor] ]], +1</t>
  </si>
  <si>
    <t>Armor</t>
  </si>
  <si>
    <t>Padded Gambeson</t>
  </si>
  <si>
    <t>Molten-Armor-G</t>
  </si>
  <si>
    <t>Molten Bronze Skin [[ 1t[Molten-Armor-G] ]]</t>
  </si>
  <si>
    <t>Chaotic Essence Shard</t>
  </si>
  <si>
    <t>Evil Essence Shard</t>
  </si>
  <si>
    <t>Good Essence Shard</t>
  </si>
  <si>
    <t>Lawful Essence Shard</t>
  </si>
  <si>
    <t>Air Essence Shard</t>
  </si>
  <si>
    <t>Earth Essence Shard</t>
  </si>
  <si>
    <t>Fire Essence Shard</t>
  </si>
  <si>
    <t>Water Essence Shard</t>
  </si>
  <si>
    <t>Items-D</t>
  </si>
  <si>
    <t>Consumables-D</t>
  </si>
  <si>
    <t>Spells-D</t>
  </si>
  <si>
    <t>Spellwrought Tattoo ([[ 1t[Spells-Level-6] ]])</t>
  </si>
  <si>
    <t>Spellwrought Tattoo ([[ 1t[Spells-Level-7] ]])</t>
  </si>
  <si>
    <t>Spellwrought Tattoo ([[ 1t[Spells-Level-8] ]])</t>
  </si>
  <si>
    <t>Potions-D</t>
  </si>
  <si>
    <t>[[ 1t[Potions-D] ]]</t>
  </si>
  <si>
    <t>[[ 1t[Spells-D] ]]</t>
  </si>
  <si>
    <t>[[ 1t[Consumables-D] ]]</t>
  </si>
  <si>
    <t>[[ 1t[Items-D] ]]</t>
  </si>
  <si>
    <t>Source</t>
  </si>
  <si>
    <t>DMG</t>
  </si>
  <si>
    <t>ERLW</t>
  </si>
  <si>
    <t>SKT</t>
  </si>
  <si>
    <t>MOT</t>
  </si>
  <si>
    <t>BGG</t>
  </si>
  <si>
    <t>TCE</t>
  </si>
  <si>
    <t>FTD</t>
  </si>
  <si>
    <t>Neutral</t>
  </si>
  <si>
    <t>Abracadabrus</t>
  </si>
  <si>
    <t>Amethyst Lodestone</t>
  </si>
  <si>
    <t>Amulet of the Black Skull</t>
  </si>
  <si>
    <t>ToA</t>
  </si>
  <si>
    <t>EGW</t>
  </si>
  <si>
    <t>Blast Scepter</t>
  </si>
  <si>
    <t>WDMM</t>
  </si>
  <si>
    <t>Bloodaxe</t>
  </si>
  <si>
    <t>Bobbing Lily Pad</t>
  </si>
  <si>
    <t>WBtW</t>
  </si>
  <si>
    <t>Boots of Haste</t>
  </si>
  <si>
    <t>Bracelet of Rock Magic</t>
  </si>
  <si>
    <t>Cape of Enlargement</t>
  </si>
  <si>
    <t>Cataclysm Bolts</t>
  </si>
  <si>
    <t>Cauldron of Rebirth</t>
  </si>
  <si>
    <t>Constantori's Portrait</t>
  </si>
  <si>
    <t>Corecut Dagger</t>
  </si>
  <si>
    <t>Crystalline Chronicle</t>
  </si>
  <si>
    <t>PotA</t>
  </si>
  <si>
    <t>GGR</t>
  </si>
  <si>
    <t>Dispelling Stone</t>
  </si>
  <si>
    <t>Duskcrusher</t>
  </si>
  <si>
    <t>Dyrrn's Tentacle Whip</t>
  </si>
  <si>
    <t>Eldritch Staff</t>
  </si>
  <si>
    <t>Elven Thrower</t>
  </si>
  <si>
    <t>Fish Suit</t>
  </si>
  <si>
    <t>AAG</t>
  </si>
  <si>
    <t>Ghost Step Tattoo</t>
  </si>
  <si>
    <t>Hunter's Coat</t>
  </si>
  <si>
    <t>Illusionist's Bracers</t>
  </si>
  <si>
    <t>Ingot of the Skold Rune</t>
  </si>
  <si>
    <t>Javelin of Backbiting</t>
  </si>
  <si>
    <t>Kyrzin's Ooze</t>
  </si>
  <si>
    <t>Lifewell Tattoo</t>
  </si>
  <si>
    <t>WDH</t>
  </si>
  <si>
    <t>Mindblasting Cap</t>
  </si>
  <si>
    <t>Mindguard Crown</t>
  </si>
  <si>
    <t>Mirror of Infinite Transpondence</t>
  </si>
  <si>
    <t>Mirror of Reflected Pasts</t>
  </si>
  <si>
    <t>Mistral Mantle</t>
  </si>
  <si>
    <t>Mudslick Tower</t>
  </si>
  <si>
    <t>Nimbus Coronet</t>
  </si>
  <si>
    <t>Orb of the Veil</t>
  </si>
  <si>
    <t>Ornithopter of Flying</t>
  </si>
  <si>
    <t>Pennant of the Vind Rune</t>
  </si>
  <si>
    <t>Peregrine Mask</t>
  </si>
  <si>
    <t>Potion of Possibility</t>
  </si>
  <si>
    <t>Prehistoric Figurine of Wondrous Power, Carnelian Triceratops</t>
  </si>
  <si>
    <t>Raven's Slumber</t>
  </si>
  <si>
    <t>Reincarnation Dust</t>
  </si>
  <si>
    <t>Ring of Amity</t>
  </si>
  <si>
    <t>Sanctum Amulet</t>
  </si>
  <si>
    <t>Sapphire Buckler</t>
  </si>
  <si>
    <t>Shard of the Ise Rune</t>
  </si>
  <si>
    <t>Shield of the Uven Rune</t>
  </si>
  <si>
    <t>Sling Bullets of Althemone</t>
  </si>
  <si>
    <t>Speaking Stone</t>
  </si>
  <si>
    <t>Spear of Backbiting</t>
  </si>
  <si>
    <t>OotA</t>
  </si>
  <si>
    <t>Staff of Dunamancy</t>
  </si>
  <si>
    <t>Staff of Fate</t>
  </si>
  <si>
    <t>CM</t>
  </si>
  <si>
    <t>Steel</t>
  </si>
  <si>
    <t>Sword of the Paruns</t>
  </si>
  <si>
    <t>Tinkertop Boltblaster 1000</t>
  </si>
  <si>
    <t>Voyager Staff</t>
  </si>
  <si>
    <t>Wakened Dragon Vessel</t>
  </si>
  <si>
    <t>Watchful Helm</t>
  </si>
  <si>
    <t>Wyrmreaver Gauntlets</t>
  </si>
  <si>
    <t>Acheron [[ 1t[Swords] ]]</t>
  </si>
  <si>
    <t>Corpse Slayer [[ 1t[Weapons] ]]</t>
  </si>
  <si>
    <t>PaB</t>
  </si>
  <si>
    <t>SDW</t>
  </si>
  <si>
    <t>LMoP</t>
  </si>
  <si>
    <t>TYP</t>
  </si>
  <si>
    <t>DL</t>
  </si>
  <si>
    <t>GoS</t>
  </si>
  <si>
    <t>ToD</t>
  </si>
  <si>
    <t>IWD</t>
  </si>
  <si>
    <t>CotN</t>
  </si>
  <si>
    <t>Rod of the Vonindod (Finding)</t>
  </si>
  <si>
    <t>PoTA</t>
  </si>
  <si>
    <t>Gems-B</t>
  </si>
  <si>
    <t>Elemental Gem, [[ 1t[Gems-B] ]]</t>
  </si>
  <si>
    <t>Blue Sapphire</t>
  </si>
  <si>
    <t>Emerald</t>
  </si>
  <si>
    <t>Red Corundum</t>
  </si>
  <si>
    <t>Yellow Diamond</t>
  </si>
  <si>
    <t>XGE</t>
  </si>
  <si>
    <t>SCC</t>
  </si>
  <si>
    <t>Thermal Cube</t>
  </si>
  <si>
    <t>Lantern of Tracking [[ 1t[Creature-Type-A] ]]</t>
  </si>
  <si>
    <t>Creature-Type-A</t>
  </si>
  <si>
    <t>Diamond</t>
  </si>
  <si>
    <t>Ruby</t>
  </si>
  <si>
    <t>Amethyst</t>
  </si>
  <si>
    <t>Sapphire</t>
  </si>
  <si>
    <t>Topaz</t>
  </si>
  <si>
    <t>PHB</t>
  </si>
  <si>
    <t>Jacinth</t>
  </si>
  <si>
    <t>Ammunition-D</t>
  </si>
  <si>
    <t>[[ 1t[Ammunition-D] ]]</t>
  </si>
  <si>
    <t>Cursed Luckstone</t>
  </si>
  <si>
    <t>[[ 1t[Swords] ]] of Vengeance</t>
  </si>
  <si>
    <t>Berserker [[ 1t[Axes] ]]</t>
  </si>
  <si>
    <t>Stone of Ill Luck</t>
  </si>
  <si>
    <t>[[ 1t[Heavy-Armor] ]] of Vulnerability</t>
  </si>
  <si>
    <t>Loadstone</t>
  </si>
  <si>
    <t>KGV</t>
  </si>
  <si>
    <t>Ioun-Stones-G</t>
  </si>
  <si>
    <t>[[ 1t[Ioun-Stones-G] ]]</t>
  </si>
  <si>
    <t>Ring of Protection, +2</t>
  </si>
  <si>
    <t>Arms-H</t>
  </si>
  <si>
    <t>Jewelry-H</t>
  </si>
  <si>
    <t>[[ 1t[Armor] ]], +2</t>
  </si>
  <si>
    <t>[[ 1t[Arms-H] ]]</t>
  </si>
  <si>
    <t>[[ 1t[Armor-H] ]]</t>
  </si>
  <si>
    <t>Armor-H</t>
  </si>
  <si>
    <t>[[ 1t[Jewelry-H] ]]</t>
  </si>
  <si>
    <t>[[ 1t[Misc-H] ]]</t>
  </si>
  <si>
    <t>Armor-F</t>
  </si>
  <si>
    <t>[[ 1t[Armor-F] ]]</t>
  </si>
  <si>
    <t>Armor-G</t>
  </si>
  <si>
    <t>[[ 1t[Armor-G] ]]</t>
  </si>
  <si>
    <t>[[ 1t[Dragon-H] ]] Dragon Scale Mail</t>
  </si>
  <si>
    <t>Dragon-H</t>
  </si>
  <si>
    <t xml:space="preserve">Black </t>
  </si>
  <si>
    <t>Blue</t>
  </si>
  <si>
    <t>Bronze</t>
  </si>
  <si>
    <t>Copper</t>
  </si>
  <si>
    <t>Gold</t>
  </si>
  <si>
    <t>Green</t>
  </si>
  <si>
    <t>Red</t>
  </si>
  <si>
    <t>White</t>
  </si>
  <si>
    <t>Misc-H</t>
  </si>
  <si>
    <t>Absorbing-H</t>
  </si>
  <si>
    <t>Acid Absorbing Green</t>
  </si>
  <si>
    <t>Cold Absorbing Blue</t>
  </si>
  <si>
    <t>Fire Absorbing Red</t>
  </si>
  <si>
    <t>Force Absorbing White</t>
  </si>
  <si>
    <t>Lightning Absorbing Yellow</t>
  </si>
  <si>
    <t>Necrotic Absorbing Black</t>
  </si>
  <si>
    <t>Poison Absorbing Violet</t>
  </si>
  <si>
    <t>Psychic Absorbing Silver</t>
  </si>
  <si>
    <t>Radiant Absorbing Gold</t>
  </si>
  <si>
    <t>Thunder Absorbing Orange</t>
  </si>
  <si>
    <t>[[ 1t[Absorbing-H] ]] Tattoo</t>
  </si>
  <si>
    <t>Large Barrier Tattoo</t>
  </si>
  <si>
    <t>Giant-H</t>
  </si>
  <si>
    <t>Frost</t>
  </si>
  <si>
    <t>Stone</t>
  </si>
  <si>
    <t>Belt of [[ 1t[Giant-H] ]] Giant Strength</t>
  </si>
  <si>
    <t>Bloodshed [[ 1t[Swords] ]]</t>
  </si>
  <si>
    <t>[[ 1t[Shields-H] ]]</t>
  </si>
  <si>
    <t>Shields-H</t>
  </si>
  <si>
    <t>Demon [[ 1t[Heavy-Armor] ]]</t>
  </si>
  <si>
    <t>Apparel-H</t>
  </si>
  <si>
    <t>Living [[ 1t[Armor] ]]</t>
  </si>
  <si>
    <t>Last Stand [[ 1t[Armor] ]]</t>
  </si>
  <si>
    <t>[[ 1t[Heavy-Armor] ]] of Safeguarding</t>
  </si>
  <si>
    <t>[[ 1t[Apparel-H] ]]</t>
  </si>
  <si>
    <t>Ioun-Stone-H</t>
  </si>
  <si>
    <t>[[ 1t[Ioun-Stone-H] ]]</t>
  </si>
  <si>
    <t>Figurine-of-Wondrous-Power-G</t>
  </si>
  <si>
    <t>Figurine of Wondrous Power (roll d8)</t>
  </si>
  <si>
    <t>Figurine of Wondrous Power (silver raven)</t>
  </si>
  <si>
    <t>Prehistoric Figurine of Wondrous Power (Pyrite Plesiosaurus)</t>
  </si>
  <si>
    <t>[[ 1t[Figurine-of-Wondrous-Power-G] ]]</t>
  </si>
  <si>
    <t>Prehistoric Figurine of Wondrous Power, Kyanite Pteranodon</t>
  </si>
  <si>
    <t>Stat-Books-H</t>
  </si>
  <si>
    <t>[[ 1t[Stat-Books-H] ]]</t>
  </si>
  <si>
    <t>Crystal Ball</t>
  </si>
  <si>
    <t>Dragonhide Belt, +3</t>
  </si>
  <si>
    <t>Instrument of the Bards (Anstruth Harp)</t>
  </si>
  <si>
    <t>Rhythm-Maker's Drum, +3</t>
  </si>
  <si>
    <t xml:space="preserve">Bloodwell Vial, +3 </t>
  </si>
  <si>
    <t xml:space="preserve">Moon Sickle, +3 </t>
  </si>
  <si>
    <t xml:space="preserve">Amulet of the Devout, +3 </t>
  </si>
  <si>
    <t xml:space="preserve">All-Purpose Tool, +3 </t>
  </si>
  <si>
    <t xml:space="preserve">Arcane Grimoire, +3 </t>
  </si>
  <si>
    <t>Figurine of Wondrous Power, Obsidian Steed</t>
  </si>
  <si>
    <t>Bronze Horn of Valhalla</t>
  </si>
  <si>
    <t>Candle-H</t>
  </si>
  <si>
    <t>Chaotic Evil</t>
  </si>
  <si>
    <t>Chaotic Neutral</t>
  </si>
  <si>
    <t>Chaotic Good</t>
  </si>
  <si>
    <t>Neutral Evil</t>
  </si>
  <si>
    <t>Neutral Good</t>
  </si>
  <si>
    <t>Lawful Evil</t>
  </si>
  <si>
    <t>Lawful Neutral</t>
  </si>
  <si>
    <t>Lawful Good</t>
  </si>
  <si>
    <t>[[ 1t[Candle-H] ]] Candle of Invocation</t>
  </si>
  <si>
    <t>Spells-E</t>
  </si>
  <si>
    <t>Spellwrought Tattoo ([[ 1t[Spells-Level-9] ]])</t>
  </si>
  <si>
    <t>[[ 1t[Spells-E] ]]</t>
  </si>
  <si>
    <t>Potions-E</t>
  </si>
  <si>
    <t>[[ 1t[Potions-E] ]]</t>
  </si>
  <si>
    <t>Potion of Giant Size</t>
  </si>
  <si>
    <t>FTD-Dragons</t>
  </si>
  <si>
    <t>Ascendant Dragon Vessel</t>
  </si>
  <si>
    <t>TDCSR</t>
  </si>
  <si>
    <t>Ascendant Dragon-Touched Focus</t>
  </si>
  <si>
    <t>Azuredge</t>
  </si>
  <si>
    <t>Belashyrra's Beholder Crown</t>
  </si>
  <si>
    <t>Blood Fury Tattoo</t>
  </si>
  <si>
    <t>Dawnbringer</t>
  </si>
  <si>
    <t>Flail of Tiamat</t>
  </si>
  <si>
    <t>Gloves of Soul Catching</t>
  </si>
  <si>
    <t>Gold Canary Figurine of Wondrous Power</t>
  </si>
  <si>
    <t>Graz'tchar, the Decadent End</t>
  </si>
  <si>
    <t>Harp of Gilded Plenty</t>
  </si>
  <si>
    <t>Hazirawn</t>
  </si>
  <si>
    <t>Longbow of the Healing Hearth</t>
  </si>
  <si>
    <t>Nether Scroll of Azumar</t>
  </si>
  <si>
    <t>Nightfall Pearl</t>
  </si>
  <si>
    <t>Orb of Skoraeus</t>
  </si>
  <si>
    <t>Platinum Scarf</t>
  </si>
  <si>
    <t>Prehistoric Figurine of Wondrous Power, Jasper Tyrannosaurus Rex</t>
  </si>
  <si>
    <t>Rakdos Riteknife</t>
  </si>
  <si>
    <t>Reaper's Scream</t>
  </si>
  <si>
    <t>Ruby Weave Gem</t>
  </si>
  <si>
    <t>Scroll of Tarrasque Summoning</t>
  </si>
  <si>
    <t>IDRotF</t>
  </si>
  <si>
    <t>Scroll of the Comet</t>
  </si>
  <si>
    <t>Shield of the Blazing Dreadnought</t>
  </si>
  <si>
    <t>Snicker-Snack</t>
  </si>
  <si>
    <t>Spell Bottle</t>
  </si>
  <si>
    <t>Stonebreaker's Breastplate</t>
  </si>
  <si>
    <t>Topaz Annihilator</t>
  </si>
  <si>
    <t>Waythe</t>
  </si>
  <si>
    <t>Arms-I</t>
  </si>
  <si>
    <t>Apparel-I</t>
  </si>
  <si>
    <t>Armor-I</t>
  </si>
  <si>
    <t>Misc-I</t>
  </si>
  <si>
    <t>Jewelry-I</t>
  </si>
  <si>
    <t>Ioun-Stone-I</t>
  </si>
  <si>
    <t>[[ 1t[Ioun-Stone-I] ]]</t>
  </si>
  <si>
    <t>[[ 1t[Armor-I] ]]</t>
  </si>
  <si>
    <t>[[ 1t[Arms-I] ]]</t>
  </si>
  <si>
    <t>[[ 1t[Apparel-I] ]]</t>
  </si>
  <si>
    <t>[[ 1t[Misc-I] ]]</t>
  </si>
  <si>
    <t>[[ 1t[Jewelry-I] ]]</t>
  </si>
  <si>
    <t>Plate Armor of Invulnerability</t>
  </si>
  <si>
    <t>Efreeti Chain Mail</t>
  </si>
  <si>
    <t>Dragon-Breath</t>
  </si>
  <si>
    <t>Dragon Wing [[ 1t[Dragon-Breath] ]] [[ 1t[Bows] ]]</t>
  </si>
  <si>
    <t>Wakened Scaled Ornament of [[ 1t[Dragon-Breath] ]]</t>
  </si>
  <si>
    <t>Sentient-I</t>
  </si>
  <si>
    <t>Blackrazor</t>
  </si>
  <si>
    <t>Moonblade</t>
  </si>
  <si>
    <t>Spies' Murmur</t>
  </si>
  <si>
    <t>Skyblinder Staff</t>
  </si>
  <si>
    <t>Pyroconverger</t>
  </si>
  <si>
    <t>Answering-I</t>
  </si>
  <si>
    <t>Answerer, CG, Emerald</t>
  </si>
  <si>
    <t>Back Talker, CE, Jet</t>
  </si>
  <si>
    <t>Concluder, LN, Amethyst</t>
  </si>
  <si>
    <t>Last Quip, CN, Tourmaline</t>
  </si>
  <si>
    <t>Rebutter, NG, Topaz</t>
  </si>
  <si>
    <t>Replier, N, Peridot</t>
  </si>
  <si>
    <t>Retorter, LG, Aquamarine</t>
  </si>
  <si>
    <t>Scather, LE, Garnet</t>
  </si>
  <si>
    <t>Sword of Answering ([[ 1t[Answering-I] ]])</t>
  </si>
  <si>
    <t>Wave</t>
  </si>
  <si>
    <t>Whelm</t>
  </si>
  <si>
    <t>Orc-Splitter</t>
  </si>
  <si>
    <t>[[ 1t[Armor] ]], +3</t>
  </si>
  <si>
    <t>Wakened [[ 1t[FTD-Dragons] ]]-Dragon-Touched Focus</t>
  </si>
  <si>
    <t>Ascendant Scaled Ornament of [[ 1t[Dragon-Breath] ]]</t>
  </si>
  <si>
    <t>Stirring [[ 1t[FTD-Dragons] ]]-Dragon-Touched Focus</t>
  </si>
  <si>
    <t>Apparel-F</t>
  </si>
  <si>
    <t>Figurine of Wondrous Power (Silver Raven)</t>
  </si>
  <si>
    <t>Misc-F</t>
  </si>
  <si>
    <t>Spellcaster-F</t>
  </si>
  <si>
    <t>TDCS</t>
  </si>
  <si>
    <t>DIA</t>
  </si>
  <si>
    <t>Figurine of Wondrous Power (Obsidian Steel)</t>
  </si>
  <si>
    <t>Apparel-G</t>
  </si>
  <si>
    <t>Stirring Scaled Ornament</t>
  </si>
  <si>
    <t>Elven Chain Shirt, +1</t>
  </si>
  <si>
    <t>Glamoured Studded Leather, +1</t>
  </si>
  <si>
    <t>MM</t>
  </si>
  <si>
    <t>[[ 1t[Spellcaster-F] ]]</t>
  </si>
  <si>
    <t>[[ 1t[Apparel-F] ]]</t>
  </si>
  <si>
    <t>[[ 1t[Misc-F] ]]</t>
  </si>
  <si>
    <t>Slumbering Scaled Ornament</t>
  </si>
  <si>
    <t>Misc-G</t>
  </si>
  <si>
    <t>[[ 1t[Misc-G] ]]</t>
  </si>
  <si>
    <t>[[ 1t[Spellcaster-G] ]]</t>
  </si>
  <si>
    <t>[[ 1t[Apparel-G] ]]</t>
  </si>
  <si>
    <t>Frost Brand [[ 1t[Swords] ]]</t>
  </si>
  <si>
    <t>Flame Tongue [[ 1t[Swords] ]]</t>
  </si>
  <si>
    <t>Dragon Slayer [[ 1t[Swords] ]]</t>
  </si>
  <si>
    <t>[[ 1t[Weapons] ]], +1</t>
  </si>
  <si>
    <t>[[ 1t[Weapons] ]] of Warning</t>
  </si>
  <si>
    <t>[[ 1t[Weapons] ]] of Certain Death</t>
  </si>
  <si>
    <t>[[ 1t[Weapons] ]], +2</t>
  </si>
  <si>
    <t>Vicious [[ 1t[Weapons] ]]</t>
  </si>
  <si>
    <t>[[ 1t[Weapons] ]], +3</t>
  </si>
  <si>
    <t>Wakened Dragon's Wrath [[ 1t[Dragon-Breath] ]] [[ 1t[Weapons] ]]</t>
  </si>
  <si>
    <t>Ascendant [[ 1t[Dragon-Breath] ]] Dragon's Wrath [[ 1t[Weapons] ]]</t>
  </si>
  <si>
    <t>Weapons</t>
  </si>
  <si>
    <t>Spellcaster-G</t>
  </si>
  <si>
    <t>Stirring Dragon's Wrath [[ 1t[Dragon-Breath] ]] [[ 1t[Weapons] ]]</t>
  </si>
  <si>
    <t>[[ 1t[Spellcaster-H] ]]</t>
  </si>
  <si>
    <t>Spellcaster-H</t>
  </si>
  <si>
    <t>Ioun Stone of Mastery</t>
  </si>
  <si>
    <t>Ioun Stone of Greater Absorption</t>
  </si>
  <si>
    <t>Ioun Stone of Regeneration</t>
  </si>
  <si>
    <t>[[ 1t[Spellcaster-I] ]]</t>
  </si>
  <si>
    <t>Spellcaster-I</t>
  </si>
  <si>
    <t>Shard-I</t>
  </si>
  <si>
    <t>Air</t>
  </si>
  <si>
    <t>Earth</t>
  </si>
  <si>
    <t>Water</t>
  </si>
  <si>
    <t>Ring of [[ 1t[Elemental-I] ]] Elemental Command</t>
  </si>
  <si>
    <t>Crystal-Ball-I</t>
  </si>
  <si>
    <t>Iron Horn of Valhalla</t>
  </si>
  <si>
    <t>[[ 1t[Horn-of-Valhalla-G] ]] Horn of Valhalla</t>
  </si>
  <si>
    <t>Ioun Stone of Agility</t>
  </si>
  <si>
    <t>Ioun Stone of Fortitude</t>
  </si>
  <si>
    <t>Ioun Stone of Insight</t>
  </si>
  <si>
    <t>Ioun Stone of Intellect</t>
  </si>
  <si>
    <t>Ioun Stone of Strength</t>
  </si>
  <si>
    <t>Ioun Stone of Leadership</t>
  </si>
  <si>
    <t>Ioun Stone of Absorption</t>
  </si>
  <si>
    <t>Potion of Mind Control (Monster)</t>
  </si>
  <si>
    <t>[[ 1t[Ammunition] ]] of Slaying</t>
  </si>
  <si>
    <t>[[4d4]] Beads of Refreshment</t>
  </si>
  <si>
    <t>[[1d4]] Beads of Nourishment</t>
  </si>
  <si>
    <t>Beverages-A</t>
  </si>
  <si>
    <t>Bottle of Boundless [[ 1t[Beverages-A] ]]</t>
  </si>
  <si>
    <t>Tankard of Plenty of [[ 1t[Alcohols-A] ]]</t>
  </si>
  <si>
    <t>Ale</t>
  </si>
  <si>
    <t>Lager</t>
  </si>
  <si>
    <t>White Wine</t>
  </si>
  <si>
    <t>Red Wine</t>
  </si>
  <si>
    <t>Cocktail</t>
  </si>
  <si>
    <t>Prosthetic Left Hand</t>
  </si>
  <si>
    <t>Prosthetic Right Hand</t>
  </si>
  <si>
    <t>Prosthetic Left Arm</t>
  </si>
  <si>
    <t>Prosthetic Right Arm</t>
  </si>
  <si>
    <t>Prosthetic Left Foot</t>
  </si>
  <si>
    <t>Prosthetic Right Foot</t>
  </si>
  <si>
    <t>Prosthetic Left Leg</t>
  </si>
  <si>
    <t>Prosthetic Right Leg</t>
  </si>
  <si>
    <t>Squelcher, NE, Spinel</t>
  </si>
  <si>
    <t>Elemental-I</t>
  </si>
  <si>
    <t>Shard Solitaire ([[ 1t[Shard-I] ]])</t>
  </si>
  <si>
    <t>Black Sapphire</t>
  </si>
  <si>
    <t>Rainbow Pearl</t>
  </si>
  <si>
    <t>Crystal Ball of [[ 1t[Crystal-Ball-I] ]]</t>
  </si>
  <si>
    <t>Mind Reading</t>
  </si>
  <si>
    <t>MM-Breath</t>
  </si>
  <si>
    <t>[[ 1t[MM-Breath] ]]</t>
  </si>
  <si>
    <t>FTD-Breath</t>
  </si>
  <si>
    <t>[[ 1t[FTD-Breath] ]]</t>
  </si>
  <si>
    <t>Potion of [[ 1t[MM-Breath] ]] Breath</t>
  </si>
  <si>
    <t>Table-of-Contents</t>
  </si>
  <si>
    <t>[Armor]</t>
  </si>
  <si>
    <t>[Light-Armor]</t>
  </si>
  <si>
    <t>[Medium-Armor]</t>
  </si>
  <si>
    <t>[Heavy-Armor]</t>
  </si>
  <si>
    <t>[Metal-Armor]</t>
  </si>
  <si>
    <t>[Weapons]</t>
  </si>
  <si>
    <t>[Simple-Melee]</t>
  </si>
  <si>
    <t>[Simple-Ranged]</t>
  </si>
  <si>
    <t>[Martial-Melee]</t>
  </si>
  <si>
    <t>[Martial-Ranged]</t>
  </si>
  <si>
    <t>[Ammunition]</t>
  </si>
  <si>
    <t>[Swords]</t>
  </si>
  <si>
    <t>[Axes]</t>
  </si>
  <si>
    <t>[Bows]</t>
  </si>
  <si>
    <t>[Ranged]</t>
  </si>
  <si>
    <t>[Dragon-Breath]</t>
  </si>
  <si>
    <t>[MM-Breath]</t>
  </si>
  <si>
    <t>[FTD-Breath]</t>
  </si>
  <si>
    <t>[FTD-Dragons]</t>
  </si>
  <si>
    <t>[Damage-Type]</t>
  </si>
  <si>
    <t>All-Dragons</t>
  </si>
  <si>
    <t>Black</t>
  </si>
  <si>
    <t>[All-Dragons]</t>
  </si>
  <si>
    <t>Potion of [[ 1t[All-Dragons] ]] Dragon's Majesty</t>
  </si>
  <si>
    <t>=IF(C3=0,"-",IF(C3=1,SUM(C$1:C2)+1,SUM(C$1:C2)+1 &amp; "-" &amp; SUM(C$1:C3)))</t>
  </si>
  <si>
    <t>=IF(C4=0,"-",IF(C4=1,SUM(C$1:C3)+1,SUM(C$1:C3)+1 &amp; "-" &amp; SUM(C$1:C4)))</t>
  </si>
  <si>
    <t>=IF(C5=0,"-",IF(C5=1,SUM(C$1:C4)+1,SUM(C$1:C4)+1 &amp; "-" &amp; SUM(C$1:C5)))</t>
  </si>
  <si>
    <t>=IF(C6=0,"-",IF(C6=1,SUM(C$1:C5)+1,SUM(C$1:C5)+1 &amp; "-" &amp; SUM(C$1:C6)))</t>
  </si>
  <si>
    <t>=IF(C7=0,"-",IF(C7=1,SUM(C$1:C6)+1,SUM(C$1:C6)+1 &amp; "-" &amp; SUM(C$1:C7)))</t>
  </si>
  <si>
    <t>=IF(C8=0,"-",IF(C8=1,SUM(C$1:C7)+1,SUM(C$1:C7)+1 &amp; "-" &amp; SUM(C$1:C8)))</t>
  </si>
  <si>
    <t>=IF(C9=0,"-",IF(C9=1,SUM(C$1:C8)+1,SUM(C$1:C8)+1 &amp; "-" &amp; SUM(C$1:C9)))</t>
  </si>
  <si>
    <t>=IF(C10=0,"-",IF(C10=1,SUM(C$1:C9)+1,SUM(C$1:C9)+1 &amp; "-" &amp; SUM(C$1:C10)))</t>
  </si>
  <si>
    <t>="!import-table-item --" &amp; A$1 &amp; " --" &amp; A3 &amp; " --" &amp; C3</t>
  </si>
  <si>
    <t>="!import-table-item --" &amp; A$1 &amp; " --" &amp; A4 &amp; " --" &amp; C4</t>
  </si>
  <si>
    <t>="!import-table-item --" &amp; A$1 &amp; " --" &amp; A5 &amp; " --" &amp; C5</t>
  </si>
  <si>
    <t>="!import-table-item --" &amp; A$1 &amp; " --" &amp; A6 &amp; " --" &amp; C6</t>
  </si>
  <si>
    <t>="!import-table-item --" &amp; A$1 &amp; " --" &amp; A7 &amp; " --" &amp; C7</t>
  </si>
  <si>
    <t>="!import-table-item --" &amp; A$1 &amp; " --" &amp; A8 &amp; " --" &amp; C8</t>
  </si>
  <si>
    <t>="!import-table-item --" &amp; A$1 &amp; " --" &amp; A9 &amp; " --" &amp; C9</t>
  </si>
  <si>
    <t>="!import-table-item --" &amp; A$1 &amp; " --" &amp; A10 &amp; " --" &amp; C10</t>
  </si>
  <si>
    <t>Roll20 will try and evaluate those brackets before importing, so we're smuggling them in.</t>
  </si>
  <si>
    <t>Highlight the entire table import column, copy, and paste directly into the Roll20 text box.</t>
  </si>
  <si>
    <t>Try making changes here, watch how the red cells update, and feel free to add new items. Copy the red cells down when you do, or drag from the bottom right corner.</t>
  </si>
  <si>
    <t>="d" &amp; SUM(C:C)</t>
  </si>
  <si>
    <t>Don’t change any of the red cells. You can copy/paste all five columns together to make a new table. Excel automatically updates the references.</t>
  </si>
  <si>
    <t>Alterations grow from there. A good example is found on Table B, where 18 distinct items originally made up 20% of the table.</t>
  </si>
  <si>
    <t>The simple approach would be to create a nested table with a 4% probability, and include all 10+ new options on that table. But that makes these (very fun) new items individually unlikely.</t>
  </si>
  <si>
    <t>Instead, the 18 different Arms and the 17 different Spellcaster items each receive a 15% probability. Apparel and Misc with 26 and 27 items respectively get 25% each, and the 16 different Jewelry items get 15% each.</t>
  </si>
  <si>
    <t>One enormous benefit to splitting the table is the ability to pick and choose by category. There is no need to roll on the entire table if you're just looking for a Magic Weapon specifically.</t>
  </si>
  <si>
    <t>Meanwhile potions remain 50% of the table, and Potions of Greater Healing 25% of that. Their original probability of 15% has only dropped to 12.5% despite the addition of dozens of new items.</t>
  </si>
  <si>
    <t>Items can be added or subtracted from all the other categories without affecting the overall chance of Potions.</t>
  </si>
  <si>
    <t>Armor, with only 3 items, receives 5% of the table. Adamantine Armor can be determined randomly or chosen by the DM, but one downside to fully random systems is the probablities of individual generic versions.</t>
  </si>
  <si>
    <t>There are supplemental tables with highly arbitrary weights between the various types of armor, weapons, etc. DMs should feel free to use any combination of choosing items and choosing tables.</t>
  </si>
  <si>
    <t>Repeat for every table. Then delete the "For Import" copy, which is easier than find/replace backwards.</t>
  </si>
  <si>
    <t>Save a copy of the entire workbook as "For Import" for the next step.</t>
  </si>
  <si>
    <t>This benefit also extends to magic item vendors. A mysterious traveler might have a magical ring for sale, and the DM doesn't have to determine exactly which one on their own, or keep re-rolling on +1 Swords just to find a ring.</t>
  </si>
  <si>
    <t>The workbook is full of hyperlinks to various nested tables. You're welcome to alter whatever you want, like adding/removing items or altering weights, but if you move the columns themselves the hyperlinks will start falling apart.</t>
  </si>
  <si>
    <t>Apparel-A</t>
  </si>
  <si>
    <t>[[ 1t[Apparel-A] ]]</t>
  </si>
  <si>
    <t>Run a Find/Replace on the whole workbook for all brackets. Replace [ with &lt;%%91%%&gt; and ] with &lt;%%93%%&gt;</t>
  </si>
  <si>
    <t>Sourcebook Acronyms:</t>
  </si>
  <si>
    <t>Dungeon Master's Guide</t>
  </si>
  <si>
    <t>Xanathar's Guide to Everything</t>
  </si>
  <si>
    <t>Tasha's Cauldron of Everything</t>
  </si>
  <si>
    <t>Tyranny of Dragons</t>
  </si>
  <si>
    <t>Waterdeep: Dungeon of the Mad Mage</t>
  </si>
  <si>
    <t>Waterdeep: Dragon Heist</t>
  </si>
  <si>
    <t>Icewind Dale: Rime of the Frostmaiden</t>
  </si>
  <si>
    <t>Wild Beyond the Witchlight</t>
  </si>
  <si>
    <t>Strixhaven: Curriculum of Chaos</t>
  </si>
  <si>
    <t>Fizban's Treasury of Dragons</t>
  </si>
  <si>
    <t>Bigby Presents: Glory of the Giants</t>
  </si>
  <si>
    <t>Eberron: Rising from the Last War</t>
  </si>
  <si>
    <t>Explorer's Guide to Wildemount</t>
  </si>
  <si>
    <t>Tal'Dorei Campaign Setting</t>
  </si>
  <si>
    <t>Mythic Odesseys of Theros</t>
  </si>
  <si>
    <t>Astral Adeventurer's Guide</t>
  </si>
  <si>
    <t>Guildmaster's Guide to Ravnica</t>
  </si>
  <si>
    <t>Tales from the Yawning Portal</t>
  </si>
  <si>
    <t>Storm King's Thunder</t>
  </si>
  <si>
    <t>Princes of the Apocalypse</t>
  </si>
  <si>
    <t>Lost Mine of Phandelver</t>
  </si>
  <si>
    <t>Phandelver and Below</t>
  </si>
  <si>
    <t>Ghosts of Saltmarsh</t>
  </si>
  <si>
    <t>Tomb of Annihilation</t>
  </si>
  <si>
    <t>Candlekeep Mysteries</t>
  </si>
  <si>
    <t>Call of the Netherdeep</t>
  </si>
  <si>
    <t>Out of the Abyss</t>
  </si>
  <si>
    <t>Battle Rod</t>
  </si>
  <si>
    <t>ExE</t>
  </si>
  <si>
    <t>Charlatan's Gloves</t>
  </si>
  <si>
    <t>Drybrooch</t>
  </si>
  <si>
    <t>Duster</t>
  </si>
  <si>
    <t>Lamplighter</t>
  </si>
  <si>
    <t>Spark</t>
  </si>
  <si>
    <t>Talking Wand</t>
  </si>
  <si>
    <t>Thurimbar Rod</t>
  </si>
  <si>
    <t>War Staff</t>
  </si>
  <si>
    <t>Slumbering [[ 1t[Dragon-Breath] ]] Dragon's Wrath [[ 1t[Weapons] ]]</t>
  </si>
  <si>
    <t>Warforged-A</t>
  </si>
  <si>
    <t>Crawling Gauntlet</t>
  </si>
  <si>
    <t>Hungry [[ 1t[Weapons] ]]</t>
  </si>
  <si>
    <t>Spellburrow</t>
  </si>
  <si>
    <t>Tongueworm</t>
  </si>
  <si>
    <t>Throwing Scarab</t>
  </si>
  <si>
    <t>Wandering Eye</t>
  </si>
  <si>
    <t>Shadow Sibling</t>
  </si>
  <si>
    <t>Tools of the Master, +1</t>
  </si>
  <si>
    <t>Gloves of Storing</t>
  </si>
  <si>
    <t>Wraps of Unarmed Prowess, +1</t>
  </si>
  <si>
    <t>[[ 1t[Medium-Armor] ]] of Fungal Spores</t>
  </si>
  <si>
    <t>BMT</t>
  </si>
  <si>
    <t>[[ 1t[Metal-Armor] ]] of the Fallen</t>
  </si>
  <si>
    <t>[[ 1t[Armor] ]] of Weightlessness</t>
  </si>
  <si>
    <t>Blasted Goggles</t>
  </si>
  <si>
    <t>Bloodrage Greataxe</t>
  </si>
  <si>
    <t>Boomerang Shield</t>
  </si>
  <si>
    <t>Card Sharp's Deck</t>
  </si>
  <si>
    <t>Deck of Miscellany</t>
  </si>
  <si>
    <t>Deck of Wonder</t>
  </si>
  <si>
    <t>Ammunition-B</t>
  </si>
  <si>
    <t>Dried Leech [[ 1t[Ammunition] ]]</t>
  </si>
  <si>
    <t>[[ 1t[Ammunition-B] ]]</t>
  </si>
  <si>
    <t>Fabulist Gem</t>
  </si>
  <si>
    <t>House of Cards</t>
  </si>
  <si>
    <t>[[ 1t[Heavy-Armor] ]] of Knight's Fellowship</t>
  </si>
  <si>
    <t>Ring of Puzzler's Wit</t>
  </si>
  <si>
    <t>Shield of the Tortoise</t>
  </si>
  <si>
    <t>Sling of Giant Felling</t>
  </si>
  <si>
    <t>Winged [[ 1t[Ammunition] ]]</t>
  </si>
  <si>
    <t>Antagonize</t>
  </si>
  <si>
    <t>Spray of Cards</t>
  </si>
  <si>
    <t>Spirit of Death</t>
  </si>
  <si>
    <t>Wraps of Unarmed Prowess, +2</t>
  </si>
  <si>
    <t>Breastplate of Balance</t>
  </si>
  <si>
    <t>[[ 1t[Bows] ]] of Conflagration</t>
  </si>
  <si>
    <t>Deck of Oracles</t>
  </si>
  <si>
    <t>Donjon's Sundering Sphere</t>
  </si>
  <si>
    <t>Feywrought [[ 1t[Armor] ]]</t>
  </si>
  <si>
    <t>Glimmering Moon [[ 1t[Bows] ]]</t>
  </si>
  <si>
    <t>Gloomwrought Armor [[ 1t[Armor] ]]</t>
  </si>
  <si>
    <t>Grasping Whip</t>
  </si>
  <si>
    <t>Rogue's Mantle</t>
  </si>
  <si>
    <t>Ruinous Flail</t>
  </si>
  <si>
    <t>Sage's Serpent Signet</t>
  </si>
  <si>
    <t>Shrieking Greaves</t>
  </si>
  <si>
    <t>Starshot [[ 1t[Bows] ]]</t>
  </si>
  <si>
    <t>Sun Staff</t>
  </si>
  <si>
    <t>Voidwalker [[ 1t[Armor] ]]</t>
  </si>
  <si>
    <t>Warrior's Passkey</t>
  </si>
  <si>
    <t>Fate Dealer's Deck, +3</t>
  </si>
  <si>
    <t>Deck of Many More Things</t>
  </si>
  <si>
    <t>Euryale's Aegis</t>
  </si>
  <si>
    <t>Jester's Mask</t>
  </si>
  <si>
    <t>Spindle of Fate</t>
  </si>
  <si>
    <t>[[ 1t[Swords] ]] of the Planes</t>
  </si>
  <si>
    <t>Telescopic Transporter</t>
  </si>
  <si>
    <t>[[ 1t[Weapons] ]] of Throne's Command</t>
  </si>
  <si>
    <t>Tidecaller Trident</t>
  </si>
  <si>
    <t>Stonemaker War Pick</t>
  </si>
  <si>
    <t>Hammer of Runic Focus</t>
  </si>
  <si>
    <t>Fool's Blade [[ 1t[Swords] ]]</t>
  </si>
  <si>
    <t>Fate Cutter Shears</t>
  </si>
  <si>
    <t>[[ 1t[Bows] ]] of Melodies</t>
  </si>
  <si>
    <t>Forcebreaker [[ 1t[Martial-Melee] ]]</t>
  </si>
  <si>
    <t>Wraps of Unarmed Prowess, +3</t>
  </si>
  <si>
    <t>Skull Helm</t>
  </si>
  <si>
    <t>Crown of Whirling Comets</t>
  </si>
  <si>
    <t>Baleful Talon</t>
  </si>
  <si>
    <t>Sage's Wolf Signet</t>
  </si>
  <si>
    <t>Sage's Lion Signet</t>
  </si>
  <si>
    <t>Sage's Hart Signet</t>
  </si>
  <si>
    <t>Sage's Bear Signet</t>
  </si>
  <si>
    <t>Rod of Hellish Flames</t>
  </si>
  <si>
    <t>Fate Dealer's Deck, +2</t>
  </si>
  <si>
    <t>Deck of Dimensions</t>
  </si>
  <si>
    <t>Deck of Wild Cards</t>
  </si>
  <si>
    <t>Clockwork [[ 1t[Heavy-Armor] ]]</t>
  </si>
  <si>
    <t>Antimagic [[ 1t[Armor] ]]</t>
  </si>
  <si>
    <t>Bloodseeker [[ 1t[Ammunition] ]]</t>
  </si>
  <si>
    <t>Book of Many Things</t>
  </si>
  <si>
    <t>Exploring Eberron</t>
  </si>
  <si>
    <t>Fate Dealer's Deck, +1</t>
  </si>
  <si>
    <t>Ammunition-E</t>
  </si>
  <si>
    <t>[[ 1t[Ammunition-E] ]]</t>
  </si>
  <si>
    <t>Ammunition-C</t>
  </si>
  <si>
    <t>[[ 1t[Ammunition-C] ]]</t>
  </si>
  <si>
    <t>Consumables-B</t>
  </si>
  <si>
    <t>[[ 1t[Consumables-B] ]]</t>
  </si>
  <si>
    <t>[[ 1t[Consumables-E] ]]</t>
  </si>
  <si>
    <t>Consumables-E</t>
  </si>
  <si>
    <t>Take me to the Tables:</t>
  </si>
  <si>
    <t>Original DMG</t>
  </si>
  <si>
    <t>Table A Common</t>
  </si>
  <si>
    <t>Table B Minor Uncommon</t>
  </si>
  <si>
    <t>Table C Minor Rare</t>
  </si>
  <si>
    <t>Table D Minor Very Rare</t>
  </si>
  <si>
    <t>Table E Minor Legendary</t>
  </si>
  <si>
    <t>Table F Major Uncommon</t>
  </si>
  <si>
    <t>Table G Major Rare</t>
  </si>
  <si>
    <t>Table H Major Very Rare</t>
  </si>
  <si>
    <t>Table I Major Legendary</t>
  </si>
  <si>
    <t>All Spells</t>
  </si>
  <si>
    <t>Supplemental Types</t>
  </si>
  <si>
    <t>="!import-table --" &amp; A2 &amp; " --show"</t>
  </si>
  <si>
    <t>[[1d4]] Seeker Dart</t>
  </si>
  <si>
    <t>[[1d4]] Unbreakable [[ 1t[Ammunition] ]]</t>
  </si>
  <si>
    <t>[[ 1t[Ammunition-A] ]]</t>
  </si>
  <si>
    <t>Ammunition-A</t>
  </si>
  <si>
    <t>Arms-A</t>
  </si>
  <si>
    <t>Armor-A</t>
  </si>
  <si>
    <t>Spellcaster-A</t>
  </si>
  <si>
    <t>[[ 1t[Spellcaster-A] ]]</t>
  </si>
  <si>
    <t>Misc-A</t>
  </si>
  <si>
    <t>[[ 1t[Misc-A] ]]</t>
  </si>
  <si>
    <t>[[ 1t[Consumables-A] ]]</t>
  </si>
  <si>
    <t>[[ 1t[Armor-A] ]]</t>
  </si>
  <si>
    <t>[[ 1t[Arms-A] ]]</t>
  </si>
  <si>
    <t>[[ 1t[Jewelry-A] ]]</t>
  </si>
  <si>
    <t>Consumables-A</t>
  </si>
  <si>
    <t>Jewelry-A</t>
  </si>
  <si>
    <t>[[ 1t[Ammunition] ]]</t>
  </si>
  <si>
    <t>Ingredients-A</t>
  </si>
  <si>
    <t>Game</t>
  </si>
  <si>
    <t>Vegetables</t>
  </si>
  <si>
    <t>[[ 1t[Weapons] ]]</t>
  </si>
  <si>
    <t>[[ 1t[Armor] ]]</t>
  </si>
  <si>
    <t>Original-DMG-A</t>
  </si>
  <si>
    <t>Poisoner's Kit</t>
  </si>
  <si>
    <t>Navigator's Tools</t>
  </si>
  <si>
    <t>Herbalism Kit</t>
  </si>
  <si>
    <t>Forgery Kit</t>
  </si>
  <si>
    <t>Disguise Kit</t>
  </si>
  <si>
    <t>Woodcarver's Tools</t>
  </si>
  <si>
    <t>Weaver's Tools</t>
  </si>
  <si>
    <t>Tinker's Tools</t>
  </si>
  <si>
    <t>Smith's Tools</t>
  </si>
  <si>
    <t>Potter's Tools</t>
  </si>
  <si>
    <t>Painter's Supplies</t>
  </si>
  <si>
    <t>Mason's Tools</t>
  </si>
  <si>
    <t>Leatherworker's Tools</t>
  </si>
  <si>
    <t>Jeweler's Tools</t>
  </si>
  <si>
    <t>Glassblower's Tools</t>
  </si>
  <si>
    <t>Cook's Utensils</t>
  </si>
  <si>
    <t>Cobbler's Tools</t>
  </si>
  <si>
    <t>Cartographer's Tools</t>
  </si>
  <si>
    <t>Carpenter's Tools</t>
  </si>
  <si>
    <t>Calligrapher's Supplies</t>
  </si>
  <si>
    <t>Brewer's Supplies</t>
  </si>
  <si>
    <t>Alchemist's Supplies</t>
  </si>
  <si>
    <t>Tools</t>
  </si>
  <si>
    <t>Thieves' Tools</t>
  </si>
  <si>
    <t>Integrated [[ 1t[Tools] ]]</t>
  </si>
  <si>
    <t>[[1d4]] Fresh [[ 1t[Ingredients-A] ]]</t>
  </si>
  <si>
    <t>Gem of Light</t>
  </si>
  <si>
    <t>Alcohols-A</t>
  </si>
  <si>
    <t>Mariner's [[ 1t[Armor] ]]</t>
  </si>
  <si>
    <t>Wingwear</t>
  </si>
  <si>
    <t>Sage's Songbird Signet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</si>
</sst>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sz val="12"/>
      <color rgb="FF9C0006"/>
      <name val="Calibri"/>
      <family val="2"/>
      <scheme val="minor"/>
    </font>
    <font>
      <sz val="12"/>
      <color rgb="FF9C5700"/>
      <name val="Calibri"/>
      <family val="2"/>
      <scheme val="minor"/>
    </font>
    <font>
      <sz val="8"/>
      <name val="Calibri"/>
      <family val="2"/>
      <scheme val="minor"/>
    </font>
    <font>
      <sz val="14"/>
      <color theme="1"/>
      <name val="Calibri"/>
      <family val="2"/>
      <scheme val="minor"/>
    </font>
    <font>
      <sz val="14"/>
      <color rgb="FF9C5700"/>
      <name val="Calibri"/>
      <family val="2"/>
      <scheme val="minor"/>
    </font>
    <font>
      <sz val="14"/>
      <color rgb="FF9C0006"/>
      <name val="Calibri"/>
      <family val="2"/>
      <scheme val="minor"/>
    </font>
    <font>
      <sz val="14"/>
      <color rgb="FF000000"/>
      <name val="Calibri"/>
      <family val="2"/>
      <scheme val="minor"/>
    </font>
    <font>
      <u/>
      <sz val="11"/>
      <color theme="10"/>
      <name val="Calibri"/>
      <family val="2"/>
      <scheme val="minor"/>
    </font>
    <font>
      <u/>
      <sz val="14"/>
      <color theme="10"/>
      <name val="Calibri"/>
      <family val="2"/>
      <scheme val="minor"/>
    </font>
    <font>
      <b/>
      <sz val="14"/>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theme="9" tint="0.59999389629810485"/>
        <bgColor indexed="64"/>
      </patternFill>
    </fill>
  </fills>
  <borders count="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8" fillId="0" borderId="0" applyNumberFormat="0" applyFill="0" applyBorder="0" applyAlignment="0" applyProtection="0"/>
    <xf numFmtId="9" fontId="11" fillId="0" borderId="0" applyFont="0" applyFill="0" applyBorder="0" applyAlignment="0" applyProtection="0"/>
  </cellStyleXfs>
  <cellXfs count="42">
    <xf numFmtId="0" fontId="0" fillId="0" borderId="0" xfId="0"/>
    <xf numFmtId="0" fontId="4" fillId="0" borderId="0" xfId="0" applyFont="1"/>
    <xf numFmtId="0" fontId="4" fillId="0" borderId="1" xfId="0" applyFont="1" applyBorder="1"/>
    <xf numFmtId="0" fontId="5" fillId="3" borderId="1" xfId="2" applyFont="1" applyBorder="1" applyAlignment="1">
      <alignment horizontal="left"/>
    </xf>
    <xf numFmtId="0" fontId="4" fillId="0" borderId="1" xfId="0" applyFont="1" applyBorder="1" applyAlignment="1">
      <alignment horizontal="left"/>
    </xf>
    <xf numFmtId="0" fontId="5" fillId="3" borderId="0" xfId="2" applyFont="1" applyAlignment="1">
      <alignment horizontal="left"/>
    </xf>
    <xf numFmtId="0" fontId="4" fillId="0" borderId="0" xfId="0" applyFont="1" applyAlignment="1">
      <alignment horizontal="left"/>
    </xf>
    <xf numFmtId="0" fontId="6" fillId="2" borderId="0" xfId="1" applyFont="1" applyAlignment="1">
      <alignment horizontal="left"/>
    </xf>
    <xf numFmtId="0" fontId="6" fillId="2" borderId="0" xfId="1" quotePrefix="1" applyFont="1" applyAlignment="1">
      <alignment horizontal="left"/>
    </xf>
    <xf numFmtId="0" fontId="4" fillId="0" borderId="0" xfId="0" quotePrefix="1" applyFont="1" applyAlignment="1">
      <alignment horizontal="left"/>
    </xf>
    <xf numFmtId="0" fontId="4" fillId="0" borderId="0" xfId="0" quotePrefix="1" applyFont="1"/>
    <xf numFmtId="0" fontId="4" fillId="0" borderId="4" xfId="0" applyFont="1" applyBorder="1" applyAlignment="1">
      <alignment horizontal="left"/>
    </xf>
    <xf numFmtId="0" fontId="4" fillId="0" borderId="3" xfId="0" applyFont="1" applyBorder="1" applyAlignment="1">
      <alignment horizontal="left"/>
    </xf>
    <xf numFmtId="0" fontId="4" fillId="0" borderId="1" xfId="0" quotePrefix="1" applyFont="1" applyBorder="1" applyAlignment="1">
      <alignment horizontal="left"/>
    </xf>
    <xf numFmtId="0" fontId="4" fillId="0" borderId="3" xfId="0" quotePrefix="1" applyFont="1" applyBorder="1" applyAlignment="1">
      <alignment horizontal="left"/>
    </xf>
    <xf numFmtId="0" fontId="4" fillId="0" borderId="2" xfId="0" applyFont="1" applyBorder="1" applyAlignment="1">
      <alignment horizontal="left"/>
    </xf>
    <xf numFmtId="0" fontId="4" fillId="0" borderId="5" xfId="0" applyFont="1" applyBorder="1" applyAlignment="1">
      <alignment horizontal="left"/>
    </xf>
    <xf numFmtId="0" fontId="4" fillId="0" borderId="2" xfId="0" quotePrefix="1" applyFont="1" applyBorder="1" applyAlignment="1">
      <alignment horizontal="left"/>
    </xf>
    <xf numFmtId="0" fontId="4" fillId="0" borderId="3" xfId="0" quotePrefix="1" applyFont="1" applyBorder="1"/>
    <xf numFmtId="0" fontId="4" fillId="0" borderId="2" xfId="0" applyFont="1" applyBorder="1"/>
    <xf numFmtId="0" fontId="4" fillId="0" borderId="5" xfId="0" applyFont="1" applyBorder="1"/>
    <xf numFmtId="0" fontId="4" fillId="0" borderId="4" xfId="0" applyFont="1" applyBorder="1"/>
    <xf numFmtId="0" fontId="9" fillId="0" borderId="4" xfId="3" applyFont="1" applyBorder="1" applyAlignment="1">
      <alignment horizontal="left"/>
    </xf>
    <xf numFmtId="0" fontId="7" fillId="0" borderId="0" xfId="0" applyFont="1" applyAlignment="1">
      <alignment horizontal="left"/>
    </xf>
    <xf numFmtId="0" fontId="9" fillId="0" borderId="0" xfId="3" applyFont="1" applyAlignment="1">
      <alignment horizontal="left"/>
    </xf>
    <xf numFmtId="0" fontId="9" fillId="0" borderId="0" xfId="3" applyFont="1"/>
    <xf numFmtId="0" fontId="9" fillId="0" borderId="0" xfId="3" applyFont="1" applyFill="1"/>
    <xf numFmtId="0" fontId="9" fillId="0" borderId="4" xfId="3" quotePrefix="1" applyFont="1" applyBorder="1" applyAlignment="1">
      <alignment horizontal="left"/>
    </xf>
    <xf numFmtId="0" fontId="9" fillId="0" borderId="0" xfId="3" applyFont="1" applyFill="1" applyAlignment="1">
      <alignment horizontal="left"/>
    </xf>
    <xf numFmtId="0" fontId="9" fillId="0" borderId="0" xfId="3" quotePrefix="1" applyFont="1" applyFill="1" applyAlignment="1">
      <alignment horizontal="left"/>
    </xf>
    <xf numFmtId="0" fontId="9" fillId="0" borderId="4" xfId="3" applyFont="1" applyBorder="1"/>
    <xf numFmtId="0" fontId="9" fillId="0" borderId="0" xfId="3" quotePrefix="1" applyFont="1" applyAlignment="1">
      <alignment horizontal="left"/>
    </xf>
    <xf numFmtId="0" fontId="6" fillId="2" borderId="1" xfId="1" applyFont="1" applyBorder="1" applyAlignment="1">
      <alignment horizontal="left"/>
    </xf>
    <xf numFmtId="0" fontId="6" fillId="2" borderId="1" xfId="1" quotePrefix="1" applyFont="1" applyBorder="1" applyAlignment="1">
      <alignment horizontal="left"/>
    </xf>
    <xf numFmtId="0" fontId="10" fillId="4" borderId="0" xfId="0" applyFont="1" applyFill="1"/>
    <xf numFmtId="0" fontId="9" fillId="4" borderId="0" xfId="3" applyFont="1" applyFill="1"/>
    <xf numFmtId="0" fontId="9" fillId="0" borderId="4" xfId="3" applyFont="1" applyFill="1" applyBorder="1"/>
    <xf numFmtId="0" fontId="9" fillId="0" borderId="0" xfId="3" applyFont="1" applyBorder="1"/>
    <xf numFmtId="9" fontId="4" fillId="0" borderId="4" xfId="4" applyFont="1" applyBorder="1" applyAlignment="1">
      <alignment horizontal="left"/>
    </xf>
    <xf numFmtId="0" fontId="9" fillId="0" borderId="0" xfId="3" applyFont="1" applyBorder="1" applyAlignment="1">
      <alignment horizontal="left"/>
    </xf>
    <xf numFmtId="0" fontId="4" fillId="0" borderId="0" xfId="0" applyFont="1" applyAlignment="1">
      <alignment horizontal="left"/>
    </xf>
    <xf numFmtId="0" fontId="4" fillId="0" borderId="0" xfId="0" applyFont="1" applyAlignment="1">
      <alignment horizontal="center"/>
    </xf>
  </cellXfs>
  <cellStyles count="5">
    <cellStyle name="Bad" xfId="1" builtinId="27"/>
    <cellStyle name="Hyperlink" xfId="3" builtinId="8"/>
    <cellStyle name="Neutral" xfId="2" builtinId="28"/>
    <cellStyle name="Normal" xfId="0" builtinId="0"/>
    <cellStyle name="Percent" xfId="4" builtinId="5"/>
  </cellStyles>
  <dxfs count="0"/>
  <tableStyles count="1" defaultTableStyle="TableStyleMedium2" defaultPivotStyle="PivotStyleLight16">
    <tableStyle name="Table Style 1" pivot="0" count="0" xr9:uid="{1A0D50A2-15E1-4426-9395-E751EF8AAB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18</xdr:row>
      <xdr:rowOff>85725</xdr:rowOff>
    </xdr:from>
    <xdr:to>
      <xdr:col>3</xdr:col>
      <xdr:colOff>4387850</xdr:colOff>
      <xdr:row>30</xdr:row>
      <xdr:rowOff>50800</xdr:rowOff>
    </xdr:to>
    <xdr:pic>
      <xdr:nvPicPr>
        <xdr:cNvPr id="7" name="Picture 6">
          <a:extLst>
            <a:ext uri="{FF2B5EF4-FFF2-40B4-BE49-F238E27FC236}">
              <a16:creationId xmlns:a16="http://schemas.microsoft.com/office/drawing/2014/main" id="{ED605158-FA96-F8E2-EBCA-E9822959BD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0" y="4371975"/>
          <a:ext cx="4311650" cy="2822575"/>
        </a:xfrm>
        <a:prstGeom prst="rect">
          <a:avLst/>
        </a:prstGeom>
      </xdr:spPr>
    </xdr:pic>
    <xdr:clientData/>
  </xdr:twoCellAnchor>
  <xdr:twoCellAnchor editAs="oneCell">
    <xdr:from>
      <xdr:col>3</xdr:col>
      <xdr:colOff>92075</xdr:colOff>
      <xdr:row>30</xdr:row>
      <xdr:rowOff>130175</xdr:rowOff>
    </xdr:from>
    <xdr:to>
      <xdr:col>3</xdr:col>
      <xdr:colOff>6197600</xdr:colOff>
      <xdr:row>67</xdr:row>
      <xdr:rowOff>142875</xdr:rowOff>
    </xdr:to>
    <xdr:pic>
      <xdr:nvPicPr>
        <xdr:cNvPr id="9" name="Picture 8">
          <a:extLst>
            <a:ext uri="{FF2B5EF4-FFF2-40B4-BE49-F238E27FC236}">
              <a16:creationId xmlns:a16="http://schemas.microsoft.com/office/drawing/2014/main" id="{57B289ED-FA4E-821A-5F1D-D5B32E30FD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54375" y="7273925"/>
          <a:ext cx="6105525" cy="8823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B92D-5815-2541-8FAB-89183B4E0683}">
  <dimension ref="A1:J41"/>
  <sheetViews>
    <sheetView workbookViewId="0">
      <selection activeCell="E2" sqref="E2"/>
    </sheetView>
  </sheetViews>
  <sheetFormatPr defaultColWidth="10.89453125" defaultRowHeight="18.75" x14ac:dyDescent="0.25"/>
  <cols>
    <col min="1" max="1" width="45.33203125" style="1" bestFit="1" customWidth="1"/>
    <col min="2" max="2" width="9.953125" style="1" bestFit="1" customWidth="1"/>
    <col min="3" max="3" width="9.14453125" style="1" bestFit="1" customWidth="1"/>
    <col min="4" max="4" width="93.76171875" style="1" bestFit="1" customWidth="1"/>
    <col min="5" max="5" width="66.453125" style="1" bestFit="1" customWidth="1"/>
    <col min="6" max="6" width="29.45703125" style="6" bestFit="1" customWidth="1"/>
    <col min="7" max="7" width="8.875" style="6" bestFit="1" customWidth="1"/>
    <col min="8" max="8" width="9.14453125" style="6" bestFit="1" customWidth="1"/>
    <col min="9" max="9" width="7.80078125" style="6" bestFit="1" customWidth="1"/>
    <col min="10" max="10" width="66.18359375" style="6" bestFit="1" customWidth="1"/>
    <col min="11" max="16384" width="10.89453125" style="1"/>
  </cols>
  <sheetData>
    <row r="1" spans="1:10" x14ac:dyDescent="0.25">
      <c r="A1" s="41" t="s">
        <v>1188</v>
      </c>
      <c r="B1" s="41"/>
      <c r="C1" s="41"/>
      <c r="D1" s="41"/>
      <c r="E1" s="41"/>
      <c r="F1" s="41" t="s">
        <v>1189</v>
      </c>
      <c r="G1" s="41"/>
      <c r="H1" s="41"/>
      <c r="I1" s="41"/>
      <c r="J1" s="41"/>
    </row>
    <row r="2" spans="1:10" s="2" customFormat="1" x14ac:dyDescent="0.25">
      <c r="A2" s="4" t="s">
        <v>0</v>
      </c>
      <c r="B2" s="4" t="s">
        <v>1396</v>
      </c>
      <c r="C2" s="4" t="s">
        <v>9</v>
      </c>
      <c r="D2" s="13" t="s">
        <v>1807</v>
      </c>
      <c r="E2" s="13" t="s">
        <v>1968</v>
      </c>
      <c r="F2" s="3" t="s">
        <v>0</v>
      </c>
      <c r="G2" s="4" t="s">
        <v>1396</v>
      </c>
      <c r="H2" s="4" t="s">
        <v>9</v>
      </c>
      <c r="I2" s="32" t="str">
        <f>"d" &amp; SUM(H:H)</f>
        <v>d100</v>
      </c>
      <c r="J2" s="33" t="str">
        <f>"!import-table --" &amp; F2 &amp; " --show"</f>
        <v>!import-table --Magic-Item-Table-A --show</v>
      </c>
    </row>
    <row r="3" spans="1:10" x14ac:dyDescent="0.25">
      <c r="A3" s="6" t="s">
        <v>11</v>
      </c>
      <c r="B3" s="6" t="s">
        <v>1397</v>
      </c>
      <c r="C3" s="6">
        <v>50</v>
      </c>
      <c r="D3" s="9" t="s">
        <v>1788</v>
      </c>
      <c r="E3" s="9" t="s">
        <v>1796</v>
      </c>
      <c r="F3" s="5" t="s">
        <v>11</v>
      </c>
      <c r="G3" s="6" t="s">
        <v>1397</v>
      </c>
      <c r="H3" s="5">
        <v>50</v>
      </c>
      <c r="I3" s="8" t="str">
        <f>IF(H3=0,"-",IF(H3=1,SUM(H$1:H2)+1,SUM(H$1:H2)+1 &amp; "-" &amp; SUM(H$1:H3)))</f>
        <v>1-50</v>
      </c>
      <c r="J3" s="7" t="str">
        <f t="shared" ref="J3:J10" si="0">"!import-table-item --" &amp; F$1 &amp; " --" &amp; F3 &amp; " --" &amp; H3</f>
        <v>!import-table-item --Result --Potion of Healing --50</v>
      </c>
    </row>
    <row r="4" spans="1:10" x14ac:dyDescent="0.25">
      <c r="A4" s="6" t="s">
        <v>12</v>
      </c>
      <c r="B4" s="6" t="s">
        <v>1397</v>
      </c>
      <c r="C4" s="6">
        <v>10</v>
      </c>
      <c r="D4" s="9" t="s">
        <v>1789</v>
      </c>
      <c r="E4" s="9" t="s">
        <v>1797</v>
      </c>
      <c r="F4" s="5" t="s">
        <v>12</v>
      </c>
      <c r="G4" s="6" t="s">
        <v>1397</v>
      </c>
      <c r="H4" s="5">
        <v>10</v>
      </c>
      <c r="I4" s="8" t="str">
        <f>IF(H4=0,"-",IF(H4=1,SUM(H$1:H3)+1,SUM(H$1:H3)+1 &amp; "-" &amp; SUM(H$1:H4)))</f>
        <v>51-60</v>
      </c>
      <c r="J4" s="7" t="str">
        <f t="shared" si="0"/>
        <v>!import-table-item --Result --Spell Scroll (Cantrip) --10</v>
      </c>
    </row>
    <row r="5" spans="1:10" x14ac:dyDescent="0.25">
      <c r="A5" s="6" t="s">
        <v>13</v>
      </c>
      <c r="B5" s="6" t="s">
        <v>1397</v>
      </c>
      <c r="C5" s="6">
        <v>10</v>
      </c>
      <c r="D5" s="9" t="s">
        <v>1790</v>
      </c>
      <c r="E5" s="9" t="s">
        <v>1798</v>
      </c>
      <c r="F5" s="5" t="s">
        <v>13</v>
      </c>
      <c r="G5" s="6" t="s">
        <v>1397</v>
      </c>
      <c r="H5" s="5">
        <v>10</v>
      </c>
      <c r="I5" s="8" t="str">
        <f>IF(H5=0,"-",IF(H5=1,SUM(H$1:H4)+1,SUM(H$1:H4)+1 &amp; "-" &amp; SUM(H$1:H5)))</f>
        <v>61-70</v>
      </c>
      <c r="J5" s="7" t="str">
        <f t="shared" si="0"/>
        <v>!import-table-item --Result --Potion of Climbing --10</v>
      </c>
    </row>
    <row r="6" spans="1:10" x14ac:dyDescent="0.25">
      <c r="A6" s="6" t="s">
        <v>14</v>
      </c>
      <c r="B6" s="6" t="s">
        <v>1397</v>
      </c>
      <c r="C6" s="6">
        <v>20</v>
      </c>
      <c r="D6" s="9" t="s">
        <v>1791</v>
      </c>
      <c r="E6" s="9" t="s">
        <v>1799</v>
      </c>
      <c r="F6" s="5" t="s">
        <v>14</v>
      </c>
      <c r="G6" s="6" t="s">
        <v>1397</v>
      </c>
      <c r="H6" s="5">
        <v>20</v>
      </c>
      <c r="I6" s="8" t="str">
        <f>IF(H6=0,"-",IF(H6=1,SUM(H$1:H5)+1,SUM(H$1:H5)+1 &amp; "-" &amp; SUM(H$1:H6)))</f>
        <v>71-90</v>
      </c>
      <c r="J6" s="7" t="str">
        <f>"!import-table-item --" &amp; F$1 &amp; " --" &amp; F6 &amp; " --" &amp; H6</f>
        <v>!import-table-item --Result --Spell Scroll (1st Level) --20</v>
      </c>
    </row>
    <row r="7" spans="1:10" x14ac:dyDescent="0.25">
      <c r="A7" s="6" t="s">
        <v>15</v>
      </c>
      <c r="B7" s="6" t="s">
        <v>1397</v>
      </c>
      <c r="C7" s="6">
        <v>4</v>
      </c>
      <c r="D7" s="9" t="s">
        <v>1792</v>
      </c>
      <c r="E7" s="9" t="s">
        <v>1800</v>
      </c>
      <c r="F7" s="5" t="s">
        <v>15</v>
      </c>
      <c r="G7" s="6" t="s">
        <v>1397</v>
      </c>
      <c r="H7" s="5">
        <v>4</v>
      </c>
      <c r="I7" s="8" t="str">
        <f>IF(H7=0,"-",IF(H7=1,SUM(H$1:H6)+1,SUM(H$1:H6)+1 &amp; "-" &amp; SUM(H$1:H7)))</f>
        <v>91-94</v>
      </c>
      <c r="J7" s="7" t="str">
        <f t="shared" si="0"/>
        <v>!import-table-item --Result --Spell Scroll (2nd Level) --4</v>
      </c>
    </row>
    <row r="8" spans="1:10" x14ac:dyDescent="0.25">
      <c r="A8" s="6" t="s">
        <v>16</v>
      </c>
      <c r="B8" s="6" t="s">
        <v>1397</v>
      </c>
      <c r="C8" s="6">
        <v>4</v>
      </c>
      <c r="D8" s="9" t="s">
        <v>1793</v>
      </c>
      <c r="E8" s="9" t="s">
        <v>1801</v>
      </c>
      <c r="F8" s="5" t="s">
        <v>16</v>
      </c>
      <c r="G8" s="6" t="s">
        <v>1397</v>
      </c>
      <c r="H8" s="5">
        <v>4</v>
      </c>
      <c r="I8" s="8" t="str">
        <f>IF(H8=0,"-",IF(H8=1,SUM(H$1:H7)+1,SUM(H$1:H7)+1 &amp; "-" &amp; SUM(H$1:H8)))</f>
        <v>95-98</v>
      </c>
      <c r="J8" s="7" t="str">
        <f t="shared" si="0"/>
        <v>!import-table-item --Result --Potion of Greater Healing --4</v>
      </c>
    </row>
    <row r="9" spans="1:10" x14ac:dyDescent="0.25">
      <c r="A9" s="6" t="s">
        <v>17</v>
      </c>
      <c r="B9" s="6" t="s">
        <v>1397</v>
      </c>
      <c r="C9" s="6">
        <v>1</v>
      </c>
      <c r="D9" s="9" t="s">
        <v>1794</v>
      </c>
      <c r="E9" s="9" t="s">
        <v>1802</v>
      </c>
      <c r="F9" s="5" t="s">
        <v>17</v>
      </c>
      <c r="G9" s="6" t="s">
        <v>1397</v>
      </c>
      <c r="H9" s="5">
        <v>1</v>
      </c>
      <c r="I9" s="8">
        <f>IF(H9=0,"-",IF(H9=1,SUM(H$1:H8)+1,SUM(H$1:H8)+1 &amp; "-" &amp; SUM(H$1:H9)))</f>
        <v>99</v>
      </c>
      <c r="J9" s="7" t="str">
        <f t="shared" si="0"/>
        <v>!import-table-item --Result --Bag of Holding --1</v>
      </c>
    </row>
    <row r="10" spans="1:10" x14ac:dyDescent="0.25">
      <c r="A10" s="6" t="s">
        <v>18</v>
      </c>
      <c r="B10" s="6" t="s">
        <v>1397</v>
      </c>
      <c r="C10" s="6">
        <v>1</v>
      </c>
      <c r="D10" s="9" t="s">
        <v>1795</v>
      </c>
      <c r="E10" s="9" t="s">
        <v>1803</v>
      </c>
      <c r="F10" s="5" t="s">
        <v>18</v>
      </c>
      <c r="G10" s="6" t="s">
        <v>1397</v>
      </c>
      <c r="H10" s="5">
        <v>1</v>
      </c>
      <c r="I10" s="8">
        <f>IF(H10=0,"-",IF(H10=1,SUM(H$1:H9)+1,SUM(H$1:H9)+1 &amp; "-" &amp; SUM(H$1:H10)))</f>
        <v>100</v>
      </c>
      <c r="J10" s="7" t="str">
        <f t="shared" si="0"/>
        <v>!import-table-item --Result --Driftglobe --1</v>
      </c>
    </row>
    <row r="11" spans="1:10" s="6" customFormat="1" x14ac:dyDescent="0.25">
      <c r="A11" s="1"/>
      <c r="B11" s="1"/>
      <c r="C11" s="1"/>
      <c r="D11" s="1"/>
      <c r="E11" s="1"/>
      <c r="F11" s="5"/>
      <c r="G11"/>
      <c r="H11" s="5"/>
      <c r="I11" s="8"/>
      <c r="J11" s="7"/>
    </row>
    <row r="12" spans="1:10" s="6" customFormat="1" x14ac:dyDescent="0.25">
      <c r="A12" s="6" t="s">
        <v>1824</v>
      </c>
      <c r="D12" s="40" t="s">
        <v>1193</v>
      </c>
      <c r="E12" s="40"/>
      <c r="F12"/>
      <c r="G12"/>
      <c r="H12"/>
      <c r="I12"/>
      <c r="J12"/>
    </row>
    <row r="13" spans="1:10" s="9" customFormat="1" x14ac:dyDescent="0.25">
      <c r="A13" s="9" t="s">
        <v>1825</v>
      </c>
      <c r="B13" s="6" t="s">
        <v>1397</v>
      </c>
      <c r="C13" s="6"/>
      <c r="D13" s="40" t="s">
        <v>1818</v>
      </c>
      <c r="E13" s="40"/>
      <c r="G13" s="6"/>
      <c r="I13" s="6"/>
      <c r="J13" s="6"/>
    </row>
    <row r="14" spans="1:10" s="6" customFormat="1" x14ac:dyDescent="0.25">
      <c r="A14" s="6" t="s">
        <v>1826</v>
      </c>
      <c r="B14" s="6" t="s">
        <v>1493</v>
      </c>
      <c r="D14" s="40" t="s">
        <v>1823</v>
      </c>
      <c r="E14" s="40"/>
    </row>
    <row r="15" spans="1:10" s="6" customFormat="1" x14ac:dyDescent="0.25">
      <c r="A15" s="6" t="s">
        <v>1827</v>
      </c>
      <c r="B15" s="6" t="s">
        <v>1402</v>
      </c>
      <c r="D15" s="40" t="s">
        <v>1804</v>
      </c>
      <c r="E15" s="40"/>
      <c r="F15" s="6" t="s">
        <v>1806</v>
      </c>
    </row>
    <row r="16" spans="1:10" s="6" customFormat="1" x14ac:dyDescent="0.25">
      <c r="A16" s="6" t="s">
        <v>1834</v>
      </c>
      <c r="B16" s="6" t="s">
        <v>1403</v>
      </c>
      <c r="D16" s="40" t="s">
        <v>1805</v>
      </c>
      <c r="E16" s="40"/>
      <c r="F16" s="6" t="s">
        <v>1192</v>
      </c>
    </row>
    <row r="17" spans="1:6" s="9" customFormat="1" x14ac:dyDescent="0.25">
      <c r="A17" s="6" t="s">
        <v>1835</v>
      </c>
      <c r="B17" s="6" t="s">
        <v>1401</v>
      </c>
      <c r="C17" s="6"/>
      <c r="D17" s="40" t="s">
        <v>1817</v>
      </c>
      <c r="E17" s="40"/>
      <c r="F17" s="9" t="s">
        <v>1808</v>
      </c>
    </row>
    <row r="18" spans="1:6" s="6" customFormat="1" x14ac:dyDescent="0.25">
      <c r="A18" s="6" t="s">
        <v>1840</v>
      </c>
      <c r="B18" s="6" t="s">
        <v>1431</v>
      </c>
      <c r="D18" s="40" t="s">
        <v>1191</v>
      </c>
      <c r="E18" s="40"/>
      <c r="F18" s="6" t="s">
        <v>1190</v>
      </c>
    </row>
    <row r="19" spans="1:6" s="6" customFormat="1" x14ac:dyDescent="0.25">
      <c r="A19" s="1" t="s">
        <v>1833</v>
      </c>
      <c r="B19" s="6" t="s">
        <v>1494</v>
      </c>
      <c r="C19" s="1"/>
      <c r="D19" s="1"/>
      <c r="E19" s="34" t="s">
        <v>1955</v>
      </c>
    </row>
    <row r="20" spans="1:6" s="9" customFormat="1" x14ac:dyDescent="0.25">
      <c r="A20" s="1" t="s">
        <v>1836</v>
      </c>
      <c r="B20" s="6" t="s">
        <v>1398</v>
      </c>
      <c r="C20" s="1"/>
      <c r="D20" s="1"/>
      <c r="E20" s="35" t="s">
        <v>1956</v>
      </c>
      <c r="F20" s="9" t="s">
        <v>1232</v>
      </c>
    </row>
    <row r="21" spans="1:6" s="9" customFormat="1" x14ac:dyDescent="0.25">
      <c r="A21" s="1" t="s">
        <v>1837</v>
      </c>
      <c r="B21" s="6" t="s">
        <v>1409</v>
      </c>
      <c r="C21" s="1"/>
      <c r="D21" s="1"/>
      <c r="E21" s="35" t="s">
        <v>1957</v>
      </c>
      <c r="F21" s="9" t="s">
        <v>1234</v>
      </c>
    </row>
    <row r="22" spans="1:6" s="9" customFormat="1" x14ac:dyDescent="0.25">
      <c r="A22" s="1" t="s">
        <v>1838</v>
      </c>
      <c r="B22" s="6" t="s">
        <v>1679</v>
      </c>
      <c r="C22" s="1"/>
      <c r="D22" s="1"/>
      <c r="E22" s="35" t="s">
        <v>1958</v>
      </c>
      <c r="F22" s="9" t="s">
        <v>1235</v>
      </c>
    </row>
    <row r="23" spans="1:6" s="9" customFormat="1" x14ac:dyDescent="0.25">
      <c r="A23" s="1" t="s">
        <v>1839</v>
      </c>
      <c r="B23" s="6" t="s">
        <v>1400</v>
      </c>
      <c r="C23" s="1"/>
      <c r="D23" s="1"/>
      <c r="E23" s="35" t="s">
        <v>1959</v>
      </c>
      <c r="F23" s="9" t="s">
        <v>1236</v>
      </c>
    </row>
    <row r="24" spans="1:6" s="9" customFormat="1" x14ac:dyDescent="0.25">
      <c r="A24" s="1" t="s">
        <v>1841</v>
      </c>
      <c r="B24" s="6" t="s">
        <v>1424</v>
      </c>
      <c r="C24" s="1"/>
      <c r="D24" s="1"/>
      <c r="E24" s="35" t="s">
        <v>1960</v>
      </c>
      <c r="F24" s="9" t="s">
        <v>1233</v>
      </c>
    </row>
    <row r="25" spans="1:6" s="9" customFormat="1" x14ac:dyDescent="0.25">
      <c r="A25" s="9" t="s">
        <v>1828</v>
      </c>
      <c r="B25" s="6" t="s">
        <v>1482</v>
      </c>
      <c r="C25" s="1"/>
      <c r="D25" s="1"/>
      <c r="E25" s="35" t="s">
        <v>1961</v>
      </c>
      <c r="F25" s="9" t="s">
        <v>1809</v>
      </c>
    </row>
    <row r="26" spans="1:6" s="9" customFormat="1" x14ac:dyDescent="0.25">
      <c r="A26" s="9" t="s">
        <v>1830</v>
      </c>
      <c r="B26" s="6" t="s">
        <v>1439</v>
      </c>
      <c r="C26" s="1"/>
      <c r="D26" s="1"/>
      <c r="E26" s="35" t="s">
        <v>1962</v>
      </c>
      <c r="F26" s="9" t="s">
        <v>1237</v>
      </c>
    </row>
    <row r="27" spans="1:6" s="9" customFormat="1" x14ac:dyDescent="0.25">
      <c r="A27" s="9" t="s">
        <v>1829</v>
      </c>
      <c r="B27" s="6" t="s">
        <v>1411</v>
      </c>
      <c r="C27" s="1"/>
      <c r="D27" s="1"/>
      <c r="E27" s="35" t="s">
        <v>1963</v>
      </c>
      <c r="F27" s="9" t="s">
        <v>1813</v>
      </c>
    </row>
    <row r="28" spans="1:6" s="9" customFormat="1" x14ac:dyDescent="0.25">
      <c r="A28" s="9" t="s">
        <v>1831</v>
      </c>
      <c r="B28" s="6" t="s">
        <v>1483</v>
      </c>
      <c r="C28" s="1"/>
      <c r="D28" s="1"/>
      <c r="E28" s="35" t="s">
        <v>1964</v>
      </c>
      <c r="F28" s="9" t="s">
        <v>1814</v>
      </c>
    </row>
    <row r="29" spans="1:6" s="9" customFormat="1" x14ac:dyDescent="0.25">
      <c r="A29" s="1" t="s">
        <v>1832</v>
      </c>
      <c r="B29" s="6" t="s">
        <v>1414</v>
      </c>
      <c r="C29" s="1"/>
      <c r="D29" s="1"/>
      <c r="E29" s="35" t="s">
        <v>1965</v>
      </c>
      <c r="F29" s="9" t="s">
        <v>1238</v>
      </c>
    </row>
    <row r="30" spans="1:6" s="9" customFormat="1" x14ac:dyDescent="0.25">
      <c r="A30" s="1" t="s">
        <v>1842</v>
      </c>
      <c r="B30" s="6" t="s">
        <v>1479</v>
      </c>
      <c r="C30" s="1"/>
      <c r="D30" s="1"/>
      <c r="E30" s="35" t="s">
        <v>1966</v>
      </c>
      <c r="F30" s="9" t="s">
        <v>1810</v>
      </c>
    </row>
    <row r="31" spans="1:6" s="6" customFormat="1" x14ac:dyDescent="0.25">
      <c r="A31" s="1" t="s">
        <v>1843</v>
      </c>
      <c r="B31" s="6" t="s">
        <v>1399</v>
      </c>
      <c r="C31" s="1"/>
      <c r="D31" s="1"/>
      <c r="E31" s="35" t="s">
        <v>1967</v>
      </c>
      <c r="F31" s="6" t="s">
        <v>1811</v>
      </c>
    </row>
    <row r="32" spans="1:6" s="6" customFormat="1" x14ac:dyDescent="0.25">
      <c r="A32" s="1" t="s">
        <v>1844</v>
      </c>
      <c r="B32" s="6" t="s">
        <v>1423</v>
      </c>
      <c r="C32" s="1"/>
      <c r="D32" s="1"/>
      <c r="E32" s="1"/>
      <c r="F32" s="6" t="s">
        <v>1815</v>
      </c>
    </row>
    <row r="33" spans="1:8" s="6" customFormat="1" x14ac:dyDescent="0.25">
      <c r="A33" s="1" t="s">
        <v>1845</v>
      </c>
      <c r="B33" s="6" t="s">
        <v>1478</v>
      </c>
      <c r="C33" s="1"/>
      <c r="D33" s="1"/>
      <c r="E33" s="1"/>
      <c r="F33" s="6" t="s">
        <v>1816</v>
      </c>
    </row>
    <row r="34" spans="1:8" s="6" customFormat="1" x14ac:dyDescent="0.25">
      <c r="A34" s="1" t="s">
        <v>1846</v>
      </c>
      <c r="B34" s="6" t="s">
        <v>1476</v>
      </c>
      <c r="C34" s="1"/>
      <c r="D34" s="1"/>
      <c r="E34" s="1"/>
      <c r="F34" s="6" t="s">
        <v>1812</v>
      </c>
    </row>
    <row r="35" spans="1:8" s="6" customFormat="1" x14ac:dyDescent="0.25">
      <c r="A35" s="1" t="s">
        <v>1847</v>
      </c>
      <c r="B35" s="6" t="s">
        <v>1481</v>
      </c>
      <c r="C35" s="1"/>
      <c r="D35" s="1"/>
      <c r="E35" s="1"/>
      <c r="F35" s="6" t="s">
        <v>1819</v>
      </c>
    </row>
    <row r="36" spans="1:8" s="6" customFormat="1" x14ac:dyDescent="0.25">
      <c r="A36" s="1" t="s">
        <v>1848</v>
      </c>
      <c r="B36" s="6" t="s">
        <v>1408</v>
      </c>
      <c r="C36" s="1"/>
      <c r="D36" s="1"/>
      <c r="E36" s="1"/>
    </row>
    <row r="37" spans="1:8" s="6" customFormat="1" x14ac:dyDescent="0.25">
      <c r="A37" s="1" t="s">
        <v>1849</v>
      </c>
      <c r="B37" s="6" t="s">
        <v>1466</v>
      </c>
      <c r="C37" s="1"/>
      <c r="D37" s="1"/>
      <c r="E37" s="1"/>
      <c r="F37" s="6" t="s">
        <v>1820</v>
      </c>
    </row>
    <row r="38" spans="1:8" x14ac:dyDescent="0.25">
      <c r="A38" s="1" t="s">
        <v>1850</v>
      </c>
      <c r="B38" s="1" t="s">
        <v>1484</v>
      </c>
      <c r="H38" s="9"/>
    </row>
    <row r="39" spans="1:8" x14ac:dyDescent="0.25">
      <c r="A39" s="1" t="s">
        <v>1851</v>
      </c>
      <c r="B39" s="1" t="s">
        <v>1463</v>
      </c>
      <c r="H39" s="9"/>
    </row>
    <row r="40" spans="1:8" x14ac:dyDescent="0.25">
      <c r="A40" s="1" t="s">
        <v>1944</v>
      </c>
      <c r="B40" s="1" t="s">
        <v>1875</v>
      </c>
      <c r="H40" s="9"/>
    </row>
    <row r="41" spans="1:8" x14ac:dyDescent="0.25">
      <c r="A41" s="1" t="s">
        <v>1945</v>
      </c>
      <c r="B41" s="1" t="s">
        <v>1853</v>
      </c>
      <c r="H41" s="9"/>
    </row>
  </sheetData>
  <mergeCells count="9">
    <mergeCell ref="D15:E15"/>
    <mergeCell ref="D16:E16"/>
    <mergeCell ref="D17:E17"/>
    <mergeCell ref="D18:E18"/>
    <mergeCell ref="F1:J1"/>
    <mergeCell ref="A1:E1"/>
    <mergeCell ref="D12:E12"/>
    <mergeCell ref="D13:E13"/>
    <mergeCell ref="D14:E14"/>
  </mergeCells>
  <phoneticPr fontId="3" type="noConversion"/>
  <hyperlinks>
    <hyperlink ref="E20" location="'DMG Magic Item Tables'!A1" display="Original DMG" xr:uid="{B47D6256-022B-4257-8A1D-CF32D96672BC}"/>
    <hyperlink ref="E21" location="'Table A Common'!A1" display="Table A Common" xr:uid="{1F03EC30-2B1D-4E30-B4AC-21BD987F2B4E}"/>
    <hyperlink ref="E22" location="'Table B Minor Uncommon'!A1" display="Table B Minor Uncommon" xr:uid="{9CEAD65D-70AB-4DDC-8782-B7FF7329DED4}"/>
    <hyperlink ref="E23" location="'Table C Minor Rare'!A1" display="Table C Minor Rare" xr:uid="{647A7FEE-A340-432B-B481-9FF17A38ADD4}"/>
    <hyperlink ref="E24" location="'Table D Minor Very Rare'!A1" display="Table D Minor Very Rare" xr:uid="{23F5C9E2-473F-447A-816C-7433173B1E4A}"/>
    <hyperlink ref="E25" location="'Table E Minor Legendary'!A1" display="Table E Minor Legendary" xr:uid="{97CF4B86-77C6-4AFB-AEBF-10C5B1FAE6D5}"/>
    <hyperlink ref="E26" location="'Table F Major Uncommon'!A1" display="Table F Major Uncommon" xr:uid="{9EE74D73-C8EA-4507-93AF-56614BCCD6B9}"/>
    <hyperlink ref="E27" location="'Table G Major Rare'!A1" display="Table G Major Rare" xr:uid="{A79FE7E1-BB7F-48FF-82F2-B3ED706EE1C0}"/>
    <hyperlink ref="E28" location="'Table H Major Very Rare'!A1" display="Table H Major Very Rare" xr:uid="{CA10841F-702F-4934-AABC-A3A61174EDB1}"/>
    <hyperlink ref="E29" location="'Table I Major Legendary'!A1" display="Table I Major Legendary" xr:uid="{45DD15A9-B5AD-46D3-9538-4D5B4900B022}"/>
    <hyperlink ref="E30" location="'All Spells'!A1" display="All Spells" xr:uid="{843733FB-253A-4B40-82AC-681B93E984E4}"/>
    <hyperlink ref="E31" location="'Supplemental Types'!A1" display="Supplemental Types" xr:uid="{72924D49-B86E-485E-BADA-0CB3E746561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A3103-1B6A-4384-B3F0-11B79DE9B1E3}">
  <dimension ref="A1:BC89"/>
  <sheetViews>
    <sheetView topLeftCell="N1" workbookViewId="0">
      <selection activeCell="P14" sqref="P14"/>
    </sheetView>
  </sheetViews>
  <sheetFormatPr defaultColWidth="8.875" defaultRowHeight="18.75" x14ac:dyDescent="0.25"/>
  <cols>
    <col min="1" max="1" width="29.45703125" style="6" bestFit="1" customWidth="1"/>
    <col min="2" max="2" width="8.875" style="6" bestFit="1" customWidth="1"/>
    <col min="3" max="3" width="9.14453125" style="6" bestFit="1" customWidth="1"/>
    <col min="4" max="4" width="9.28125" style="6" bestFit="1" customWidth="1"/>
    <col min="5" max="5" width="81.65625" style="6" bestFit="1" customWidth="1"/>
    <col min="6" max="6" width="41.1640625" style="6" bestFit="1" customWidth="1"/>
    <col min="7" max="7" width="8.875" style="6" bestFit="1" customWidth="1"/>
    <col min="8" max="8" width="9.14453125" style="6" bestFit="1" customWidth="1"/>
    <col min="9" max="9" width="9.28125" style="6" bestFit="1" customWidth="1"/>
    <col min="10" max="10" width="93.08984375" style="6" bestFit="1" customWidth="1"/>
    <col min="11" max="11" width="35.37890625" style="6" bestFit="1" customWidth="1"/>
    <col min="12" max="12" width="8.875" style="6" bestFit="1" customWidth="1"/>
    <col min="13" max="13" width="9.14453125" style="6" bestFit="1" customWidth="1"/>
    <col min="14" max="14" width="9.28125" style="6" bestFit="1" customWidth="1"/>
    <col min="15" max="15" width="87.3046875" style="6" bestFit="1" customWidth="1"/>
    <col min="16" max="16" width="35.37890625" style="6" bestFit="1" customWidth="1"/>
    <col min="17" max="17" width="8.875" style="6" bestFit="1" customWidth="1"/>
    <col min="18" max="18" width="9.14453125" style="6" bestFit="1" customWidth="1"/>
    <col min="19" max="19" width="9.28125" style="6" bestFit="1" customWidth="1"/>
    <col min="20" max="20" width="87.4375" style="6" bestFit="1" customWidth="1"/>
    <col min="21" max="21" width="35.91796875" style="6" bestFit="1" customWidth="1"/>
    <col min="22" max="22" width="8.875" style="6" bestFit="1" customWidth="1"/>
    <col min="23" max="23" width="9.14453125" style="6" bestFit="1" customWidth="1"/>
    <col min="24" max="24" width="9.28125" style="6" bestFit="1" customWidth="1"/>
    <col min="25" max="25" width="89.1875" style="6" bestFit="1" customWidth="1"/>
    <col min="26" max="26" width="54.48046875" style="6" bestFit="1" customWidth="1"/>
    <col min="27" max="27" width="8.875" style="6" bestFit="1" customWidth="1"/>
    <col min="28" max="28" width="9.14453125" style="6" bestFit="1" customWidth="1"/>
    <col min="29" max="29" width="9.28125" style="6" bestFit="1" customWidth="1"/>
    <col min="30" max="30" width="106.40625" style="6" bestFit="1" customWidth="1"/>
    <col min="31" max="31" width="50.30859375" style="6" bestFit="1" customWidth="1"/>
    <col min="32" max="32" width="8.875" style="6" bestFit="1" customWidth="1"/>
    <col min="33" max="33" width="9.14453125" style="6" bestFit="1" customWidth="1"/>
    <col min="34" max="34" width="9.28125" style="6" bestFit="1" customWidth="1"/>
    <col min="35" max="35" width="102.37109375" style="6" bestFit="1" customWidth="1"/>
    <col min="36" max="36" width="38.7421875" style="6" bestFit="1" customWidth="1"/>
    <col min="37" max="37" width="8.875" style="6" bestFit="1" customWidth="1"/>
    <col min="38" max="38" width="9.14453125" style="6" bestFit="1" customWidth="1"/>
    <col min="39" max="39" width="9.28125" style="6" bestFit="1" customWidth="1"/>
    <col min="40" max="40" width="86.90234375" style="6" bestFit="1" customWidth="1"/>
    <col min="41" max="41" width="53" style="6" bestFit="1" customWidth="1"/>
    <col min="42" max="42" width="8.875" style="6" bestFit="1" customWidth="1"/>
    <col min="43" max="43" width="9.14453125" style="6" bestFit="1" customWidth="1"/>
    <col min="44" max="44" width="9.28125" style="6" bestFit="1" customWidth="1"/>
    <col min="45" max="45" width="105.33203125" style="6" bestFit="1" customWidth="1"/>
    <col min="46" max="46" width="44.79296875" style="6" bestFit="1" customWidth="1"/>
    <col min="47" max="47" width="8.875" style="6" bestFit="1" customWidth="1"/>
    <col min="48" max="48" width="9.14453125" style="6" bestFit="1" customWidth="1"/>
    <col min="49" max="49" width="9.28125" style="6" bestFit="1" customWidth="1"/>
    <col min="50" max="50" width="96.31640625" style="6" bestFit="1" customWidth="1"/>
    <col min="51" max="51" width="30.9375" style="6" bestFit="1" customWidth="1"/>
    <col min="52" max="52" width="8.875" style="6" bestFit="1" customWidth="1"/>
    <col min="53" max="53" width="9.14453125" style="6" bestFit="1" customWidth="1"/>
    <col min="54" max="54" width="9.28125" style="6" bestFit="1" customWidth="1"/>
    <col min="55" max="55" width="77.484375" style="6" bestFit="1" customWidth="1"/>
    <col min="56" max="16384" width="8.875" style="6"/>
  </cols>
  <sheetData>
    <row r="1" spans="1:55" s="4" customFormat="1" x14ac:dyDescent="0.25">
      <c r="A1" s="4" t="s">
        <v>0</v>
      </c>
      <c r="B1" s="4" t="s">
        <v>1396</v>
      </c>
      <c r="C1" s="4" t="s">
        <v>9</v>
      </c>
      <c r="D1" s="4" t="str">
        <f>"d" &amp; SUM(C$1:C$100)</f>
        <v>d100</v>
      </c>
      <c r="E1" s="13" t="str">
        <f>"!import-table --" &amp; A1 &amp; " --show"</f>
        <v>!import-table --Magic-Item-Table-A --show</v>
      </c>
      <c r="F1" s="4" t="s">
        <v>1</v>
      </c>
      <c r="G1" s="4" t="s">
        <v>1396</v>
      </c>
      <c r="H1" s="4" t="s">
        <v>9</v>
      </c>
      <c r="I1" s="4" t="str">
        <f>"d" &amp; SUM(H$1:H$100)</f>
        <v>d100</v>
      </c>
      <c r="J1" s="13" t="str">
        <f>"!import-table --" &amp; F1 &amp; " --show"</f>
        <v>!import-table --Magic-Item-Table-B --show</v>
      </c>
      <c r="K1" s="4" t="s">
        <v>2</v>
      </c>
      <c r="L1" s="4" t="s">
        <v>1396</v>
      </c>
      <c r="M1" s="4" t="s">
        <v>9</v>
      </c>
      <c r="N1" s="4" t="str">
        <f>"d" &amp; SUM(M$1:M$100)</f>
        <v>d100</v>
      </c>
      <c r="O1" s="13" t="str">
        <f>"!import-table --" &amp; K1 &amp; " --show"</f>
        <v>!import-table --Magic-Item-Table-C --show</v>
      </c>
      <c r="P1" s="4" t="s">
        <v>3</v>
      </c>
      <c r="Q1" s="4" t="s">
        <v>1396</v>
      </c>
      <c r="R1" s="4" t="s">
        <v>9</v>
      </c>
      <c r="S1" s="4" t="str">
        <f>"d" &amp; SUM(R$1:R$100)</f>
        <v>d100</v>
      </c>
      <c r="T1" s="13" t="str">
        <f>"!import-table --" &amp; P1 &amp; " --show"</f>
        <v>!import-table --Magic-Item-Table-D --show</v>
      </c>
      <c r="U1" s="4" t="s">
        <v>4</v>
      </c>
      <c r="V1" s="4" t="s">
        <v>1396</v>
      </c>
      <c r="W1" s="4" t="s">
        <v>9</v>
      </c>
      <c r="X1" s="4" t="str">
        <f>"d" &amp; SUM(W$1:W$100)</f>
        <v>d100</v>
      </c>
      <c r="Y1" s="13" t="str">
        <f>"!import-table --" &amp; U1 &amp; " --show"</f>
        <v>!import-table --Magic-Item-Table-E --show</v>
      </c>
      <c r="Z1" s="4" t="s">
        <v>5</v>
      </c>
      <c r="AA1" s="4" t="s">
        <v>1396</v>
      </c>
      <c r="AB1" s="4" t="s">
        <v>9</v>
      </c>
      <c r="AC1" s="4" t="str">
        <f>"d" &amp; SUM(AB$1:AB$100)</f>
        <v>d100</v>
      </c>
      <c r="AD1" s="13" t="str">
        <f>"!import-table --" &amp; Z1 &amp; " --show"</f>
        <v>!import-table --Magic-Item-Table-F --show</v>
      </c>
      <c r="AE1" s="4" t="s">
        <v>6</v>
      </c>
      <c r="AF1" s="4" t="s">
        <v>1396</v>
      </c>
      <c r="AG1" s="4" t="s">
        <v>9</v>
      </c>
      <c r="AH1" s="4" t="str">
        <f>"d" &amp; SUM(AG$1:AG$100)</f>
        <v>d100</v>
      </c>
      <c r="AI1" s="13" t="str">
        <f>"!import-table --" &amp; AE1 &amp; " --show"</f>
        <v>!import-table --Magic-Item-Table-G --show</v>
      </c>
      <c r="AJ1" s="4" t="s">
        <v>1568</v>
      </c>
      <c r="AK1" s="4" t="s">
        <v>1396</v>
      </c>
      <c r="AL1" s="4" t="s">
        <v>9</v>
      </c>
      <c r="AM1" s="4" t="str">
        <f>"d" &amp; SUM(AL$1:AL$100)</f>
        <v>d8</v>
      </c>
      <c r="AN1" s="13" t="str">
        <f>"!import-table --" &amp; AJ1 &amp; " --show"</f>
        <v>!import-table --Figurine-of-Wondrous-Power-G --show</v>
      </c>
      <c r="AO1" s="4" t="s">
        <v>7</v>
      </c>
      <c r="AP1" s="4" t="s">
        <v>1396</v>
      </c>
      <c r="AQ1" s="4" t="s">
        <v>9</v>
      </c>
      <c r="AR1" s="4" t="str">
        <f>"d" &amp; SUM(AQ$1:AQ$100)</f>
        <v>d100</v>
      </c>
      <c r="AS1" s="13" t="str">
        <f>"!import-table --" &amp; AO1 &amp; " --show"</f>
        <v>!import-table --Magic-Item-Table-H --show</v>
      </c>
      <c r="AT1" s="4" t="s">
        <v>8</v>
      </c>
      <c r="AU1" s="4" t="s">
        <v>1396</v>
      </c>
      <c r="AV1" s="4" t="s">
        <v>9</v>
      </c>
      <c r="AW1" s="4" t="str">
        <f>"d" &amp; SUM(AV$1:AV$100)</f>
        <v>d100</v>
      </c>
      <c r="AX1" s="13" t="str">
        <f>"!import-table --" &amp; AT1 &amp; " --show"</f>
        <v>!import-table --Magic-Item-Table-I --show</v>
      </c>
      <c r="AY1" s="4" t="s">
        <v>364</v>
      </c>
      <c r="AZ1" s="4" t="s">
        <v>1396</v>
      </c>
      <c r="BA1" s="4" t="s">
        <v>9</v>
      </c>
      <c r="BB1" s="4" t="str">
        <f>"d" &amp; SUM(BA$1:BA$100)</f>
        <v>d12</v>
      </c>
      <c r="BC1" s="13" t="str">
        <f>"!import-table --" &amp; AY1 &amp; " --show"</f>
        <v>!import-table --Magic-Armor-I --show</v>
      </c>
    </row>
    <row r="2" spans="1:55" x14ac:dyDescent="0.25">
      <c r="A2" s="6" t="s">
        <v>11</v>
      </c>
      <c r="B2" s="6" t="s">
        <v>1397</v>
      </c>
      <c r="C2" s="6">
        <v>50</v>
      </c>
      <c r="D2" s="9" t="str">
        <f>IF(C2=0,"-",IF(C2=1,SUM(C$1:C1)+1,SUM(C$1:C1)+1 &amp; "-" &amp; SUM(C$1:C2)))</f>
        <v>1-50</v>
      </c>
      <c r="E2" s="6" t="str">
        <f>"!import-table-item --" &amp; A$1 &amp; " --" &amp; A2 &amp; " --" &amp; C2</f>
        <v>!import-table-item --Magic-Item-Table-A --Potion of Healing --50</v>
      </c>
      <c r="F2" s="6" t="s">
        <v>16</v>
      </c>
      <c r="G2" s="6" t="s">
        <v>1397</v>
      </c>
      <c r="H2" s="6">
        <v>15</v>
      </c>
      <c r="I2" s="9" t="str">
        <f>IF(H2=0,"-",IF(H2=1,SUM(H$1:H1)+1,SUM(H$1:H1)+1 &amp; "-" &amp; SUM(H$1:H2)))</f>
        <v>1-15</v>
      </c>
      <c r="J2" s="6" t="str">
        <f t="shared" ref="J2:J36" si="0">"!import-table-item --" &amp; F$1 &amp; " --" &amp; F2 &amp; " --" &amp; H2</f>
        <v>!import-table-item --Magic-Item-Table-B --Potion of Greater Healing --15</v>
      </c>
      <c r="K2" s="9" t="s">
        <v>50</v>
      </c>
      <c r="L2" s="6" t="s">
        <v>1397</v>
      </c>
      <c r="M2" s="9">
        <v>15</v>
      </c>
      <c r="N2" s="9" t="str">
        <f>IF(M2=0,"-",IF(M2=1,SUM(M$1:M1)+1,SUM(M$1:M1)+1 &amp; "-" &amp; SUM(M$1:M2)))</f>
        <v>1-15</v>
      </c>
      <c r="O2" s="6" t="str">
        <f t="shared" ref="O2:O29" si="1">"!import-table-item --" &amp; K$1 &amp; " --" &amp; K2 &amp; " --" &amp; M2</f>
        <v>!import-table-item --Magic-Item-Table-C --Potion of Superior Healing --15</v>
      </c>
      <c r="P2" s="9" t="s">
        <v>77</v>
      </c>
      <c r="Q2" s="6" t="s">
        <v>1397</v>
      </c>
      <c r="R2" s="6">
        <v>20</v>
      </c>
      <c r="S2" s="9" t="str">
        <f>IF(R2=0,"-",IF(R2=1,SUM(R$1:R1)+1,SUM(R$1:R1)+1 &amp; "-" &amp; SUM(R$1:R2)))</f>
        <v>1-20</v>
      </c>
      <c r="T2" s="6" t="str">
        <f t="shared" ref="T2:T17" si="2">"!import-table-item --" &amp; P$1 &amp; " --" &amp; P2 &amp; " --" &amp; R2</f>
        <v>!import-table-item --Magic-Item-Table-D --Potion of Supreme Healing --20</v>
      </c>
      <c r="U2" s="9" t="s">
        <v>88</v>
      </c>
      <c r="V2" s="6" t="s">
        <v>1397</v>
      </c>
      <c r="W2" s="9">
        <v>30</v>
      </c>
      <c r="X2" s="9" t="str">
        <f>IF(W2=0,"-",IF(W2=1,SUM(W$1:W1)+1,SUM(W$1:W1)+1 &amp; "-" &amp; SUM(W$1:W2)))</f>
        <v>1-30</v>
      </c>
      <c r="Y2" s="6" t="str">
        <f t="shared" ref="Y2:Y8" si="3">"!import-table-item --" &amp; U$1 &amp; " --" &amp; U2 &amp; " --" &amp; W2</f>
        <v>!import-table-item --Magic-Item-Table-E --Spell Scroll (8th Level) --30</v>
      </c>
      <c r="Z2" s="6" t="s">
        <v>98</v>
      </c>
      <c r="AA2" s="6" t="s">
        <v>1397</v>
      </c>
      <c r="AB2" s="6">
        <v>15</v>
      </c>
      <c r="AC2" s="9" t="str">
        <f>IF(AB2=0,"-",IF(AB2=1,SUM(AB$1:AB1)+1,SUM(AB$1:AB1)+1 &amp; "-" &amp; SUM(AB$1:AB2)))</f>
        <v>1-15</v>
      </c>
      <c r="AD2" s="6" t="str">
        <f t="shared" ref="AD2:AD33" si="4">"!import-table-item --" &amp; Z$1 &amp; " --" &amp; Z2 &amp; " --" &amp; AB2</f>
        <v>!import-table-item --Magic-Item-Table-F --Weapon, +1 --15</v>
      </c>
      <c r="AE2" s="6" t="s">
        <v>156</v>
      </c>
      <c r="AF2" s="6" t="s">
        <v>1397</v>
      </c>
      <c r="AG2" s="6">
        <v>11</v>
      </c>
      <c r="AH2" s="9" t="str">
        <f>IF(AG2=0,"-",IF(AG2=1,SUM(AG$1:AG1)+1,SUM(AG$1:AG1)+1 &amp; "-" &amp; SUM(AG$1:AG2)))</f>
        <v>1-11</v>
      </c>
      <c r="AI2" s="6" t="str">
        <f t="shared" ref="AI2:AI33" si="5">"!import-table-item --" &amp; AE$1 &amp; " --" &amp; AE2 &amp; " --" &amp; AG2</f>
        <v>!import-table-item --Magic-Item-Table-G --Weapon, +2 --11</v>
      </c>
      <c r="AJ2" s="6" t="s">
        <v>365</v>
      </c>
      <c r="AK2" s="6" t="s">
        <v>1397</v>
      </c>
      <c r="AL2" s="6">
        <v>1</v>
      </c>
      <c r="AM2" s="9">
        <f>IF(AL2=0,"-",IF(AL2=1,SUM(AL$1:AL1)+1,SUM(AL$1:AL1)+1 &amp; "-" &amp; SUM(AL$1:AL2)))</f>
        <v>1</v>
      </c>
      <c r="AN2" s="6" t="str">
        <f t="shared" ref="AN2:AN8" si="6">"!import-table-item --" &amp; AJ$1 &amp; " --" &amp; AJ2 &amp; " --" &amp; AL2</f>
        <v>!import-table-item --Figurine-of-Wondrous-Power-G --Bronze Griffon --1</v>
      </c>
      <c r="AO2" s="6" t="s">
        <v>242</v>
      </c>
      <c r="AP2" s="6" t="s">
        <v>1397</v>
      </c>
      <c r="AQ2" s="6">
        <v>10</v>
      </c>
      <c r="AR2" s="9" t="str">
        <f>IF(AQ2=0,"-",IF(AQ2=1,SUM(AQ$1:AQ1)+1,SUM(AQ$1:AQ1)+1 &amp; "-" &amp; SUM(AQ$1:AQ2)))</f>
        <v>1-10</v>
      </c>
      <c r="AS2" s="6" t="str">
        <f t="shared" ref="AS2:AS33" si="7">"!import-table-item --" &amp; AO$1 &amp; " --" &amp; AO2 &amp; " --" &amp; AQ2</f>
        <v>!import-table-item --Magic-Item-Table-H --Weapon, +3 --10</v>
      </c>
      <c r="AT2" s="6" t="s">
        <v>305</v>
      </c>
      <c r="AU2" s="6" t="s">
        <v>1397</v>
      </c>
      <c r="AV2" s="6">
        <v>5</v>
      </c>
      <c r="AW2" s="9" t="str">
        <f>IF(AV2=0,"-",IF(AV2=1,SUM(AV$1:AV1)+1,SUM(AV$1:AV1)+1 &amp; "-" &amp; SUM(AV$1:AV2)))</f>
        <v>1-5</v>
      </c>
      <c r="AX2" s="6" t="str">
        <f t="shared" ref="AX2:AX33" si="8">"!import-table-item --" &amp; AT$1 &amp; " --" &amp; AT2 &amp; " --" &amp; AV2</f>
        <v>!import-table-item --Magic-Item-Table-I --Defender --5</v>
      </c>
      <c r="AY2" s="6" t="s">
        <v>357</v>
      </c>
      <c r="AZ2" s="6" t="s">
        <v>1397</v>
      </c>
      <c r="BA2" s="6">
        <v>2</v>
      </c>
      <c r="BB2" s="9" t="str">
        <f>IF(BA2=0,"-",IF(BA2=1,SUM(BA$1:BA1)+1,SUM(BA$1:BA1)+1 &amp; "-" &amp; SUM(BA$1:BA2)))</f>
        <v>1-2</v>
      </c>
      <c r="BC2" s="6" t="str">
        <f t="shared" ref="BC2:BC8" si="9">"!import-table-item --" &amp; AY$1 &amp; " --" &amp; AY2 &amp; " --" &amp; BA2</f>
        <v>!import-table-item --Magic-Armor-I --Armor, +2 half plate --2</v>
      </c>
    </row>
    <row r="3" spans="1:55" x14ac:dyDescent="0.25">
      <c r="A3" s="6" t="s">
        <v>12</v>
      </c>
      <c r="B3" s="6" t="s">
        <v>1397</v>
      </c>
      <c r="C3" s="6">
        <v>10</v>
      </c>
      <c r="D3" s="9" t="str">
        <f>IF(C3=0,"-",IF(C3=1,SUM(C$1:C2)+1,SUM(C$1:C2)+1 &amp; "-" &amp; SUM(C$1:C3)))</f>
        <v>51-60</v>
      </c>
      <c r="E3" s="6" t="str">
        <f t="shared" ref="E3:E9" si="10">"!import-table-item --" &amp; A$1 &amp; " --" &amp; A3 &amp; " --" &amp; C3</f>
        <v>!import-table-item --Magic-Item-Table-A --Spell Scroll (Cantrip) --10</v>
      </c>
      <c r="F3" s="9" t="s">
        <v>19</v>
      </c>
      <c r="G3" s="6" t="s">
        <v>1397</v>
      </c>
      <c r="H3" s="9">
        <v>7</v>
      </c>
      <c r="I3" s="9" t="str">
        <f>IF(H3=0,"-",IF(H3=1,SUM(H$1:H2)+1,SUM(H$1:H2)+1 &amp; "-" &amp; SUM(H$1:H3)))</f>
        <v>16-22</v>
      </c>
      <c r="J3" s="6" t="str">
        <f t="shared" si="0"/>
        <v>!import-table-item --Magic-Item-Table-B --Potion of Fire Breath --7</v>
      </c>
      <c r="K3" s="6" t="s">
        <v>51</v>
      </c>
      <c r="L3" s="6" t="s">
        <v>1397</v>
      </c>
      <c r="M3" s="6">
        <v>7</v>
      </c>
      <c r="N3" s="9" t="str">
        <f>IF(M3=0,"-",IF(M3=1,SUM(M$1:M2)+1,SUM(M$1:M2)+1 &amp; "-" &amp; SUM(M$1:M3)))</f>
        <v>16-22</v>
      </c>
      <c r="O3" s="6" t="str">
        <f t="shared" si="1"/>
        <v>!import-table-item --Magic-Item-Table-C --Spell Scroll (4th Level) --7</v>
      </c>
      <c r="P3" s="6" t="s">
        <v>78</v>
      </c>
      <c r="Q3" s="6" t="s">
        <v>1397</v>
      </c>
      <c r="R3" s="9">
        <v>10</v>
      </c>
      <c r="S3" s="9" t="str">
        <f>IF(R3=0,"-",IF(R3=1,SUM(R$1:R2)+1,SUM(R$1:R2)+1 &amp; "-" &amp; SUM(R$1:R3)))</f>
        <v>21-30</v>
      </c>
      <c r="T3" s="6" t="str">
        <f t="shared" si="2"/>
        <v>!import-table-item --Magic-Item-Table-D --Potion of Invisibility --10</v>
      </c>
      <c r="U3" s="6" t="s">
        <v>94</v>
      </c>
      <c r="V3" s="6" t="s">
        <v>1397</v>
      </c>
      <c r="W3" s="6">
        <v>25</v>
      </c>
      <c r="X3" s="9" t="str">
        <f>IF(W3=0,"-",IF(W3=1,SUM(W$1:W2)+1,SUM(W$1:W2)+1 &amp; "-" &amp; SUM(W$1:W3)))</f>
        <v>31-55</v>
      </c>
      <c r="Y3" s="6" t="str">
        <f t="shared" si="3"/>
        <v>!import-table-item --Magic-Item-Table-E --Potion of Storm Giant Strength --25</v>
      </c>
      <c r="Z3" s="6" t="s">
        <v>99</v>
      </c>
      <c r="AA3" s="6" t="s">
        <v>1397</v>
      </c>
      <c r="AB3" s="6">
        <v>3</v>
      </c>
      <c r="AC3" s="9" t="str">
        <f>IF(AB3=0,"-",IF(AB3=1,SUM(AB$1:AB2)+1,SUM(AB$1:AB2)+1 &amp; "-" &amp; SUM(AB$1:AB3)))</f>
        <v>16-18</v>
      </c>
      <c r="AD3" s="6" t="str">
        <f t="shared" si="4"/>
        <v>!import-table-item --Magic-Item-Table-F --Shield, +1 --3</v>
      </c>
      <c r="AE3" s="6" t="s">
        <v>1569</v>
      </c>
      <c r="AF3" s="6" t="s">
        <v>1397</v>
      </c>
      <c r="AG3" s="6">
        <v>3</v>
      </c>
      <c r="AH3" s="9" t="str">
        <f>IF(AG3=0,"-",IF(AG3=1,SUM(AG$1:AG2)+1,SUM(AG$1:AG2)+1 &amp; "-" &amp; SUM(AG$1:AG3)))</f>
        <v>12-14</v>
      </c>
      <c r="AI3" s="6" t="str">
        <f t="shared" si="5"/>
        <v>!import-table-item --Magic-Item-Table-G --Figurine of Wondrous Power (roll d8) --3</v>
      </c>
      <c r="AJ3" s="6" t="s">
        <v>366</v>
      </c>
      <c r="AK3" s="6" t="s">
        <v>1397</v>
      </c>
      <c r="AL3" s="6">
        <v>1</v>
      </c>
      <c r="AM3" s="9">
        <f>IF(AL3=0,"-",IF(AL3=1,SUM(AL$1:AL2)+1,SUM(AL$1:AL2)+1 &amp; "-" &amp; SUM(AL$1:AL3)))</f>
        <v>2</v>
      </c>
      <c r="AN3" s="6" t="str">
        <f t="shared" si="6"/>
        <v>!import-table-item --Figurine-of-Wondrous-Power-G --Ebony Fly --1</v>
      </c>
      <c r="AO3" s="6" t="s">
        <v>243</v>
      </c>
      <c r="AP3" s="6" t="s">
        <v>1397</v>
      </c>
      <c r="AQ3" s="6">
        <v>2</v>
      </c>
      <c r="AR3" s="9" t="str">
        <f>IF(AQ3=0,"-",IF(AQ3=1,SUM(AQ$1:AQ2)+1,SUM(AQ$1:AQ2)+1 &amp; "-" &amp; SUM(AQ$1:AQ3)))</f>
        <v>11-12</v>
      </c>
      <c r="AS3" s="6" t="str">
        <f t="shared" si="7"/>
        <v>!import-table-item --Magic-Item-Table-H --Amulet of the Planes --2</v>
      </c>
      <c r="AT3" s="6" t="s">
        <v>306</v>
      </c>
      <c r="AU3" s="6" t="s">
        <v>1397</v>
      </c>
      <c r="AV3" s="6">
        <v>5</v>
      </c>
      <c r="AW3" s="9" t="str">
        <f>IF(AV3=0,"-",IF(AV3=1,SUM(AV$1:AV2)+1,SUM(AV$1:AV2)+1 &amp; "-" &amp; SUM(AV$1:AV3)))</f>
        <v>6-10</v>
      </c>
      <c r="AX3" s="6" t="str">
        <f t="shared" si="8"/>
        <v>!import-table-item --Magic-Item-Table-I --Hammer of Thunderbolts --5</v>
      </c>
      <c r="AY3" s="6" t="s">
        <v>358</v>
      </c>
      <c r="AZ3" s="6" t="s">
        <v>1397</v>
      </c>
      <c r="BA3" s="6">
        <v>2</v>
      </c>
      <c r="BB3" s="9" t="str">
        <f>IF(BA3=0,"-",IF(BA3=1,SUM(BA$1:BA2)+1,SUM(BA$1:BA2)+1 &amp; "-" &amp; SUM(BA$1:BA3)))</f>
        <v>3-4</v>
      </c>
      <c r="BC3" s="6" t="str">
        <f t="shared" si="9"/>
        <v>!import-table-item --Magic-Armor-I --Armor, +2 plate --2</v>
      </c>
    </row>
    <row r="4" spans="1:55" x14ac:dyDescent="0.25">
      <c r="A4" s="6" t="s">
        <v>13</v>
      </c>
      <c r="B4" s="6" t="s">
        <v>1397</v>
      </c>
      <c r="C4" s="6">
        <v>10</v>
      </c>
      <c r="D4" s="9" t="str">
        <f>IF(C4=0,"-",IF(C4=1,SUM(C$1:C3)+1,SUM(C$1:C3)+1 &amp; "-" &amp; SUM(C$1:C4)))</f>
        <v>61-70</v>
      </c>
      <c r="E4" s="6" t="str">
        <f t="shared" si="10"/>
        <v>!import-table-item --Magic-Item-Table-A --Potion of Climbing --10</v>
      </c>
      <c r="F4" s="6" t="s">
        <v>375</v>
      </c>
      <c r="G4" s="6" t="s">
        <v>1397</v>
      </c>
      <c r="H4" s="6">
        <v>7</v>
      </c>
      <c r="I4" s="9" t="str">
        <f>IF(H4=0,"-",IF(H4=1,SUM(H$1:H3)+1,SUM(H$1:H3)+1 &amp; "-" &amp; SUM(H$1:H4)))</f>
        <v>23-29</v>
      </c>
      <c r="J4" s="6" t="str">
        <f t="shared" si="0"/>
        <v>!import-table-item --Magic-Item-Table-B --Potion of Resistance --7</v>
      </c>
      <c r="K4" s="6" t="s">
        <v>21</v>
      </c>
      <c r="L4" s="6" t="s">
        <v>1397</v>
      </c>
      <c r="M4" s="6">
        <v>5</v>
      </c>
      <c r="N4" s="9" t="str">
        <f>IF(M4=0,"-",IF(M4=1,SUM(M$1:M3)+1,SUM(M$1:M3)+1 &amp; "-" &amp; SUM(M$1:M4)))</f>
        <v>23-27</v>
      </c>
      <c r="O4" s="6" t="str">
        <f t="shared" si="1"/>
        <v>!import-table-item --Magic-Item-Table-C --Ammunition, +2 --5</v>
      </c>
      <c r="P4" s="6" t="s">
        <v>79</v>
      </c>
      <c r="Q4" s="6" t="s">
        <v>1397</v>
      </c>
      <c r="R4" s="6">
        <v>10</v>
      </c>
      <c r="S4" s="9" t="str">
        <f>IF(R4=0,"-",IF(R4=1,SUM(R$1:R3)+1,SUM(R$1:R3)+1 &amp; "-" &amp; SUM(R$1:R4)))</f>
        <v>31-40</v>
      </c>
      <c r="T4" s="6" t="str">
        <f t="shared" si="2"/>
        <v>!import-table-item --Magic-Item-Table-D --Potion of Speed --10</v>
      </c>
      <c r="U4" s="6" t="s">
        <v>77</v>
      </c>
      <c r="V4" s="6" t="s">
        <v>1397</v>
      </c>
      <c r="W4" s="6">
        <v>15</v>
      </c>
      <c r="X4" s="9" t="str">
        <f>IF(W4=0,"-",IF(W4=1,SUM(W$1:W3)+1,SUM(W$1:W3)+1 &amp; "-" &amp; SUM(W$1:W4)))</f>
        <v>56-70</v>
      </c>
      <c r="Y4" s="6" t="str">
        <f t="shared" si="3"/>
        <v>!import-table-item --Magic-Item-Table-E --Potion of Supreme Healing --15</v>
      </c>
      <c r="Z4" s="6" t="s">
        <v>100</v>
      </c>
      <c r="AA4" s="6" t="s">
        <v>1397</v>
      </c>
      <c r="AB4" s="6">
        <v>3</v>
      </c>
      <c r="AC4" s="9" t="str">
        <f>IF(AB4=0,"-",IF(AB4=1,SUM(AB$1:AB3)+1,SUM(AB$1:AB3)+1 &amp; "-" &amp; SUM(AB$1:AB4)))</f>
        <v>19-21</v>
      </c>
      <c r="AD4" s="6" t="str">
        <f t="shared" si="4"/>
        <v>!import-table-item --Magic-Item-Table-F --Sentinel Shield --3</v>
      </c>
      <c r="AE4" s="6" t="s">
        <v>158</v>
      </c>
      <c r="AF4" s="6" t="s">
        <v>1397</v>
      </c>
      <c r="AG4" s="6">
        <v>1</v>
      </c>
      <c r="AH4" s="9">
        <f>IF(AG4=0,"-",IF(AG4=1,SUM(AG$1:AG3)+1,SUM(AG$1:AG3)+1 &amp; "-" &amp; SUM(AG$1:AG4)))</f>
        <v>15</v>
      </c>
      <c r="AI4" s="6" t="str">
        <f t="shared" si="5"/>
        <v>!import-table-item --Magic-Item-Table-G --Adamantine Armor (breastplate) --1</v>
      </c>
      <c r="AJ4" s="6" t="s">
        <v>367</v>
      </c>
      <c r="AK4" s="6" t="s">
        <v>1397</v>
      </c>
      <c r="AL4" s="6">
        <v>1</v>
      </c>
      <c r="AM4" s="9">
        <f>IF(AL4=0,"-",IF(AL4=1,SUM(AL$1:AL3)+1,SUM(AL$1:AL3)+1 &amp; "-" &amp; SUM(AL$1:AL4)))</f>
        <v>3</v>
      </c>
      <c r="AN4" s="6" t="str">
        <f t="shared" si="6"/>
        <v>!import-table-item --Figurine-of-Wondrous-Power-G --Golden Lions --1</v>
      </c>
      <c r="AO4" s="6" t="s">
        <v>244</v>
      </c>
      <c r="AP4" s="6" t="s">
        <v>1397</v>
      </c>
      <c r="AQ4" s="6">
        <v>2</v>
      </c>
      <c r="AR4" s="9" t="str">
        <f>IF(AQ4=0,"-",IF(AQ4=1,SUM(AQ$1:AQ3)+1,SUM(AQ$1:AQ3)+1 &amp; "-" &amp; SUM(AQ$1:AQ4)))</f>
        <v>13-14</v>
      </c>
      <c r="AS4" s="6" t="str">
        <f t="shared" si="7"/>
        <v>!import-table-item --Magic-Item-Table-H --Carpet of Flying --2</v>
      </c>
      <c r="AT4" s="6" t="s">
        <v>307</v>
      </c>
      <c r="AU4" s="6" t="s">
        <v>1397</v>
      </c>
      <c r="AV4" s="6">
        <v>5</v>
      </c>
      <c r="AW4" s="9" t="str">
        <f>IF(AV4=0,"-",IF(AV4=1,SUM(AV$1:AV3)+1,SUM(AV$1:AV3)+1 &amp; "-" &amp; SUM(AV$1:AV4)))</f>
        <v>11-15</v>
      </c>
      <c r="AX4" s="6" t="str">
        <f t="shared" si="8"/>
        <v>!import-table-item --Magic-Item-Table-I --Luck Blade --5</v>
      </c>
      <c r="AY4" s="6" t="s">
        <v>359</v>
      </c>
      <c r="AZ4" s="6" t="s">
        <v>1397</v>
      </c>
      <c r="BA4" s="6">
        <v>2</v>
      </c>
      <c r="BB4" s="9" t="str">
        <f>IF(BA4=0,"-",IF(BA4=1,SUM(BA$1:BA3)+1,SUM(BA$1:BA3)+1 &amp; "-" &amp; SUM(BA$1:BA4)))</f>
        <v>5-6</v>
      </c>
      <c r="BC4" s="6" t="str">
        <f t="shared" si="9"/>
        <v>!import-table-item --Magic-Armor-I --Armor, +3 studded leather --2</v>
      </c>
    </row>
    <row r="5" spans="1:55" x14ac:dyDescent="0.25">
      <c r="A5" s="6" t="s">
        <v>14</v>
      </c>
      <c r="B5" s="6" t="s">
        <v>1397</v>
      </c>
      <c r="C5" s="6">
        <v>20</v>
      </c>
      <c r="D5" s="9" t="str">
        <f>IF(C5=0,"-",IF(C5=1,SUM(C$1:C4)+1,SUM(C$1:C4)+1 &amp; "-" &amp; SUM(C$1:C5)))</f>
        <v>71-90</v>
      </c>
      <c r="E5" s="6" t="str">
        <f t="shared" si="10"/>
        <v>!import-table-item --Magic-Item-Table-A --Spell Scroll (1st Level) --20</v>
      </c>
      <c r="F5" s="6" t="s">
        <v>20</v>
      </c>
      <c r="G5" s="6" t="s">
        <v>1397</v>
      </c>
      <c r="H5" s="6">
        <v>5</v>
      </c>
      <c r="I5" s="9" t="str">
        <f>IF(H5=0,"-",IF(H5=1,SUM(H$1:H4)+1,SUM(H$1:H4)+1 &amp; "-" &amp; SUM(H$1:H5)))</f>
        <v>30-34</v>
      </c>
      <c r="J5" s="6" t="str">
        <f t="shared" si="0"/>
        <v>!import-table-item --Magic-Item-Table-B --Ammunition, +1 --5</v>
      </c>
      <c r="K5" s="6" t="s">
        <v>52</v>
      </c>
      <c r="L5" s="6" t="s">
        <v>1397</v>
      </c>
      <c r="M5" s="6">
        <v>5</v>
      </c>
      <c r="N5" s="9" t="str">
        <f>IF(M5=0,"-",IF(M5=1,SUM(M$1:M4)+1,SUM(M$1:M4)+1 &amp; "-" &amp; SUM(M$1:M5)))</f>
        <v>28-32</v>
      </c>
      <c r="O5" s="6" t="str">
        <f t="shared" si="1"/>
        <v>!import-table-item --Magic-Item-Table-C --Potion of Clairvoyance --5</v>
      </c>
      <c r="P5" s="6" t="s">
        <v>93</v>
      </c>
      <c r="Q5" s="6" t="s">
        <v>1397</v>
      </c>
      <c r="R5" s="6">
        <v>10</v>
      </c>
      <c r="S5" s="9" t="str">
        <f>IF(R5=0,"-",IF(R5=1,SUM(R$1:R4)+1,SUM(R$1:R4)+1 &amp; "-" &amp; SUM(R$1:R5)))</f>
        <v>41-50</v>
      </c>
      <c r="T5" s="6" t="str">
        <f t="shared" si="2"/>
        <v>!import-table-item --Magic-Item-Table-D --Spell Scroll (6th Level) --10</v>
      </c>
      <c r="U5" s="6" t="s">
        <v>95</v>
      </c>
      <c r="V5" s="6" t="s">
        <v>1397</v>
      </c>
      <c r="W5" s="6">
        <v>15</v>
      </c>
      <c r="X5" s="9" t="str">
        <f>IF(W5=0,"-",IF(W5=1,SUM(W$1:W4)+1,SUM(W$1:W4)+1 &amp; "-" &amp; SUM(W$1:W5)))</f>
        <v>71-85</v>
      </c>
      <c r="Y5" s="6" t="str">
        <f t="shared" si="3"/>
        <v>!import-table-item --Magic-Item-Table-E --Spell Scroll (9th Level) --15</v>
      </c>
      <c r="Z5" s="6" t="s">
        <v>202</v>
      </c>
      <c r="AA5" s="6" t="s">
        <v>1397</v>
      </c>
      <c r="AB5" s="6">
        <v>2</v>
      </c>
      <c r="AC5" s="9" t="str">
        <f>IF(AB5=0,"-",IF(AB5=1,SUM(AB$1:AB4)+1,SUM(AB$1:AB4)+1 &amp; "-" &amp; SUM(AB$1:AB5)))</f>
        <v>22-23</v>
      </c>
      <c r="AD5" s="6" t="str">
        <f t="shared" si="4"/>
        <v>!import-table-item --Magic-Item-Table-F --Amulet of Proof Against Detection and Location --2</v>
      </c>
      <c r="AE5" s="6" t="s">
        <v>157</v>
      </c>
      <c r="AF5" s="6" t="s">
        <v>1397</v>
      </c>
      <c r="AG5" s="6">
        <v>1</v>
      </c>
      <c r="AH5" s="9">
        <f>IF(AG5=0,"-",IF(AG5=1,SUM(AG$1:AG4)+1,SUM(AG$1:AG4)+1 &amp; "-" &amp; SUM(AG$1:AG5)))</f>
        <v>16</v>
      </c>
      <c r="AI5" s="6" t="str">
        <f t="shared" si="5"/>
        <v>!import-table-item --Magic-Item-Table-G --Adamantine Armor (splint) --1</v>
      </c>
      <c r="AJ5" s="6" t="s">
        <v>368</v>
      </c>
      <c r="AK5" s="6" t="s">
        <v>1397</v>
      </c>
      <c r="AL5" s="6">
        <v>1</v>
      </c>
      <c r="AM5" s="9">
        <f>IF(AL5=0,"-",IF(AL5=1,SUM(AL$1:AL4)+1,SUM(AL$1:AL4)+1 &amp; "-" &amp; SUM(AL$1:AL5)))</f>
        <v>4</v>
      </c>
      <c r="AN5" s="6" t="str">
        <f t="shared" si="6"/>
        <v>!import-table-item --Figurine-of-Wondrous-Power-G --Ivory Goats --1</v>
      </c>
      <c r="AO5" s="6" t="s">
        <v>245</v>
      </c>
      <c r="AP5" s="6" t="s">
        <v>1397</v>
      </c>
      <c r="AQ5" s="6">
        <v>2</v>
      </c>
      <c r="AR5" s="9" t="str">
        <f>IF(AQ5=0,"-",IF(AQ5=1,SUM(AQ$1:AQ4)+1,SUM(AQ$1:AQ4)+1 &amp; "-" &amp; SUM(AQ$1:AQ5)))</f>
        <v>15-16</v>
      </c>
      <c r="AS5" s="6" t="str">
        <f t="shared" si="7"/>
        <v>!import-table-item --Magic-Item-Table-H --Crystal Ball (very rare version) --2</v>
      </c>
      <c r="AT5" s="6" t="s">
        <v>308</v>
      </c>
      <c r="AU5" s="6" t="s">
        <v>1397</v>
      </c>
      <c r="AV5" s="6">
        <v>5</v>
      </c>
      <c r="AW5" s="9" t="str">
        <f>IF(AV5=0,"-",IF(AV5=1,SUM(AV$1:AV4)+1,SUM(AV$1:AV4)+1 &amp; "-" &amp; SUM(AV$1:AV5)))</f>
        <v>16-20</v>
      </c>
      <c r="AX5" s="6" t="str">
        <f t="shared" si="8"/>
        <v>!import-table-item --Magic-Item-Table-I --Sword of Answering --5</v>
      </c>
      <c r="AY5" s="6" t="s">
        <v>360</v>
      </c>
      <c r="AZ5" s="6" t="s">
        <v>1397</v>
      </c>
      <c r="BA5" s="6">
        <v>2</v>
      </c>
      <c r="BB5" s="9" t="str">
        <f>IF(BA5=0,"-",IF(BA5=1,SUM(BA$1:BA4)+1,SUM(BA$1:BA4)+1 &amp; "-" &amp; SUM(BA$1:BA5)))</f>
        <v>7-8</v>
      </c>
      <c r="BC5" s="6" t="str">
        <f t="shared" si="9"/>
        <v>!import-table-item --Magic-Armor-I --Armor, +3 breastplate --2</v>
      </c>
    </row>
    <row r="6" spans="1:55" x14ac:dyDescent="0.25">
      <c r="A6" s="6" t="s">
        <v>15</v>
      </c>
      <c r="B6" s="6" t="s">
        <v>1397</v>
      </c>
      <c r="C6" s="6">
        <v>4</v>
      </c>
      <c r="D6" s="9" t="str">
        <f>IF(C6=0,"-",IF(C6=1,SUM(C$1:C5)+1,SUM(C$1:C5)+1 &amp; "-" &amp; SUM(C$1:C6)))</f>
        <v>91-94</v>
      </c>
      <c r="E6" s="6" t="str">
        <f t="shared" si="10"/>
        <v>!import-table-item --Magic-Item-Table-A --Spell Scroll (2nd Level) --4</v>
      </c>
      <c r="F6" s="6" t="s">
        <v>22</v>
      </c>
      <c r="G6" s="6" t="s">
        <v>1397</v>
      </c>
      <c r="H6" s="6">
        <v>5</v>
      </c>
      <c r="I6" s="9" t="str">
        <f>IF(H6=0,"-",IF(H6=1,SUM(H$1:H5)+1,SUM(H$1:H5)+1 &amp; "-" &amp; SUM(H$1:H6)))</f>
        <v>35-39</v>
      </c>
      <c r="J6" s="6" t="str">
        <f t="shared" si="0"/>
        <v>!import-table-item --Magic-Item-Table-B --Potion of Animal Friendship --5</v>
      </c>
      <c r="K6" s="6" t="s">
        <v>53</v>
      </c>
      <c r="L6" s="6" t="s">
        <v>1397</v>
      </c>
      <c r="M6" s="6">
        <v>5</v>
      </c>
      <c r="N6" s="9" t="str">
        <f>IF(M6=0,"-",IF(M6=1,SUM(M$1:M5)+1,SUM(M$1:M5)+1 &amp; "-" &amp; SUM(M$1:M6)))</f>
        <v>33-37</v>
      </c>
      <c r="O6" s="6" t="str">
        <f t="shared" si="1"/>
        <v>!import-table-item --Magic-Item-Table-C --Potion of Diminution --5</v>
      </c>
      <c r="P6" s="6" t="s">
        <v>80</v>
      </c>
      <c r="Q6" s="6" t="s">
        <v>1397</v>
      </c>
      <c r="R6" s="6">
        <v>7</v>
      </c>
      <c r="S6" s="9" t="str">
        <f>IF(R6=0,"-",IF(R6=1,SUM(R$1:R5)+1,SUM(R$1:R5)+1 &amp; "-" &amp; SUM(R$1:R6)))</f>
        <v>51-57</v>
      </c>
      <c r="T6" s="6" t="str">
        <f t="shared" si="2"/>
        <v>!import-table-item --Magic-Item-Table-D --Spell Scroll (7th Level) --7</v>
      </c>
      <c r="U6" s="6" t="s">
        <v>96</v>
      </c>
      <c r="V6" s="6" t="s">
        <v>1397</v>
      </c>
      <c r="W6" s="6">
        <v>8</v>
      </c>
      <c r="X6" s="9" t="str">
        <f>IF(W6=0,"-",IF(W6=1,SUM(W$1:W5)+1,SUM(W$1:W5)+1 &amp; "-" &amp; SUM(W$1:W6)))</f>
        <v>86-93</v>
      </c>
      <c r="Y6" s="6" t="str">
        <f t="shared" si="3"/>
        <v>!import-table-item --Magic-Item-Table-E --Universal Solvent --8</v>
      </c>
      <c r="Z6" s="6" t="s">
        <v>101</v>
      </c>
      <c r="AA6" s="6" t="s">
        <v>1397</v>
      </c>
      <c r="AB6" s="6">
        <v>2</v>
      </c>
      <c r="AC6" s="9" t="str">
        <f>IF(AB6=0,"-",IF(AB6=1,SUM(AB$1:AB5)+1,SUM(AB$1:AB5)+1 &amp; "-" &amp; SUM(AB$1:AB6)))</f>
        <v>24-25</v>
      </c>
      <c r="AD6" s="6" t="str">
        <f t="shared" si="4"/>
        <v>!import-table-item --Magic-Item-Table-F --Boots of Elvenkind --2</v>
      </c>
      <c r="AE6" s="6" t="s">
        <v>159</v>
      </c>
      <c r="AF6" s="6" t="s">
        <v>1397</v>
      </c>
      <c r="AG6" s="6">
        <v>1</v>
      </c>
      <c r="AH6" s="9">
        <f>IF(AG6=0,"-",IF(AG6=1,SUM(AG$1:AG5)+1,SUM(AG$1:AG5)+1 &amp; "-" &amp; SUM(AG$1:AG6)))</f>
        <v>17</v>
      </c>
      <c r="AI6" s="6" t="str">
        <f t="shared" si="5"/>
        <v>!import-table-item --Magic-Item-Table-G --Amulet of Health --1</v>
      </c>
      <c r="AJ6" s="6" t="s">
        <v>369</v>
      </c>
      <c r="AK6" s="6" t="s">
        <v>1397</v>
      </c>
      <c r="AL6" s="6">
        <v>1</v>
      </c>
      <c r="AM6" s="9">
        <f>IF(AL6=0,"-",IF(AL6=1,SUM(AL$1:AL5)+1,SUM(AL$1:AL5)+1 &amp; "-" &amp; SUM(AL$1:AL6)))</f>
        <v>5</v>
      </c>
      <c r="AN6" s="6" t="str">
        <f t="shared" si="6"/>
        <v>!import-table-item --Figurine-of-Wondrous-Power-G --Marble Elephant --1</v>
      </c>
      <c r="AO6" s="6" t="s">
        <v>246</v>
      </c>
      <c r="AP6" s="6" t="s">
        <v>1397</v>
      </c>
      <c r="AQ6" s="6">
        <v>2</v>
      </c>
      <c r="AR6" s="9" t="str">
        <f>IF(AQ6=0,"-",IF(AQ6=1,SUM(AQ$1:AQ5)+1,SUM(AQ$1:AQ5)+1 &amp; "-" &amp; SUM(AQ$1:AQ6)))</f>
        <v>17-18</v>
      </c>
      <c r="AS6" s="6" t="str">
        <f t="shared" si="7"/>
        <v>!import-table-item --Magic-Item-Table-H --Ring of Regeneration --2</v>
      </c>
      <c r="AT6" s="6" t="s">
        <v>309</v>
      </c>
      <c r="AU6" s="6" t="s">
        <v>1397</v>
      </c>
      <c r="AV6" s="6">
        <v>3</v>
      </c>
      <c r="AW6" s="9" t="str">
        <f>IF(AV6=0,"-",IF(AV6=1,SUM(AV$1:AV5)+1,SUM(AV$1:AV5)+1 &amp; "-" &amp; SUM(AV$1:AV6)))</f>
        <v>21-23</v>
      </c>
      <c r="AX6" s="6" t="str">
        <f t="shared" si="8"/>
        <v>!import-table-item --Magic-Item-Table-I --Holy Avenger --3</v>
      </c>
      <c r="AY6" s="6" t="s">
        <v>361</v>
      </c>
      <c r="AZ6" s="6" t="s">
        <v>1397</v>
      </c>
      <c r="BA6" s="6">
        <v>2</v>
      </c>
      <c r="BB6" s="9" t="str">
        <f>IF(BA6=0,"-",IF(BA6=1,SUM(BA$1:BA5)+1,SUM(BA$1:BA5)+1 &amp; "-" &amp; SUM(BA$1:BA6)))</f>
        <v>9-10</v>
      </c>
      <c r="BC6" s="6" t="str">
        <f t="shared" si="9"/>
        <v>!import-table-item --Magic-Armor-I --Armor, +3 splint --2</v>
      </c>
    </row>
    <row r="7" spans="1:55" x14ac:dyDescent="0.25">
      <c r="A7" s="6" t="s">
        <v>16</v>
      </c>
      <c r="B7" s="6" t="s">
        <v>1397</v>
      </c>
      <c r="C7" s="6">
        <v>4</v>
      </c>
      <c r="D7" s="9" t="str">
        <f>IF(C7=0,"-",IF(C7=1,SUM(C$1:C6)+1,SUM(C$1:C6)+1 &amp; "-" &amp; SUM(C$1:C7)))</f>
        <v>95-98</v>
      </c>
      <c r="E7" s="6" t="str">
        <f t="shared" si="10"/>
        <v>!import-table-item --Magic-Item-Table-A --Potion of Greater Healing --4</v>
      </c>
      <c r="F7" s="6" t="s">
        <v>23</v>
      </c>
      <c r="G7" s="6" t="s">
        <v>1397</v>
      </c>
      <c r="H7" s="6">
        <v>5</v>
      </c>
      <c r="I7" s="9" t="str">
        <f>IF(H7=0,"-",IF(H7=1,SUM(H$1:H6)+1,SUM(H$1:H6)+1 &amp; "-" &amp; SUM(H$1:H7)))</f>
        <v>40-44</v>
      </c>
      <c r="J7" s="6" t="str">
        <f t="shared" si="0"/>
        <v>!import-table-item --Magic-Item-Table-B --Potion of Hill Giant Strength --5</v>
      </c>
      <c r="K7" s="6" t="s">
        <v>54</v>
      </c>
      <c r="L7" s="6" t="s">
        <v>1397</v>
      </c>
      <c r="M7" s="6">
        <v>5</v>
      </c>
      <c r="N7" s="9" t="str">
        <f>IF(M7=0,"-",IF(M7=1,SUM(M$1:M6)+1,SUM(M$1:M6)+1 &amp; "-" &amp; SUM(M$1:M7)))</f>
        <v>38-42</v>
      </c>
      <c r="O7" s="6" t="str">
        <f t="shared" si="1"/>
        <v>!import-table-item --Magic-Item-Table-C --Potion of Gaseous Form --5</v>
      </c>
      <c r="P7" s="6" t="s">
        <v>81</v>
      </c>
      <c r="Q7" s="6" t="s">
        <v>1397</v>
      </c>
      <c r="R7" s="6">
        <v>5</v>
      </c>
      <c r="S7" s="9" t="str">
        <f>IF(R7=0,"-",IF(R7=1,SUM(R$1:R6)+1,SUM(R$1:R6)+1 &amp; "-" &amp; SUM(R$1:R7)))</f>
        <v>58-62</v>
      </c>
      <c r="T7" s="6" t="str">
        <f t="shared" si="2"/>
        <v>!import-table-item --Magic-Item-Table-D --Ammunition, +3 --5</v>
      </c>
      <c r="U7" s="6" t="s">
        <v>97</v>
      </c>
      <c r="V7" s="6" t="s">
        <v>1397</v>
      </c>
      <c r="W7" s="6">
        <v>5</v>
      </c>
      <c r="X7" s="9" t="str">
        <f>IF(W7=0,"-",IF(W7=1,SUM(W$1:W6)+1,SUM(W$1:W6)+1 &amp; "-" &amp; SUM(W$1:W7)))</f>
        <v>94-98</v>
      </c>
      <c r="Y7" s="6" t="str">
        <f t="shared" si="3"/>
        <v>!import-table-item --Magic-Item-Table-E --Arrow of Slaying --5</v>
      </c>
      <c r="Z7" s="6" t="s">
        <v>102</v>
      </c>
      <c r="AA7" s="6" t="s">
        <v>1397</v>
      </c>
      <c r="AB7" s="6">
        <v>2</v>
      </c>
      <c r="AC7" s="9" t="str">
        <f>IF(AB7=0,"-",IF(AB7=1,SUM(AB$1:AB6)+1,SUM(AB$1:AB6)+1 &amp; "-" &amp; SUM(AB$1:AB7)))</f>
        <v>26-27</v>
      </c>
      <c r="AD7" s="6" t="str">
        <f t="shared" si="4"/>
        <v>!import-table-item --Magic-Item-Table-F --Boots of  Springing and Striding --2</v>
      </c>
      <c r="AE7" s="6" t="s">
        <v>160</v>
      </c>
      <c r="AF7" s="6" t="s">
        <v>1397</v>
      </c>
      <c r="AG7" s="6">
        <v>1</v>
      </c>
      <c r="AH7" s="9">
        <f>IF(AG7=0,"-",IF(AG7=1,SUM(AG$1:AG6)+1,SUM(AG$1:AG6)+1 &amp; "-" &amp; SUM(AG$1:AG7)))</f>
        <v>18</v>
      </c>
      <c r="AI7" s="6" t="str">
        <f t="shared" si="5"/>
        <v>!import-table-item --Magic-Item-Table-G --Armor of Vulnerability --1</v>
      </c>
      <c r="AJ7" s="6" t="s">
        <v>370</v>
      </c>
      <c r="AK7" s="6" t="s">
        <v>1397</v>
      </c>
      <c r="AL7" s="6">
        <v>2</v>
      </c>
      <c r="AM7" s="9" t="str">
        <f>IF(AL7=0,"-",IF(AL7=1,SUM(AL$1:AL6)+1,SUM(AL$1:AL6)+1 &amp; "-" &amp; SUM(AL$1:AL7)))</f>
        <v>6-7</v>
      </c>
      <c r="AN7" s="6" t="str">
        <f t="shared" si="6"/>
        <v>!import-table-item --Figurine-of-Wondrous-Power-G --Onyx Dog --2</v>
      </c>
      <c r="AO7" s="6" t="s">
        <v>247</v>
      </c>
      <c r="AP7" s="6" t="s">
        <v>1397</v>
      </c>
      <c r="AQ7" s="6">
        <v>2</v>
      </c>
      <c r="AR7" s="9" t="str">
        <f>IF(AQ7=0,"-",IF(AQ7=1,SUM(AQ$1:AQ6)+1,SUM(AQ$1:AQ6)+1 &amp; "-" &amp; SUM(AQ$1:AQ7)))</f>
        <v>19-20</v>
      </c>
      <c r="AS7" s="6" t="str">
        <f t="shared" si="7"/>
        <v>!import-table-item --Magic-Item-Table-H --Ring of Shooting Stars --2</v>
      </c>
      <c r="AT7" s="6" t="s">
        <v>310</v>
      </c>
      <c r="AU7" s="6" t="s">
        <v>1397</v>
      </c>
      <c r="AV7" s="6">
        <v>3</v>
      </c>
      <c r="AW7" s="9" t="str">
        <f>IF(AV7=0,"-",IF(AV7=1,SUM(AV$1:AV6)+1,SUM(AV$1:AV6)+1 &amp; "-" &amp; SUM(AV$1:AV7)))</f>
        <v>24-26</v>
      </c>
      <c r="AX7" s="6" t="str">
        <f t="shared" si="8"/>
        <v>!import-table-item --Magic-Item-Table-I --Ring of Djinni Summoning --3</v>
      </c>
      <c r="AY7" s="6" t="s">
        <v>362</v>
      </c>
      <c r="AZ7" s="6" t="s">
        <v>1397</v>
      </c>
      <c r="BA7" s="6">
        <v>1</v>
      </c>
      <c r="BB7" s="9">
        <f>IF(BA7=0,"-",IF(BA7=1,SUM(BA$1:BA6)+1,SUM(BA$1:BA6)+1 &amp; "-" &amp; SUM(BA$1:BA7)))</f>
        <v>11</v>
      </c>
      <c r="BC7" s="6" t="str">
        <f t="shared" si="9"/>
        <v>!import-table-item --Magic-Armor-I --Armor, +3 half plate --1</v>
      </c>
    </row>
    <row r="8" spans="1:55" x14ac:dyDescent="0.25">
      <c r="A8" s="6" t="s">
        <v>17</v>
      </c>
      <c r="B8" s="6" t="s">
        <v>1397</v>
      </c>
      <c r="C8" s="6">
        <v>1</v>
      </c>
      <c r="D8" s="9">
        <f>IF(C8=0,"-",IF(C8=1,SUM(C$1:C7)+1,SUM(C$1:C7)+1 &amp; "-" &amp; SUM(C$1:C8)))</f>
        <v>99</v>
      </c>
      <c r="E8" s="6" t="str">
        <f t="shared" si="10"/>
        <v>!import-table-item --Magic-Item-Table-A --Bag of Holding --1</v>
      </c>
      <c r="F8" s="6" t="s">
        <v>24</v>
      </c>
      <c r="G8" s="6" t="s">
        <v>1397</v>
      </c>
      <c r="H8" s="6">
        <v>5</v>
      </c>
      <c r="I8" s="9" t="str">
        <f>IF(H8=0,"-",IF(H8=1,SUM(H$1:H7)+1,SUM(H$1:H7)+1 &amp; "-" &amp; SUM(H$1:H8)))</f>
        <v>45-49</v>
      </c>
      <c r="J8" s="6" t="str">
        <f t="shared" si="0"/>
        <v>!import-table-item --Magic-Item-Table-B --Potion of Growth --5</v>
      </c>
      <c r="K8" s="6" t="s">
        <v>55</v>
      </c>
      <c r="L8" s="6" t="s">
        <v>1397</v>
      </c>
      <c r="M8" s="6">
        <v>5</v>
      </c>
      <c r="N8" s="9" t="str">
        <f>IF(M8=0,"-",IF(M8=1,SUM(M$1:M7)+1,SUM(M$1:M7)+1 &amp; "-" &amp; SUM(M$1:M8)))</f>
        <v>43-47</v>
      </c>
      <c r="O8" s="6" t="str">
        <f t="shared" si="1"/>
        <v>!import-table-item --Magic-Item-Table-C --Potion of Frost Giant Strength --5</v>
      </c>
      <c r="P8" s="6" t="s">
        <v>82</v>
      </c>
      <c r="Q8" s="6" t="s">
        <v>1397</v>
      </c>
      <c r="R8" s="6">
        <v>5</v>
      </c>
      <c r="S8" s="9" t="str">
        <f>IF(R8=0,"-",IF(R8=1,SUM(R$1:R7)+1,SUM(R$1:R7)+1 &amp; "-" &amp; SUM(R$1:R8)))</f>
        <v>63-67</v>
      </c>
      <c r="T8" s="6" t="str">
        <f t="shared" si="2"/>
        <v>!import-table-item --Magic-Item-Table-D --Oil of Sharpness --5</v>
      </c>
      <c r="U8" s="6" t="s">
        <v>376</v>
      </c>
      <c r="V8" s="6" t="s">
        <v>1397</v>
      </c>
      <c r="W8" s="6">
        <v>2</v>
      </c>
      <c r="X8" s="9" t="str">
        <f>IF(W8=0,"-",IF(W8=1,SUM(W$1:W7)+1,SUM(W$1:W7)+1 &amp; "-" &amp; SUM(W$1:W8)))</f>
        <v>99-100</v>
      </c>
      <c r="Y8" s="6" t="str">
        <f t="shared" si="3"/>
        <v>!import-table-item --Magic-Item-Table-E --Sovereign Glue --2</v>
      </c>
      <c r="Z8" s="6" t="s">
        <v>103</v>
      </c>
      <c r="AA8" s="6" t="s">
        <v>1397</v>
      </c>
      <c r="AB8" s="6">
        <v>2</v>
      </c>
      <c r="AC8" s="9" t="str">
        <f>IF(AB8=0,"-",IF(AB8=1,SUM(AB$1:AB7)+1,SUM(AB$1:AB7)+1 &amp; "-" &amp; SUM(AB$1:AB8)))</f>
        <v>28-29</v>
      </c>
      <c r="AD8" s="6" t="str">
        <f t="shared" si="4"/>
        <v>!import-table-item --Magic-Item-Table-F --Bracers of Archery --2</v>
      </c>
      <c r="AE8" s="6" t="s">
        <v>161</v>
      </c>
      <c r="AF8" s="6" t="s">
        <v>1397</v>
      </c>
      <c r="AG8" s="6">
        <v>1</v>
      </c>
      <c r="AH8" s="9">
        <f>IF(AG8=0,"-",IF(AG8=1,SUM(AG$1:AG7)+1,SUM(AG$1:AG7)+1 &amp; "-" &amp; SUM(AG$1:AG8)))</f>
        <v>19</v>
      </c>
      <c r="AI8" s="6" t="str">
        <f t="shared" si="5"/>
        <v>!import-table-item --Magic-Item-Table-G --Arrow-Catching Shield --1</v>
      </c>
      <c r="AJ8" s="6" t="s">
        <v>371</v>
      </c>
      <c r="AK8" s="6" t="s">
        <v>1397</v>
      </c>
      <c r="AL8" s="6">
        <v>1</v>
      </c>
      <c r="AM8" s="9">
        <f>IF(AL8=0,"-",IF(AL8=1,SUM(AL$1:AL7)+1,SUM(AL$1:AL7)+1 &amp; "-" &amp; SUM(AL$1:AL8)))</f>
        <v>8</v>
      </c>
      <c r="AN8" s="6" t="str">
        <f t="shared" si="6"/>
        <v>!import-table-item --Figurine-of-Wondrous-Power-G --Serpentine Owl --1</v>
      </c>
      <c r="AO8" s="6" t="s">
        <v>248</v>
      </c>
      <c r="AP8" s="6" t="s">
        <v>1397</v>
      </c>
      <c r="AQ8" s="6">
        <v>2</v>
      </c>
      <c r="AR8" s="9" t="str">
        <f>IF(AQ8=0,"-",IF(AQ8=1,SUM(AQ$1:AQ7)+1,SUM(AQ$1:AQ7)+1 &amp; "-" &amp; SUM(AQ$1:AQ8)))</f>
        <v>21-22</v>
      </c>
      <c r="AS8" s="6" t="str">
        <f t="shared" si="7"/>
        <v>!import-table-item --Magic-Item-Table-H --Ring of Telekinesis --2</v>
      </c>
      <c r="AT8" s="6" t="s">
        <v>311</v>
      </c>
      <c r="AU8" s="6" t="s">
        <v>1397</v>
      </c>
      <c r="AV8" s="6">
        <v>3</v>
      </c>
      <c r="AW8" s="9" t="str">
        <f>IF(AV8=0,"-",IF(AV8=1,SUM(AV$1:AV7)+1,SUM(AV$1:AV7)+1 &amp; "-" &amp; SUM(AV$1:AV8)))</f>
        <v>27-29</v>
      </c>
      <c r="AX8" s="6" t="str">
        <f t="shared" si="8"/>
        <v>!import-table-item --Magic-Item-Table-I --Ring of Invisibility --3</v>
      </c>
      <c r="AY8" s="6" t="s">
        <v>363</v>
      </c>
      <c r="AZ8" s="6" t="s">
        <v>1397</v>
      </c>
      <c r="BA8" s="6">
        <v>1</v>
      </c>
      <c r="BB8" s="9">
        <f>IF(BA8=0,"-",IF(BA8=1,SUM(BA$1:BA7)+1,SUM(BA$1:BA7)+1 &amp; "-" &amp; SUM(BA$1:BA8)))</f>
        <v>12</v>
      </c>
      <c r="BC8" s="6" t="str">
        <f t="shared" si="9"/>
        <v>!import-table-item --Magic-Armor-I --Armor, +3 plate --1</v>
      </c>
    </row>
    <row r="9" spans="1:55" x14ac:dyDescent="0.25">
      <c r="A9" s="6" t="s">
        <v>18</v>
      </c>
      <c r="B9" s="6" t="s">
        <v>1397</v>
      </c>
      <c r="C9" s="6">
        <v>1</v>
      </c>
      <c r="D9" s="9">
        <f>IF(C9=0,"-",IF(C9=1,SUM(C$1:C8)+1,SUM(C$1:C8)+1 &amp; "-" &amp; SUM(C$1:C9)))</f>
        <v>100</v>
      </c>
      <c r="E9" s="6" t="str">
        <f t="shared" si="10"/>
        <v>!import-table-item --Magic-Item-Table-A --Driftglobe --1</v>
      </c>
      <c r="F9" s="6" t="s">
        <v>25</v>
      </c>
      <c r="G9" s="6" t="s">
        <v>1397</v>
      </c>
      <c r="H9" s="6">
        <v>5</v>
      </c>
      <c r="I9" s="9" t="str">
        <f>IF(H9=0,"-",IF(H9=1,SUM(H$1:H8)+1,SUM(H$1:H8)+1 &amp; "-" &amp; SUM(H$1:H9)))</f>
        <v>50-54</v>
      </c>
      <c r="J9" s="6" t="str">
        <f t="shared" si="0"/>
        <v>!import-table-item --Magic-Item-Table-B --Potion of Water Breathing --5</v>
      </c>
      <c r="K9" s="6" t="s">
        <v>56</v>
      </c>
      <c r="L9" s="6" t="s">
        <v>1397</v>
      </c>
      <c r="M9" s="6">
        <v>5</v>
      </c>
      <c r="N9" s="9" t="str">
        <f>IF(M9=0,"-",IF(M9=1,SUM(M$1:M8)+1,SUM(M$1:M8)+1 &amp; "-" &amp; SUM(M$1:M9)))</f>
        <v>48-52</v>
      </c>
      <c r="O9" s="6" t="str">
        <f t="shared" si="1"/>
        <v>!import-table-item --Magic-Item-Table-C --Potion of Stone Giant Strength --5</v>
      </c>
      <c r="P9" s="6" t="s">
        <v>83</v>
      </c>
      <c r="Q9" s="6" t="s">
        <v>1397</v>
      </c>
      <c r="R9" s="6">
        <v>5</v>
      </c>
      <c r="S9" s="9" t="str">
        <f>IF(R9=0,"-",IF(R9=1,SUM(R$1:R8)+1,SUM(R$1:R8)+1 &amp; "-" &amp; SUM(R$1:R9)))</f>
        <v>68-72</v>
      </c>
      <c r="T9" s="6" t="str">
        <f t="shared" si="2"/>
        <v>!import-table-item --Magic-Item-Table-D --Potion of Flying --5</v>
      </c>
      <c r="X9" s="9"/>
      <c r="Z9" s="6" t="s">
        <v>104</v>
      </c>
      <c r="AA9" s="6" t="s">
        <v>1397</v>
      </c>
      <c r="AB9" s="6">
        <v>2</v>
      </c>
      <c r="AC9" s="9" t="str">
        <f>IF(AB9=0,"-",IF(AB9=1,SUM(AB$1:AB8)+1,SUM(AB$1:AB8)+1 &amp; "-" &amp; SUM(AB$1:AB9)))</f>
        <v>30-31</v>
      </c>
      <c r="AD9" s="6" t="str">
        <f t="shared" si="4"/>
        <v>!import-table-item --Magic-Item-Table-F --Brooch of Shielding --2</v>
      </c>
      <c r="AE9" s="6" t="s">
        <v>162</v>
      </c>
      <c r="AF9" s="6" t="s">
        <v>1397</v>
      </c>
      <c r="AG9" s="6">
        <v>1</v>
      </c>
      <c r="AH9" s="9">
        <f>IF(AG9=0,"-",IF(AG9=1,SUM(AG$1:AG8)+1,SUM(AG$1:AG8)+1 &amp; "-" &amp; SUM(AG$1:AG9)))</f>
        <v>20</v>
      </c>
      <c r="AI9" s="6" t="str">
        <f t="shared" si="5"/>
        <v>!import-table-item --Magic-Item-Table-G --Belt of Dwarvenkind --1</v>
      </c>
      <c r="AM9" s="9"/>
      <c r="AO9" s="6" t="s">
        <v>377</v>
      </c>
      <c r="AP9" s="6" t="s">
        <v>1397</v>
      </c>
      <c r="AQ9" s="6">
        <v>2</v>
      </c>
      <c r="AR9" s="9" t="str">
        <f>IF(AQ9=0,"-",IF(AQ9=1,SUM(AQ$1:AQ8)+1,SUM(AQ$1:AQ8)+1 &amp; "-" &amp; SUM(AQ$1:AQ9)))</f>
        <v>23-24</v>
      </c>
      <c r="AS9" s="6" t="str">
        <f t="shared" si="7"/>
        <v>!import-table-item --Magic-Item-Table-H --Robe of Scintillating Colors --2</v>
      </c>
      <c r="AT9" s="6" t="s">
        <v>312</v>
      </c>
      <c r="AU9" s="6" t="s">
        <v>1397</v>
      </c>
      <c r="AV9" s="6">
        <v>3</v>
      </c>
      <c r="AW9" s="9" t="str">
        <f>IF(AV9=0,"-",IF(AV9=1,SUM(AV$1:AV8)+1,SUM(AV$1:AV8)+1 &amp; "-" &amp; SUM(AV$1:AV9)))</f>
        <v>30-32</v>
      </c>
      <c r="AX9" s="6" t="str">
        <f t="shared" si="8"/>
        <v>!import-table-item --Magic-Item-Table-I --Ring of Spell Turning --3</v>
      </c>
      <c r="BB9" s="9"/>
    </row>
    <row r="10" spans="1:55" x14ac:dyDescent="0.25">
      <c r="D10" s="9"/>
      <c r="F10" s="6" t="s">
        <v>15</v>
      </c>
      <c r="G10" s="6" t="s">
        <v>1397</v>
      </c>
      <c r="H10" s="6">
        <v>5</v>
      </c>
      <c r="I10" s="9" t="str">
        <f>IF(H10=0,"-",IF(H10=1,SUM(H$1:H9)+1,SUM(H$1:H9)+1 &amp; "-" &amp; SUM(H$1:H10)))</f>
        <v>55-59</v>
      </c>
      <c r="J10" s="6" t="str">
        <f t="shared" si="0"/>
        <v>!import-table-item --Magic-Item-Table-B --Spell Scroll (2nd Level) --5</v>
      </c>
      <c r="K10" s="6" t="s">
        <v>57</v>
      </c>
      <c r="L10" s="6" t="s">
        <v>1397</v>
      </c>
      <c r="M10" s="6">
        <v>5</v>
      </c>
      <c r="N10" s="9" t="str">
        <f>IF(M10=0,"-",IF(M10=1,SUM(M$1:M9)+1,SUM(M$1:M9)+1 &amp; "-" &amp; SUM(M$1:M10)))</f>
        <v>53-57</v>
      </c>
      <c r="O10" s="6" t="str">
        <f t="shared" si="1"/>
        <v>!import-table-item --Magic-Item-Table-C --Potion of Heroism --5</v>
      </c>
      <c r="P10" s="6" t="s">
        <v>84</v>
      </c>
      <c r="R10" s="6">
        <v>5</v>
      </c>
      <c r="S10" s="9" t="str">
        <f>IF(R10=0,"-",IF(R10=1,SUM(R$1:R9)+1,SUM(R$1:R9)+1 &amp; "-" &amp; SUM(R$1:R10)))</f>
        <v>73-77</v>
      </c>
      <c r="T10" s="6" t="str">
        <f t="shared" si="2"/>
        <v>!import-table-item --Magic-Item-Table-D --Potion of Cloud Giant Strength --5</v>
      </c>
      <c r="X10" s="9"/>
      <c r="Z10" s="6" t="s">
        <v>105</v>
      </c>
      <c r="AA10" s="6" t="s">
        <v>1397</v>
      </c>
      <c r="AB10" s="6">
        <v>2</v>
      </c>
      <c r="AC10" s="9" t="str">
        <f>IF(AB10=0,"-",IF(AB10=1,SUM(AB$1:AB9)+1,SUM(AB$1:AB9)+1 &amp; "-" &amp; SUM(AB$1:AB10)))</f>
        <v>32-33</v>
      </c>
      <c r="AD10" s="6" t="str">
        <f t="shared" si="4"/>
        <v>!import-table-item --Magic-Item-Table-F --Broom of Flying --2</v>
      </c>
      <c r="AE10" s="6" t="s">
        <v>163</v>
      </c>
      <c r="AF10" s="6" t="s">
        <v>1397</v>
      </c>
      <c r="AG10" s="6">
        <v>1</v>
      </c>
      <c r="AH10" s="9">
        <f>IF(AG10=0,"-",IF(AG10=1,SUM(AG$1:AG9)+1,SUM(AG$1:AG9)+1 &amp; "-" &amp; SUM(AG$1:AG10)))</f>
        <v>21</v>
      </c>
      <c r="AI10" s="6" t="str">
        <f t="shared" si="5"/>
        <v>!import-table-item --Magic-Item-Table-G --Belt of Hill Giant Strength --1</v>
      </c>
      <c r="AM10" s="9"/>
      <c r="AO10" s="6" t="s">
        <v>249</v>
      </c>
      <c r="AP10" s="6" t="s">
        <v>1397</v>
      </c>
      <c r="AQ10" s="6">
        <v>2</v>
      </c>
      <c r="AR10" s="9" t="str">
        <f>IF(AQ10=0,"-",IF(AQ10=1,SUM(AQ$1:AQ9)+1,SUM(AQ$1:AQ9)+1 &amp; "-" &amp; SUM(AQ$1:AQ10)))</f>
        <v>25-26</v>
      </c>
      <c r="AS10" s="6" t="str">
        <f t="shared" si="7"/>
        <v>!import-table-item --Magic-Item-Table-H --Robe of Stars --2</v>
      </c>
      <c r="AT10" s="6" t="s">
        <v>313</v>
      </c>
      <c r="AU10" s="6" t="s">
        <v>1397</v>
      </c>
      <c r="AV10" s="6">
        <v>3</v>
      </c>
      <c r="AW10" s="9" t="str">
        <f>IF(AV10=0,"-",IF(AV10=1,SUM(AV$1:AV9)+1,SUM(AV$1:AV9)+1 &amp; "-" &amp; SUM(AV$1:AV10)))</f>
        <v>33-35</v>
      </c>
      <c r="AX10" s="6" t="str">
        <f t="shared" si="8"/>
        <v>!import-table-item --Magic-Item-Table-I --Rod of Lordly Might --3</v>
      </c>
      <c r="BB10" s="9"/>
    </row>
    <row r="11" spans="1:55" x14ac:dyDescent="0.25">
      <c r="D11" s="9"/>
      <c r="F11" s="6" t="s">
        <v>26</v>
      </c>
      <c r="G11" s="6" t="s">
        <v>1397</v>
      </c>
      <c r="H11" s="6">
        <v>5</v>
      </c>
      <c r="I11" s="9" t="str">
        <f>IF(H11=0,"-",IF(H11=1,SUM(H$1:H10)+1,SUM(H$1:H10)+1 &amp; "-" &amp; SUM(H$1:H11)))</f>
        <v>60-64</v>
      </c>
      <c r="J11" s="6" t="str">
        <f t="shared" si="0"/>
        <v>!import-table-item --Magic-Item-Table-B --Spell Scroll (3rd Level) --5</v>
      </c>
      <c r="K11" s="6" t="s">
        <v>58</v>
      </c>
      <c r="L11" s="6" t="s">
        <v>1397</v>
      </c>
      <c r="M11" s="6">
        <v>5</v>
      </c>
      <c r="N11" s="9" t="str">
        <f>IF(M11=0,"-",IF(M11=1,SUM(M$1:M10)+1,SUM(M$1:M10)+1 &amp; "-" &amp; SUM(M$1:M11)))</f>
        <v>58-62</v>
      </c>
      <c r="O11" s="6" t="str">
        <f t="shared" si="1"/>
        <v>!import-table-item --Magic-Item-Table-C --Potion of Invulnerability --5</v>
      </c>
      <c r="P11" s="6" t="s">
        <v>86</v>
      </c>
      <c r="R11" s="6">
        <v>5</v>
      </c>
      <c r="S11" s="9" t="str">
        <f>IF(R11=0,"-",IF(R11=1,SUM(R$1:R10)+1,SUM(R$1:R10)+1 &amp; "-" &amp; SUM(R$1:R11)))</f>
        <v>78-82</v>
      </c>
      <c r="T11" s="6" t="str">
        <f t="shared" si="2"/>
        <v>!import-table-item --Magic-Item-Table-D --Potion of Longevity --5</v>
      </c>
      <c r="X11" s="9"/>
      <c r="Z11" s="6" t="s">
        <v>106</v>
      </c>
      <c r="AA11" s="6" t="s">
        <v>1397</v>
      </c>
      <c r="AB11" s="6">
        <v>2</v>
      </c>
      <c r="AC11" s="9" t="str">
        <f>IF(AB11=0,"-",IF(AB11=1,SUM(AB$1:AB10)+1,SUM(AB$1:AB10)+1 &amp; "-" &amp; SUM(AB$1:AB11)))</f>
        <v>34-35</v>
      </c>
      <c r="AD11" s="6" t="str">
        <f t="shared" si="4"/>
        <v>!import-table-item --Magic-Item-Table-F --Cloak of Elvenkind --2</v>
      </c>
      <c r="AE11" s="6" t="s">
        <v>164</v>
      </c>
      <c r="AF11" s="6" t="s">
        <v>1397</v>
      </c>
      <c r="AG11" s="6">
        <v>1</v>
      </c>
      <c r="AH11" s="9">
        <f>IF(AG11=0,"-",IF(AG11=1,SUM(AG$1:AG10)+1,SUM(AG$1:AG10)+1 &amp; "-" &amp; SUM(AG$1:AG11)))</f>
        <v>22</v>
      </c>
      <c r="AI11" s="6" t="str">
        <f t="shared" si="5"/>
        <v>!import-table-item --Magic-Item-Table-G --Berserker Axe --1</v>
      </c>
      <c r="AM11" s="9"/>
      <c r="AO11" s="6" t="s">
        <v>250</v>
      </c>
      <c r="AP11" s="6" t="s">
        <v>1397</v>
      </c>
      <c r="AQ11" s="6">
        <v>2</v>
      </c>
      <c r="AR11" s="9" t="str">
        <f>IF(AQ11=0,"-",IF(AQ11=1,SUM(AQ$1:AQ10)+1,SUM(AQ$1:AQ10)+1 &amp; "-" &amp; SUM(AQ$1:AQ11)))</f>
        <v>27-28</v>
      </c>
      <c r="AS11" s="6" t="str">
        <f t="shared" si="7"/>
        <v>!import-table-item --Magic-Item-Table-H --Rod of Absorption --2</v>
      </c>
      <c r="AT11" s="6" t="s">
        <v>314</v>
      </c>
      <c r="AU11" s="6" t="s">
        <v>1397</v>
      </c>
      <c r="AV11" s="6">
        <v>3</v>
      </c>
      <c r="AW11" s="9" t="str">
        <f>IF(AV11=0,"-",IF(AV11=1,SUM(AV$1:AV10)+1,SUM(AV$1:AV10)+1 &amp; "-" &amp; SUM(AV$1:AV11)))</f>
        <v>36-38</v>
      </c>
      <c r="AX11" s="6" t="str">
        <f t="shared" si="8"/>
        <v>!import-table-item --Magic-Item-Table-I --Staff of the Magi --3</v>
      </c>
      <c r="BB11" s="9"/>
    </row>
    <row r="12" spans="1:55" x14ac:dyDescent="0.25">
      <c r="D12" s="9"/>
      <c r="F12" s="6" t="s">
        <v>17</v>
      </c>
      <c r="G12" s="6" t="s">
        <v>1397</v>
      </c>
      <c r="H12" s="6">
        <v>3</v>
      </c>
      <c r="I12" s="9" t="str">
        <f>IF(H12=0,"-",IF(H12=1,SUM(H$1:H11)+1,SUM(H$1:H11)+1 &amp; "-" &amp; SUM(H$1:H12)))</f>
        <v>65-67</v>
      </c>
      <c r="J12" s="6" t="str">
        <f t="shared" si="0"/>
        <v>!import-table-item --Magic-Item-Table-B --Bag of Holding --3</v>
      </c>
      <c r="K12" s="6" t="s">
        <v>59</v>
      </c>
      <c r="L12" s="6" t="s">
        <v>1397</v>
      </c>
      <c r="M12" s="6">
        <v>5</v>
      </c>
      <c r="N12" s="9" t="str">
        <f>IF(M12=0,"-",IF(M12=1,SUM(M$1:M11)+1,SUM(M$1:M11)+1 &amp; "-" &amp; SUM(M$1:M12)))</f>
        <v>63-67</v>
      </c>
      <c r="O12" s="6" t="str">
        <f t="shared" si="1"/>
        <v>!import-table-item --Magic-Item-Table-C --Potion of Mind Reading --5</v>
      </c>
      <c r="P12" s="6" t="s">
        <v>87</v>
      </c>
      <c r="R12" s="6">
        <v>5</v>
      </c>
      <c r="S12" s="9" t="str">
        <f>IF(R12=0,"-",IF(R12=1,SUM(R$1:R11)+1,SUM(R$1:R11)+1 &amp; "-" &amp; SUM(R$1:R12)))</f>
        <v>83-87</v>
      </c>
      <c r="T12" s="6" t="str">
        <f t="shared" si="2"/>
        <v>!import-table-item --Magic-Item-Table-D --Potion of Vitality --5</v>
      </c>
      <c r="X12" s="9"/>
      <c r="Z12" s="6" t="s">
        <v>107</v>
      </c>
      <c r="AA12" s="6" t="s">
        <v>1397</v>
      </c>
      <c r="AB12" s="6">
        <v>2</v>
      </c>
      <c r="AC12" s="9" t="str">
        <f>IF(AB12=0,"-",IF(AB12=1,SUM(AB$1:AB11)+1,SUM(AB$1:AB11)+1 &amp; "-" &amp; SUM(AB$1:AB12)))</f>
        <v>36-37</v>
      </c>
      <c r="AD12" s="6" t="str">
        <f t="shared" si="4"/>
        <v>!import-table-item --Magic-Item-Table-F --Cloak of Protection --2</v>
      </c>
      <c r="AE12" s="6" t="s">
        <v>165</v>
      </c>
      <c r="AF12" s="6" t="s">
        <v>1397</v>
      </c>
      <c r="AG12" s="6">
        <v>1</v>
      </c>
      <c r="AH12" s="9">
        <f>IF(AG12=0,"-",IF(AG12=1,SUM(AG$1:AG11)+1,SUM(AG$1:AG11)+1 &amp; "-" &amp; SUM(AG$1:AG12)))</f>
        <v>23</v>
      </c>
      <c r="AI12" s="6" t="str">
        <f t="shared" si="5"/>
        <v>!import-table-item --Magic-Item-Table-G --Boots of Levitation --1</v>
      </c>
      <c r="AM12" s="9"/>
      <c r="AO12" s="6" t="s">
        <v>251</v>
      </c>
      <c r="AP12" s="6" t="s">
        <v>1397</v>
      </c>
      <c r="AQ12" s="6">
        <v>2</v>
      </c>
      <c r="AR12" s="9" t="str">
        <f>IF(AQ12=0,"-",IF(AQ12=1,SUM(AQ$1:AQ11)+1,SUM(AQ$1:AQ11)+1 &amp; "-" &amp; SUM(AQ$1:AQ12)))</f>
        <v>29-30</v>
      </c>
      <c r="AS12" s="6" t="str">
        <f t="shared" si="7"/>
        <v>!import-table-item --Magic-Item-Table-H --Rod of Alertness --2</v>
      </c>
      <c r="AT12" s="6" t="s">
        <v>315</v>
      </c>
      <c r="AU12" s="6" t="s">
        <v>1397</v>
      </c>
      <c r="AV12" s="6">
        <v>3</v>
      </c>
      <c r="AW12" s="9" t="str">
        <f>IF(AV12=0,"-",IF(AV12=1,SUM(AV$1:AV11)+1,SUM(AV$1:AV11)+1 &amp; "-" &amp; SUM(AV$1:AV12)))</f>
        <v>39-41</v>
      </c>
      <c r="AX12" s="6" t="str">
        <f t="shared" si="8"/>
        <v>!import-table-item --Magic-Item-Table-I --Vorpal Sword --3</v>
      </c>
      <c r="BB12" s="9"/>
    </row>
    <row r="13" spans="1:55" x14ac:dyDescent="0.25">
      <c r="D13" s="9"/>
      <c r="F13" s="6" t="s">
        <v>27</v>
      </c>
      <c r="G13" s="6" t="s">
        <v>1397</v>
      </c>
      <c r="H13" s="6">
        <v>3</v>
      </c>
      <c r="I13" s="9" t="str">
        <f>IF(H13=0,"-",IF(H13=1,SUM(H$1:H12)+1,SUM(H$1:H12)+1 &amp; "-" &amp; SUM(H$1:H13)))</f>
        <v>68-70</v>
      </c>
      <c r="J13" s="6" t="str">
        <f t="shared" si="0"/>
        <v>!import-table-item --Magic-Item-Table-B --Keoghtom's Ointment --3</v>
      </c>
      <c r="K13" s="6" t="s">
        <v>60</v>
      </c>
      <c r="L13" s="6" t="s">
        <v>1397</v>
      </c>
      <c r="M13" s="6">
        <v>5</v>
      </c>
      <c r="N13" s="9" t="str">
        <f>IF(M13=0,"-",IF(M13=1,SUM(M$1:M12)+1,SUM(M$1:M12)+1 &amp; "-" &amp; SUM(M$1:M13)))</f>
        <v>68-72</v>
      </c>
      <c r="O13" s="6" t="str">
        <f t="shared" si="1"/>
        <v>!import-table-item --Magic-Item-Table-C --Spell Scroll (5th Level) --5</v>
      </c>
      <c r="P13" s="6" t="s">
        <v>88</v>
      </c>
      <c r="R13" s="6">
        <v>5</v>
      </c>
      <c r="S13" s="9" t="str">
        <f>IF(R13=0,"-",IF(R13=1,SUM(R$1:R12)+1,SUM(R$1:R12)+1 &amp; "-" &amp; SUM(R$1:R13)))</f>
        <v>88-92</v>
      </c>
      <c r="T13" s="6" t="str">
        <f t="shared" si="2"/>
        <v>!import-table-item --Magic-Item-Table-D --Spell Scroll (8th Level) --5</v>
      </c>
      <c r="X13" s="9"/>
      <c r="Z13" s="6" t="s">
        <v>108</v>
      </c>
      <c r="AA13" s="6" t="s">
        <v>1397</v>
      </c>
      <c r="AB13" s="6">
        <v>2</v>
      </c>
      <c r="AC13" s="9" t="str">
        <f>IF(AB13=0,"-",IF(AB13=1,SUM(AB$1:AB12)+1,SUM(AB$1:AB12)+1 &amp; "-" &amp; SUM(AB$1:AB13)))</f>
        <v>38-39</v>
      </c>
      <c r="AD13" s="6" t="str">
        <f t="shared" si="4"/>
        <v>!import-table-item --Magic-Item-Table-F --Gauntlets of Ogre Power --2</v>
      </c>
      <c r="AE13" s="6" t="s">
        <v>166</v>
      </c>
      <c r="AF13" s="6" t="s">
        <v>1397</v>
      </c>
      <c r="AG13" s="6">
        <v>1</v>
      </c>
      <c r="AH13" s="9">
        <f>IF(AG13=0,"-",IF(AG13=1,SUM(AG$1:AG12)+1,SUM(AG$1:AG12)+1 &amp; "-" &amp; SUM(AG$1:AG13)))</f>
        <v>24</v>
      </c>
      <c r="AI13" s="6" t="str">
        <f t="shared" si="5"/>
        <v>!import-table-item --Magic-Item-Table-G --Boots of Speed --1</v>
      </c>
      <c r="AM13" s="9"/>
      <c r="AO13" s="6" t="s">
        <v>252</v>
      </c>
      <c r="AP13" s="6" t="s">
        <v>1397</v>
      </c>
      <c r="AQ13" s="6">
        <v>2</v>
      </c>
      <c r="AR13" s="9" t="str">
        <f>IF(AQ13=0,"-",IF(AQ13=1,SUM(AQ$1:AQ12)+1,SUM(AQ$1:AQ12)+1 &amp; "-" &amp; SUM(AQ$1:AQ13)))</f>
        <v>31-32</v>
      </c>
      <c r="AS13" s="6" t="str">
        <f t="shared" si="7"/>
        <v>!import-table-item --Magic-Item-Table-H --Rod of Security --2</v>
      </c>
      <c r="AT13" s="6" t="s">
        <v>316</v>
      </c>
      <c r="AU13" s="6" t="s">
        <v>1397</v>
      </c>
      <c r="AV13" s="6">
        <v>2</v>
      </c>
      <c r="AW13" s="9" t="str">
        <f>IF(AV13=0,"-",IF(AV13=1,SUM(AV$1:AV12)+1,SUM(AV$1:AV12)+1 &amp; "-" &amp; SUM(AV$1:AV13)))</f>
        <v>42-43</v>
      </c>
      <c r="AX13" s="6" t="str">
        <f t="shared" si="8"/>
        <v>!import-table-item --Magic-Item-Table-I --Belt of Cloud Giant Strength --2</v>
      </c>
      <c r="BB13" s="9"/>
    </row>
    <row r="14" spans="1:55" x14ac:dyDescent="0.25">
      <c r="D14" s="9"/>
      <c r="F14" s="6" t="s">
        <v>28</v>
      </c>
      <c r="G14" s="6" t="s">
        <v>1397</v>
      </c>
      <c r="H14" s="6">
        <v>3</v>
      </c>
      <c r="I14" s="9" t="str">
        <f>IF(H14=0,"-",IF(H14=1,SUM(H$1:H13)+1,SUM(H$1:H13)+1 &amp; "-" &amp; SUM(H$1:H14)))</f>
        <v>71-73</v>
      </c>
      <c r="J14" s="6" t="str">
        <f t="shared" si="0"/>
        <v>!import-table-item --Magic-Item-Table-B --Oil of Slipperiness --3</v>
      </c>
      <c r="K14" s="6" t="s">
        <v>61</v>
      </c>
      <c r="L14" s="6" t="s">
        <v>1397</v>
      </c>
      <c r="M14" s="6">
        <v>3</v>
      </c>
      <c r="N14" s="9" t="str">
        <f>IF(M14=0,"-",IF(M14=1,SUM(M$1:M13)+1,SUM(M$1:M13)+1 &amp; "-" &amp; SUM(M$1:M14)))</f>
        <v>73-75</v>
      </c>
      <c r="O14" s="6" t="str">
        <f t="shared" si="1"/>
        <v>!import-table-item --Magic-Item-Table-C --Elixir of Health --3</v>
      </c>
      <c r="P14" s="6" t="s">
        <v>89</v>
      </c>
      <c r="R14" s="6">
        <v>3</v>
      </c>
      <c r="S14" s="9" t="str">
        <f>IF(R14=0,"-",IF(R14=1,SUM(R$1:R13)+1,SUM(R$1:R13)+1 &amp; "-" &amp; SUM(R$1:R14)))</f>
        <v>93-95</v>
      </c>
      <c r="T14" s="6" t="str">
        <f t="shared" si="2"/>
        <v>!import-table-item --Magic-Item-Table-D --Horseshoes of a Zephyr --3</v>
      </c>
      <c r="X14" s="9"/>
      <c r="Z14" s="6" t="s">
        <v>109</v>
      </c>
      <c r="AA14" s="6" t="s">
        <v>1397</v>
      </c>
      <c r="AB14" s="6">
        <v>2</v>
      </c>
      <c r="AC14" s="9" t="str">
        <f>IF(AB14=0,"-",IF(AB14=1,SUM(AB$1:AB13)+1,SUM(AB$1:AB13)+1 &amp; "-" &amp; SUM(AB$1:AB14)))</f>
        <v>40-41</v>
      </c>
      <c r="AD14" s="6" t="str">
        <f t="shared" si="4"/>
        <v>!import-table-item --Magic-Item-Table-F --Hat of Disguise --2</v>
      </c>
      <c r="AE14" s="6" t="s">
        <v>167</v>
      </c>
      <c r="AF14" s="6" t="s">
        <v>1397</v>
      </c>
      <c r="AG14" s="6">
        <v>1</v>
      </c>
      <c r="AH14" s="9">
        <f>IF(AG14=0,"-",IF(AG14=1,SUM(AG$1:AG13)+1,SUM(AG$1:AG13)+1 &amp; "-" &amp; SUM(AG$1:AG14)))</f>
        <v>25</v>
      </c>
      <c r="AI14" s="6" t="str">
        <f t="shared" si="5"/>
        <v>!import-table-item --Magic-Item-Table-G --Bowl of Commanding Water Elementals --1</v>
      </c>
      <c r="AM14" s="9"/>
      <c r="AO14" s="6" t="s">
        <v>253</v>
      </c>
      <c r="AP14" s="6" t="s">
        <v>1397</v>
      </c>
      <c r="AQ14" s="6">
        <v>2</v>
      </c>
      <c r="AR14" s="9" t="str">
        <f>IF(AQ14=0,"-",IF(AQ14=1,SUM(AQ$1:AQ13)+1,SUM(AQ$1:AQ13)+1 &amp; "-" &amp; SUM(AQ$1:AQ14)))</f>
        <v>33-34</v>
      </c>
      <c r="AS14" s="6" t="str">
        <f t="shared" si="7"/>
        <v>!import-table-item --Magic-Item-Table-H --Rod of the Pact Keeper, +3 --2</v>
      </c>
      <c r="AT14" s="6" t="s">
        <v>317</v>
      </c>
      <c r="AU14" s="6" t="s">
        <v>1397</v>
      </c>
      <c r="AV14" s="6">
        <v>2</v>
      </c>
      <c r="AW14" s="9" t="str">
        <f>IF(AV14=0,"-",IF(AV14=1,SUM(AV$1:AV13)+1,SUM(AV$1:AV13)+1 &amp; "-" &amp; SUM(AV$1:AV14)))</f>
        <v>44-45</v>
      </c>
      <c r="AX14" s="6" t="str">
        <f t="shared" si="8"/>
        <v>!import-table-item --Magic-Item-Table-I --Armor, +2 breastplate --2</v>
      </c>
      <c r="BB14" s="9"/>
    </row>
    <row r="15" spans="1:55" x14ac:dyDescent="0.25">
      <c r="D15" s="9"/>
      <c r="F15" s="6" t="s">
        <v>29</v>
      </c>
      <c r="G15" s="6" t="s">
        <v>1397</v>
      </c>
      <c r="H15" s="6">
        <v>2</v>
      </c>
      <c r="I15" s="9" t="str">
        <f>IF(H15=0,"-",IF(H15=1,SUM(H$1:H14)+1,SUM(H$1:H14)+1 &amp; "-" &amp; SUM(H$1:H15)))</f>
        <v>74-75</v>
      </c>
      <c r="J15" s="6" t="str">
        <f t="shared" si="0"/>
        <v>!import-table-item --Magic-Item-Table-B --Dust of Disappearance --2</v>
      </c>
      <c r="K15" s="6" t="s">
        <v>62</v>
      </c>
      <c r="L15" s="6" t="s">
        <v>1397</v>
      </c>
      <c r="M15" s="6">
        <v>3</v>
      </c>
      <c r="N15" s="9" t="str">
        <f>IF(M15=0,"-",IF(M15=1,SUM(M$1:M14)+1,SUM(M$1:M14)+1 &amp; "-" &amp; SUM(M$1:M15)))</f>
        <v>76-78</v>
      </c>
      <c r="O15" s="6" t="str">
        <f t="shared" si="1"/>
        <v>!import-table-item --Magic-Item-Table-C --Oil of Etherealness --3</v>
      </c>
      <c r="P15" s="6" t="s">
        <v>90</v>
      </c>
      <c r="R15" s="6">
        <v>3</v>
      </c>
      <c r="S15" s="9" t="str">
        <f>IF(R15=0,"-",IF(R15=1,SUM(R$1:R14)+1,SUM(R$1:R14)+1 &amp; "-" &amp; SUM(R$1:R15)))</f>
        <v>96-98</v>
      </c>
      <c r="T15" s="6" t="str">
        <f t="shared" si="2"/>
        <v>!import-table-item --Magic-Item-Table-D --Nolzur's Marvelous Pigments --3</v>
      </c>
      <c r="X15" s="9"/>
      <c r="Z15" s="6" t="s">
        <v>110</v>
      </c>
      <c r="AA15" s="6" t="s">
        <v>1397</v>
      </c>
      <c r="AB15" s="6">
        <v>2</v>
      </c>
      <c r="AC15" s="9" t="str">
        <f>IF(AB15=0,"-",IF(AB15=1,SUM(AB$1:AB14)+1,SUM(AB$1:AB14)+1 &amp; "-" &amp; SUM(AB$1:AB15)))</f>
        <v>42-43</v>
      </c>
      <c r="AD15" s="6" t="str">
        <f t="shared" si="4"/>
        <v>!import-table-item --Magic-Item-Table-F --Javelin of Lightning --2</v>
      </c>
      <c r="AE15" s="6" t="s">
        <v>168</v>
      </c>
      <c r="AF15" s="6" t="s">
        <v>1397</v>
      </c>
      <c r="AG15" s="6">
        <v>1</v>
      </c>
      <c r="AH15" s="9">
        <f>IF(AG15=0,"-",IF(AG15=1,SUM(AG$1:AG14)+1,SUM(AG$1:AG14)+1 &amp; "-" &amp; SUM(AG$1:AG15)))</f>
        <v>26</v>
      </c>
      <c r="AI15" s="6" t="str">
        <f t="shared" si="5"/>
        <v>!import-table-item --Magic-Item-Table-G --Bracers of Defense --1</v>
      </c>
      <c r="AM15" s="9"/>
      <c r="AO15" s="6" t="s">
        <v>254</v>
      </c>
      <c r="AP15" s="6" t="s">
        <v>1397</v>
      </c>
      <c r="AQ15" s="6">
        <v>2</v>
      </c>
      <c r="AR15" s="9" t="str">
        <f>IF(AQ15=0,"-",IF(AQ15=1,SUM(AQ$1:AQ14)+1,SUM(AQ$1:AQ14)+1 &amp; "-" &amp; SUM(AQ$1:AQ15)))</f>
        <v>35-36</v>
      </c>
      <c r="AS15" s="6" t="str">
        <f t="shared" si="7"/>
        <v>!import-table-item --Magic-Item-Table-H --Scimitar of Speed --2</v>
      </c>
      <c r="AT15" s="6" t="s">
        <v>319</v>
      </c>
      <c r="AU15" s="6" t="s">
        <v>1397</v>
      </c>
      <c r="AV15" s="6">
        <v>2</v>
      </c>
      <c r="AW15" s="9" t="str">
        <f>IF(AV15=0,"-",IF(AV15=1,SUM(AV$1:AV14)+1,SUM(AV$1:AV14)+1 &amp; "-" &amp; SUM(AV$1:AV15)))</f>
        <v>46-47</v>
      </c>
      <c r="AX15" s="6" t="str">
        <f t="shared" si="8"/>
        <v>!import-table-item --Magic-Item-Table-I --Armor, +3 chain mail --2</v>
      </c>
      <c r="BB15" s="9"/>
    </row>
    <row r="16" spans="1:55" x14ac:dyDescent="0.25">
      <c r="D16" s="9"/>
      <c r="F16" s="6" t="s">
        <v>30</v>
      </c>
      <c r="G16" s="6" t="s">
        <v>1397</v>
      </c>
      <c r="H16" s="6">
        <v>2</v>
      </c>
      <c r="I16" s="9" t="str">
        <f>IF(H16=0,"-",IF(H16=1,SUM(H$1:H15)+1,SUM(H$1:H15)+1 &amp; "-" &amp; SUM(H$1:H16)))</f>
        <v>76-77</v>
      </c>
      <c r="J16" s="6" t="str">
        <f t="shared" si="0"/>
        <v>!import-table-item --Magic-Item-Table-B --Dust of Dryness --2</v>
      </c>
      <c r="K16" s="6" t="s">
        <v>63</v>
      </c>
      <c r="L16" s="6" t="s">
        <v>1397</v>
      </c>
      <c r="M16" s="6">
        <v>3</v>
      </c>
      <c r="N16" s="9" t="str">
        <f>IF(M16=0,"-",IF(M16=1,SUM(M$1:M15)+1,SUM(M$1:M15)+1 &amp; "-" &amp; SUM(M$1:M16)))</f>
        <v>79-81</v>
      </c>
      <c r="O16" s="6" t="str">
        <f t="shared" si="1"/>
        <v>!import-table-item --Magic-Item-Table-C --Potion of Fire Giant Strength --3</v>
      </c>
      <c r="P16" s="6" t="s">
        <v>91</v>
      </c>
      <c r="R16" s="6">
        <v>1</v>
      </c>
      <c r="S16" s="9">
        <f>IF(R16=0,"-",IF(R16=1,SUM(R$1:R15)+1,SUM(R$1:R15)+1 &amp; "-" &amp; SUM(R$1:R16)))</f>
        <v>99</v>
      </c>
      <c r="T16" s="6" t="str">
        <f t="shared" si="2"/>
        <v>!import-table-item --Magic-Item-Table-D --Bag of Devouring --1</v>
      </c>
      <c r="X16" s="9"/>
      <c r="Z16" s="6" t="s">
        <v>111</v>
      </c>
      <c r="AA16" s="6" t="s">
        <v>1397</v>
      </c>
      <c r="AB16" s="6">
        <v>2</v>
      </c>
      <c r="AC16" s="9" t="str">
        <f>IF(AB16=0,"-",IF(AB16=1,SUM(AB$1:AB15)+1,SUM(AB$1:AB15)+1 &amp; "-" &amp; SUM(AB$1:AB16)))</f>
        <v>44-45</v>
      </c>
      <c r="AD16" s="6" t="str">
        <f t="shared" si="4"/>
        <v>!import-table-item --Magic-Item-Table-F --Pearl of Power --2</v>
      </c>
      <c r="AE16" s="6" t="s">
        <v>169</v>
      </c>
      <c r="AF16" s="6" t="s">
        <v>1397</v>
      </c>
      <c r="AG16" s="6">
        <v>1</v>
      </c>
      <c r="AH16" s="9">
        <f>IF(AG16=0,"-",IF(AG16=1,SUM(AG$1:AG15)+1,SUM(AG$1:AG15)+1 &amp; "-" &amp; SUM(AG$1:AG16)))</f>
        <v>27</v>
      </c>
      <c r="AI16" s="6" t="str">
        <f t="shared" si="5"/>
        <v>!import-table-item --Magic-Item-Table-G --Brazier of Commanding Fire Elementals --1</v>
      </c>
      <c r="AM16" s="9"/>
      <c r="AO16" s="6" t="s">
        <v>255</v>
      </c>
      <c r="AP16" s="6" t="s">
        <v>1397</v>
      </c>
      <c r="AQ16" s="6">
        <v>2</v>
      </c>
      <c r="AR16" s="9" t="str">
        <f>IF(AQ16=0,"-",IF(AQ16=1,SUM(AQ$1:AQ15)+1,SUM(AQ$1:AQ15)+1 &amp; "-" &amp; SUM(AQ$1:AQ16)))</f>
        <v>37-38</v>
      </c>
      <c r="AS16" s="6" t="str">
        <f t="shared" si="7"/>
        <v>!import-table-item --Magic-Item-Table-H --Shield, +3 --2</v>
      </c>
      <c r="AT16" s="6" t="s">
        <v>318</v>
      </c>
      <c r="AU16" s="6" t="s">
        <v>1397</v>
      </c>
      <c r="AV16" s="6">
        <v>2</v>
      </c>
      <c r="AW16" s="9" t="str">
        <f>IF(AV16=0,"-",IF(AV16=1,SUM(AV$1:AV15)+1,SUM(AV$1:AV15)+1 &amp; "-" &amp; SUM(AV$1:AV16)))</f>
        <v>48-49</v>
      </c>
      <c r="AX16" s="6" t="str">
        <f t="shared" si="8"/>
        <v>!import-table-item --Magic-Item-Table-I --Armor, +3 chain shirt --2</v>
      </c>
      <c r="BB16" s="9"/>
    </row>
    <row r="17" spans="4:54" x14ac:dyDescent="0.25">
      <c r="D17" s="9"/>
      <c r="F17" s="6" t="s">
        <v>31</v>
      </c>
      <c r="G17" s="6" t="s">
        <v>1397</v>
      </c>
      <c r="H17" s="6">
        <v>2</v>
      </c>
      <c r="I17" s="9" t="str">
        <f>IF(H17=0,"-",IF(H17=1,SUM(H$1:H16)+1,SUM(H$1:H16)+1 &amp; "-" &amp; SUM(H$1:H17)))</f>
        <v>78-79</v>
      </c>
      <c r="J17" s="6" t="str">
        <f t="shared" si="0"/>
        <v>!import-table-item --Magic-Item-Table-B --Dust of Sneezing and Choking --2</v>
      </c>
      <c r="K17" s="6" t="s">
        <v>64</v>
      </c>
      <c r="L17" s="6" t="s">
        <v>1397</v>
      </c>
      <c r="M17" s="6">
        <v>3</v>
      </c>
      <c r="N17" s="9" t="str">
        <f>IF(M17=0,"-",IF(M17=1,SUM(M$1:M16)+1,SUM(M$1:M16)+1 &amp; "-" &amp; SUM(M$1:M17)))</f>
        <v>82-84</v>
      </c>
      <c r="O17" s="6" t="str">
        <f t="shared" si="1"/>
        <v>!import-table-item --Magic-Item-Table-C --Quaal's Feather Token --3</v>
      </c>
      <c r="P17" s="6" t="s">
        <v>92</v>
      </c>
      <c r="R17" s="6">
        <v>1</v>
      </c>
      <c r="S17" s="9">
        <f>IF(R17=0,"-",IF(R17=1,SUM(R$1:R16)+1,SUM(R$1:R16)+1 &amp; "-" &amp; SUM(R$1:R17)))</f>
        <v>100</v>
      </c>
      <c r="T17" s="6" t="str">
        <f t="shared" si="2"/>
        <v>!import-table-item --Magic-Item-Table-D --Portable Hole --1</v>
      </c>
      <c r="X17" s="9"/>
      <c r="Z17" s="6" t="s">
        <v>112</v>
      </c>
      <c r="AA17" s="6" t="s">
        <v>1397</v>
      </c>
      <c r="AB17" s="6">
        <v>2</v>
      </c>
      <c r="AC17" s="9" t="str">
        <f>IF(AB17=0,"-",IF(AB17=1,SUM(AB$1:AB16)+1,SUM(AB$1:AB16)+1 &amp; "-" &amp; SUM(AB$1:AB17)))</f>
        <v>46-47</v>
      </c>
      <c r="AD17" s="6" t="str">
        <f t="shared" si="4"/>
        <v>!import-table-item --Magic-Item-Table-F --Rod of the Pact Keeper, +1 --2</v>
      </c>
      <c r="AE17" s="6" t="s">
        <v>170</v>
      </c>
      <c r="AF17" s="6" t="s">
        <v>1397</v>
      </c>
      <c r="AG17" s="6">
        <v>1</v>
      </c>
      <c r="AH17" s="9">
        <f>IF(AG17=0,"-",IF(AG17=1,SUM(AG$1:AG16)+1,SUM(AG$1:AG16)+1 &amp; "-" &amp; SUM(AG$1:AG17)))</f>
        <v>28</v>
      </c>
      <c r="AI17" s="6" t="str">
        <f t="shared" si="5"/>
        <v>!import-table-item --Magic-Item-Table-G --Cape of the Mountebank --1</v>
      </c>
      <c r="AM17" s="9"/>
      <c r="AO17" s="6" t="s">
        <v>378</v>
      </c>
      <c r="AP17" s="6" t="s">
        <v>1397</v>
      </c>
      <c r="AQ17" s="6">
        <v>2</v>
      </c>
      <c r="AR17" s="9" t="str">
        <f>IF(AQ17=0,"-",IF(AQ17=1,SUM(AQ$1:AQ16)+1,SUM(AQ$1:AQ16)+1 &amp; "-" &amp; SUM(AQ$1:AQ17)))</f>
        <v>39-40</v>
      </c>
      <c r="AS17" s="6" t="str">
        <f t="shared" si="7"/>
        <v>!import-table-item --Magic-Item-Table-H --Staff of Fire --2</v>
      </c>
      <c r="AT17" s="6" t="s">
        <v>320</v>
      </c>
      <c r="AU17" s="6" t="s">
        <v>1397</v>
      </c>
      <c r="AV17" s="6">
        <v>2</v>
      </c>
      <c r="AW17" s="9" t="str">
        <f>IF(AV17=0,"-",IF(AV17=1,SUM(AV$1:AV16)+1,SUM(AV$1:AV16)+1 &amp; "-" &amp; SUM(AV$1:AV17)))</f>
        <v>50-51</v>
      </c>
      <c r="AX17" s="6" t="str">
        <f t="shared" si="8"/>
        <v>!import-table-item --Magic-Item-Table-I --Cloak of Invisibility --2</v>
      </c>
      <c r="BB17" s="9"/>
    </row>
    <row r="18" spans="4:54" x14ac:dyDescent="0.25">
      <c r="D18" s="9"/>
      <c r="F18" s="6" t="s">
        <v>32</v>
      </c>
      <c r="G18" s="6" t="s">
        <v>1397</v>
      </c>
      <c r="H18" s="6">
        <v>2</v>
      </c>
      <c r="I18" s="9" t="str">
        <f>IF(H18=0,"-",IF(H18=1,SUM(H$1:H17)+1,SUM(H$1:H17)+1 &amp; "-" &amp; SUM(H$1:H18)))</f>
        <v>80-81</v>
      </c>
      <c r="J18" s="6" t="str">
        <f t="shared" si="0"/>
        <v>!import-table-item --Magic-Item-Table-B --Elemental Gem --2</v>
      </c>
      <c r="K18" s="6" t="s">
        <v>65</v>
      </c>
      <c r="L18" s="6" t="s">
        <v>1397</v>
      </c>
      <c r="M18" s="6">
        <v>3</v>
      </c>
      <c r="N18" s="9" t="str">
        <f>IF(M18=0,"-",IF(M18=1,SUM(M$1:M17)+1,SUM(M$1:M17)+1 &amp; "-" &amp; SUM(M$1:M18)))</f>
        <v>85-87</v>
      </c>
      <c r="O18" s="6" t="str">
        <f t="shared" si="1"/>
        <v>!import-table-item --Magic-Item-Table-C --Scroll of Protection --3</v>
      </c>
      <c r="S18" s="9"/>
      <c r="X18" s="9"/>
      <c r="Z18" s="6" t="s">
        <v>113</v>
      </c>
      <c r="AA18" s="6" t="s">
        <v>1397</v>
      </c>
      <c r="AB18" s="6">
        <v>2</v>
      </c>
      <c r="AC18" s="9" t="str">
        <f>IF(AB18=0,"-",IF(AB18=1,SUM(AB$1:AB17)+1,SUM(AB$1:AB17)+1 &amp; "-" &amp; SUM(AB$1:AB18)))</f>
        <v>48-49</v>
      </c>
      <c r="AD18" s="6" t="str">
        <f t="shared" si="4"/>
        <v>!import-table-item --Magic-Item-Table-F --Slippers of Spider Climbing --2</v>
      </c>
      <c r="AE18" s="6" t="s">
        <v>171</v>
      </c>
      <c r="AF18" s="6" t="s">
        <v>1397</v>
      </c>
      <c r="AG18" s="6">
        <v>1</v>
      </c>
      <c r="AH18" s="9">
        <f>IF(AG18=0,"-",IF(AG18=1,SUM(AG$1:AG17)+1,SUM(AG$1:AG17)+1 &amp; "-" &amp; SUM(AG$1:AG18)))</f>
        <v>29</v>
      </c>
      <c r="AI18" s="6" t="str">
        <f t="shared" si="5"/>
        <v>!import-table-item --Magic-Item-Table-G --Censer of Controlling Air Elementals --1</v>
      </c>
      <c r="AM18" s="9"/>
      <c r="AO18" s="6" t="s">
        <v>379</v>
      </c>
      <c r="AP18" s="6" t="s">
        <v>1397</v>
      </c>
      <c r="AQ18" s="6">
        <v>2</v>
      </c>
      <c r="AR18" s="9" t="str">
        <f>IF(AQ18=0,"-",IF(AQ18=1,SUM(AQ$1:AQ17)+1,SUM(AQ$1:AQ17)+1 &amp; "-" &amp; SUM(AQ$1:AQ18)))</f>
        <v>41-42</v>
      </c>
      <c r="AS18" s="6" t="str">
        <f t="shared" si="7"/>
        <v>!import-table-item --Magic-Item-Table-H --Staff of Frost --2</v>
      </c>
      <c r="AT18" s="6" t="s">
        <v>321</v>
      </c>
      <c r="AU18" s="6" t="s">
        <v>1397</v>
      </c>
      <c r="AV18" s="6">
        <v>2</v>
      </c>
      <c r="AW18" s="9" t="str">
        <f>IF(AV18=0,"-",IF(AV18=1,SUM(AV$1:AV17)+1,SUM(AV$1:AV17)+1 &amp; "-" &amp; SUM(AV$1:AV18)))</f>
        <v>52-53</v>
      </c>
      <c r="AX18" s="6" t="str">
        <f t="shared" si="8"/>
        <v>!import-table-item --Magic-Item-Table-I --Crystal Ball (legendary version) --2</v>
      </c>
      <c r="BB18" s="9"/>
    </row>
    <row r="19" spans="4:54" x14ac:dyDescent="0.25">
      <c r="D19" s="9"/>
      <c r="F19" s="6" t="s">
        <v>33</v>
      </c>
      <c r="G19" s="6" t="s">
        <v>1397</v>
      </c>
      <c r="H19" s="6">
        <v>2</v>
      </c>
      <c r="I19" s="9" t="str">
        <f>IF(H19=0,"-",IF(H19=1,SUM(H$1:H18)+1,SUM(H$1:H18)+1 &amp; "-" &amp; SUM(H$1:H19)))</f>
        <v>82-83</v>
      </c>
      <c r="J19" s="6" t="str">
        <f t="shared" si="0"/>
        <v>!import-table-item --Magic-Item-Table-B --Philter of Love --2</v>
      </c>
      <c r="K19" s="6" t="s">
        <v>66</v>
      </c>
      <c r="L19" s="6" t="s">
        <v>1397</v>
      </c>
      <c r="M19" s="6">
        <v>2</v>
      </c>
      <c r="N19" s="9" t="str">
        <f>IF(M19=0,"-",IF(M19=1,SUM(M$1:M18)+1,SUM(M$1:M18)+1 &amp; "-" &amp; SUM(M$1:M19)))</f>
        <v>88-89</v>
      </c>
      <c r="O19" s="6" t="str">
        <f t="shared" si="1"/>
        <v>!import-table-item --Magic-Item-Table-C --Bag of Beans --2</v>
      </c>
      <c r="S19" s="9"/>
      <c r="X19" s="9"/>
      <c r="Z19" s="6" t="s">
        <v>114</v>
      </c>
      <c r="AA19" s="6" t="s">
        <v>1397</v>
      </c>
      <c r="AB19" s="6">
        <v>2</v>
      </c>
      <c r="AC19" s="9" t="str">
        <f>IF(AB19=0,"-",IF(AB19=1,SUM(AB$1:AB18)+1,SUM(AB$1:AB18)+1 &amp; "-" &amp; SUM(AB$1:AB19)))</f>
        <v>50-51</v>
      </c>
      <c r="AD19" s="6" t="str">
        <f t="shared" si="4"/>
        <v>!import-table-item --Magic-Item-Table-F --Staff of the Adder --2</v>
      </c>
      <c r="AE19" s="6" t="s">
        <v>172</v>
      </c>
      <c r="AF19" s="6" t="s">
        <v>1397</v>
      </c>
      <c r="AG19" s="6">
        <v>1</v>
      </c>
      <c r="AH19" s="9">
        <f>IF(AG19=0,"-",IF(AG19=1,SUM(AG$1:AG18)+1,SUM(AG$1:AG18)+1 &amp; "-" &amp; SUM(AG$1:AG19)))</f>
        <v>30</v>
      </c>
      <c r="AI19" s="6" t="str">
        <f t="shared" si="5"/>
        <v>!import-table-item --Magic-Item-Table-G --Armor, +1 chain mail --1</v>
      </c>
      <c r="AM19" s="9"/>
      <c r="AO19" s="6" t="s">
        <v>256</v>
      </c>
      <c r="AP19" s="6" t="s">
        <v>1397</v>
      </c>
      <c r="AQ19" s="6">
        <v>2</v>
      </c>
      <c r="AR19" s="9" t="str">
        <f>IF(AQ19=0,"-",IF(AQ19=1,SUM(AQ$1:AQ18)+1,SUM(AQ$1:AQ18)+1 &amp; "-" &amp; SUM(AQ$1:AQ19)))</f>
        <v>43-44</v>
      </c>
      <c r="AS19" s="6" t="str">
        <f t="shared" si="7"/>
        <v>!import-table-item --Magic-Item-Table-H --Staff of Power --2</v>
      </c>
      <c r="AT19" s="6" t="s">
        <v>322</v>
      </c>
      <c r="AU19" s="6" t="s">
        <v>1397</v>
      </c>
      <c r="AV19" s="6">
        <v>2</v>
      </c>
      <c r="AW19" s="9" t="str">
        <f>IF(AV19=0,"-",IF(AV19=1,SUM(AV$1:AV18)+1,SUM(AV$1:AV18)+1 &amp; "-" &amp; SUM(AV$1:AV19)))</f>
        <v>54-55</v>
      </c>
      <c r="AX19" s="6" t="str">
        <f t="shared" si="8"/>
        <v>!import-table-item --Magic-Item-Table-I --Armor, +1 half plate --2</v>
      </c>
      <c r="BB19" s="9"/>
    </row>
    <row r="20" spans="4:54" x14ac:dyDescent="0.25">
      <c r="D20" s="9"/>
      <c r="F20" s="6" t="s">
        <v>34</v>
      </c>
      <c r="G20" s="6" t="s">
        <v>1397</v>
      </c>
      <c r="H20" s="6">
        <v>1</v>
      </c>
      <c r="I20" s="9">
        <f>IF(H20=0,"-",IF(H20=1,SUM(H$1:H19)+1,SUM(H$1:H19)+1 &amp; "-" &amp; SUM(H$1:H20)))</f>
        <v>84</v>
      </c>
      <c r="J20" s="6" t="str">
        <f t="shared" si="0"/>
        <v>!import-table-item --Magic-Item-Table-B --Alchemy Jug --1</v>
      </c>
      <c r="K20" s="6" t="s">
        <v>67</v>
      </c>
      <c r="L20" s="6" t="s">
        <v>1397</v>
      </c>
      <c r="M20" s="6">
        <v>2</v>
      </c>
      <c r="N20" s="9" t="str">
        <f>IF(M20=0,"-",IF(M20=1,SUM(M$1:M19)+1,SUM(M$1:M19)+1 &amp; "-" &amp; SUM(M$1:M20)))</f>
        <v>90-91</v>
      </c>
      <c r="O20" s="6" t="str">
        <f t="shared" si="1"/>
        <v>!import-table-item --Magic-Item-Table-C --Bead of Force --2</v>
      </c>
      <c r="S20" s="9"/>
      <c r="X20" s="9"/>
      <c r="Z20" s="6" t="s">
        <v>115</v>
      </c>
      <c r="AA20" s="6" t="s">
        <v>1397</v>
      </c>
      <c r="AB20" s="6">
        <v>2</v>
      </c>
      <c r="AC20" s="9" t="str">
        <f>IF(AB20=0,"-",IF(AB20=1,SUM(AB$1:AB19)+1,SUM(AB$1:AB19)+1 &amp; "-" &amp; SUM(AB$1:AB20)))</f>
        <v>52-53</v>
      </c>
      <c r="AD20" s="6" t="str">
        <f t="shared" si="4"/>
        <v>!import-table-item --Magic-Item-Table-F --Staff of the Python --2</v>
      </c>
      <c r="AE20" s="6" t="s">
        <v>173</v>
      </c>
      <c r="AF20" s="6" t="s">
        <v>1397</v>
      </c>
      <c r="AG20" s="6">
        <v>1</v>
      </c>
      <c r="AH20" s="9">
        <f>IF(AG20=0,"-",IF(AG20=1,SUM(AG$1:AG19)+1,SUM(AG$1:AG19)+1 &amp; "-" &amp; SUM(AG$1:AG20)))</f>
        <v>31</v>
      </c>
      <c r="AI20" s="6" t="str">
        <f t="shared" si="5"/>
        <v>!import-table-item --Magic-Item-Table-G --Armor of Resistance (chain mail) --1</v>
      </c>
      <c r="AM20" s="9"/>
      <c r="AO20" s="6" t="s">
        <v>257</v>
      </c>
      <c r="AP20" s="6" t="s">
        <v>1397</v>
      </c>
      <c r="AQ20" s="6">
        <v>2</v>
      </c>
      <c r="AR20" s="9" t="str">
        <f>IF(AQ20=0,"-",IF(AQ20=1,SUM(AQ$1:AQ19)+1,SUM(AQ$1:AQ19)+1 &amp; "-" &amp; SUM(AQ$1:AQ20)))</f>
        <v>45-46</v>
      </c>
      <c r="AS20" s="6" t="str">
        <f t="shared" si="7"/>
        <v>!import-table-item --Magic-Item-Table-H --Staff of Striking --2</v>
      </c>
      <c r="AT20" s="6" t="s">
        <v>323</v>
      </c>
      <c r="AU20" s="6" t="s">
        <v>1397</v>
      </c>
      <c r="AV20" s="6">
        <v>2</v>
      </c>
      <c r="AW20" s="9" t="str">
        <f>IF(AV20=0,"-",IF(AV20=1,SUM(AV$1:AV19)+1,SUM(AV$1:AV19)+1 &amp; "-" &amp; SUM(AV$1:AV20)))</f>
        <v>56-57</v>
      </c>
      <c r="AX20" s="6" t="str">
        <f t="shared" si="8"/>
        <v>!import-table-item --Magic-Item-Table-I --Iron Flask --2</v>
      </c>
      <c r="BB20" s="9"/>
    </row>
    <row r="21" spans="4:54" x14ac:dyDescent="0.25">
      <c r="D21" s="9"/>
      <c r="F21" s="6" t="s">
        <v>35</v>
      </c>
      <c r="G21" s="6" t="s">
        <v>1397</v>
      </c>
      <c r="H21" s="6">
        <v>1</v>
      </c>
      <c r="I21" s="9">
        <f>IF(H21=0,"-",IF(H21=1,SUM(H$1:H20)+1,SUM(H$1:H20)+1 &amp; "-" &amp; SUM(H$1:H21)))</f>
        <v>85</v>
      </c>
      <c r="J21" s="6" t="str">
        <f t="shared" si="0"/>
        <v>!import-table-item --Magic-Item-Table-B --Cap of Water Breathing --1</v>
      </c>
      <c r="K21" s="6" t="s">
        <v>68</v>
      </c>
      <c r="L21" s="6" t="s">
        <v>1397</v>
      </c>
      <c r="M21" s="6">
        <v>1</v>
      </c>
      <c r="N21" s="9">
        <f>IF(M21=0,"-",IF(M21=1,SUM(M$1:M20)+1,SUM(M$1:M20)+1 &amp; "-" &amp; SUM(M$1:M21)))</f>
        <v>92</v>
      </c>
      <c r="O21" s="6" t="str">
        <f t="shared" si="1"/>
        <v>!import-table-item --Magic-Item-Table-C --Chime of Opening --1</v>
      </c>
      <c r="S21" s="9"/>
      <c r="X21" s="9"/>
      <c r="Z21" s="6" t="s">
        <v>116</v>
      </c>
      <c r="AA21" s="6" t="s">
        <v>1397</v>
      </c>
      <c r="AB21" s="6">
        <v>2</v>
      </c>
      <c r="AC21" s="9" t="str">
        <f>IF(AB21=0,"-",IF(AB21=1,SUM(AB$1:AB20)+1,SUM(AB$1:AB20)+1 &amp; "-" &amp; SUM(AB$1:AB21)))</f>
        <v>54-55</v>
      </c>
      <c r="AD21" s="6" t="str">
        <f t="shared" si="4"/>
        <v>!import-table-item --Magic-Item-Table-F --Sword of Vengeance --2</v>
      </c>
      <c r="AE21" s="6" t="s">
        <v>174</v>
      </c>
      <c r="AF21" s="6" t="s">
        <v>1397</v>
      </c>
      <c r="AG21" s="6">
        <v>1</v>
      </c>
      <c r="AH21" s="9">
        <f>IF(AG21=0,"-",IF(AG21=1,SUM(AG$1:AG20)+1,SUM(AG$1:AG20)+1 &amp; "-" &amp; SUM(AG$1:AG21)))</f>
        <v>32</v>
      </c>
      <c r="AI21" s="6" t="str">
        <f t="shared" si="5"/>
        <v>!import-table-item --Magic-Item-Table-G --Armor, +1 chain shirt --1</v>
      </c>
      <c r="AM21" s="9"/>
      <c r="AO21" s="6" t="s">
        <v>380</v>
      </c>
      <c r="AP21" s="6" t="s">
        <v>1397</v>
      </c>
      <c r="AQ21" s="6">
        <v>2</v>
      </c>
      <c r="AR21" s="9" t="str">
        <f>IF(AQ21=0,"-",IF(AQ21=1,SUM(AQ$1:AQ20)+1,SUM(AQ$1:AQ20)+1 &amp; "-" &amp; SUM(AQ$1:AQ21)))</f>
        <v>47-48</v>
      </c>
      <c r="AS21" s="6" t="str">
        <f t="shared" si="7"/>
        <v>!import-table-item --Magic-Item-Table-H --Staff of Thunder and Lightning --2</v>
      </c>
      <c r="AT21" s="6" t="s">
        <v>324</v>
      </c>
      <c r="AU21" s="6" t="s">
        <v>1397</v>
      </c>
      <c r="AV21" s="6">
        <v>2</v>
      </c>
      <c r="AW21" s="9" t="str">
        <f>IF(AV21=0,"-",IF(AV21=1,SUM(AV$1:AV20)+1,SUM(AV$1:AV20)+1 &amp; "-" &amp; SUM(AV$1:AV21)))</f>
        <v>58-59</v>
      </c>
      <c r="AX21" s="6" t="str">
        <f t="shared" si="8"/>
        <v>!import-table-item --Magic-Item-Table-I --Armor, +3 leather --2</v>
      </c>
      <c r="BB21" s="9"/>
    </row>
    <row r="22" spans="4:54" x14ac:dyDescent="0.25">
      <c r="D22" s="9"/>
      <c r="F22" s="6" t="s">
        <v>36</v>
      </c>
      <c r="G22" s="6" t="s">
        <v>1397</v>
      </c>
      <c r="H22" s="6">
        <v>1</v>
      </c>
      <c r="I22" s="9">
        <f>IF(H22=0,"-",IF(H22=1,SUM(H$1:H21)+1,SUM(H$1:H21)+1 &amp; "-" &amp; SUM(H$1:H22)))</f>
        <v>86</v>
      </c>
      <c r="J22" s="6" t="str">
        <f t="shared" si="0"/>
        <v>!import-table-item --Magic-Item-Table-B --Cloak of the Manta Ray --1</v>
      </c>
      <c r="K22" s="6" t="s">
        <v>69</v>
      </c>
      <c r="L22" s="6" t="s">
        <v>1397</v>
      </c>
      <c r="M22" s="6">
        <v>1</v>
      </c>
      <c r="N22" s="9">
        <f>IF(M22=0,"-",IF(M22=1,SUM(M$1:M21)+1,SUM(M$1:M21)+1 &amp; "-" &amp; SUM(M$1:M22)))</f>
        <v>93</v>
      </c>
      <c r="O22" s="6" t="str">
        <f t="shared" si="1"/>
        <v>!import-table-item --Magic-Item-Table-C --Decanter of Endless Water --1</v>
      </c>
      <c r="S22" s="9"/>
      <c r="X22" s="9"/>
      <c r="Z22" s="6" t="s">
        <v>117</v>
      </c>
      <c r="AA22" s="6" t="s">
        <v>1397</v>
      </c>
      <c r="AB22" s="6">
        <v>2</v>
      </c>
      <c r="AC22" s="9" t="str">
        <f>IF(AB22=0,"-",IF(AB22=1,SUM(AB$1:AB21)+1,SUM(AB$1:AB21)+1 &amp; "-" &amp; SUM(AB$1:AB22)))</f>
        <v>56-57</v>
      </c>
      <c r="AD22" s="6" t="str">
        <f t="shared" si="4"/>
        <v>!import-table-item --Magic-Item-Table-F --Trident of Fish Command --2</v>
      </c>
      <c r="AE22" s="6" t="s">
        <v>175</v>
      </c>
      <c r="AF22" s="6" t="s">
        <v>1397</v>
      </c>
      <c r="AG22" s="6">
        <v>1</v>
      </c>
      <c r="AH22" s="9">
        <f>IF(AG22=0,"-",IF(AG22=1,SUM(AG$1:AG21)+1,SUM(AG$1:AG21)+1 &amp; "-" &amp; SUM(AG$1:AG22)))</f>
        <v>33</v>
      </c>
      <c r="AI22" s="6" t="str">
        <f t="shared" si="5"/>
        <v>!import-table-item --Magic-Item-Table-G --Armor of Resistance (chain shirt) --1</v>
      </c>
      <c r="AM22" s="9"/>
      <c r="AO22" s="6" t="s">
        <v>258</v>
      </c>
      <c r="AP22" s="6" t="s">
        <v>1397</v>
      </c>
      <c r="AQ22" s="6">
        <v>2</v>
      </c>
      <c r="AR22" s="9" t="str">
        <f>IF(AQ22=0,"-",IF(AQ22=1,SUM(AQ$1:AQ21)+1,SUM(AQ$1:AQ21)+1 &amp; "-" &amp; SUM(AQ$1:AQ22)))</f>
        <v>49-50</v>
      </c>
      <c r="AS22" s="6" t="str">
        <f t="shared" si="7"/>
        <v>!import-table-item --Magic-Item-Table-H --Sword of Sharpness --2</v>
      </c>
      <c r="AT22" s="6" t="s">
        <v>325</v>
      </c>
      <c r="AU22" s="6" t="s">
        <v>1397</v>
      </c>
      <c r="AV22" s="6">
        <v>2</v>
      </c>
      <c r="AW22" s="9" t="str">
        <f>IF(AV22=0,"-",IF(AV22=1,SUM(AV$1:AV21)+1,SUM(AV$1:AV21)+1 &amp; "-" &amp; SUM(AV$1:AV22)))</f>
        <v>60-61</v>
      </c>
      <c r="AX22" s="6" t="str">
        <f t="shared" si="8"/>
        <v>!import-table-item --Magic-Item-Table-I --Armor, +1 plate --2</v>
      </c>
      <c r="BB22" s="9"/>
    </row>
    <row r="23" spans="4:54" x14ac:dyDescent="0.25">
      <c r="D23" s="9"/>
      <c r="F23" s="6" t="s">
        <v>18</v>
      </c>
      <c r="G23" s="6" t="s">
        <v>1397</v>
      </c>
      <c r="H23" s="6">
        <v>1</v>
      </c>
      <c r="I23" s="9">
        <f>IF(H23=0,"-",IF(H23=1,SUM(H$1:H22)+1,SUM(H$1:H22)+1 &amp; "-" &amp; SUM(H$1:H23)))</f>
        <v>87</v>
      </c>
      <c r="J23" s="6" t="str">
        <f t="shared" si="0"/>
        <v>!import-table-item --Magic-Item-Table-B --Driftglobe --1</v>
      </c>
      <c r="K23" s="6" t="s">
        <v>70</v>
      </c>
      <c r="L23" s="6" t="s">
        <v>1397</v>
      </c>
      <c r="M23" s="6">
        <v>1</v>
      </c>
      <c r="N23" s="9">
        <f>IF(M23=0,"-",IF(M23=1,SUM(M$1:M22)+1,SUM(M$1:M22)+1 &amp; "-" &amp; SUM(M$1:M23)))</f>
        <v>94</v>
      </c>
      <c r="O23" s="6" t="str">
        <f t="shared" si="1"/>
        <v>!import-table-item --Magic-Item-Table-C --Eyes of Minute Seeing --1</v>
      </c>
      <c r="S23" s="9"/>
      <c r="X23" s="9"/>
      <c r="Z23" s="6" t="s">
        <v>118</v>
      </c>
      <c r="AA23" s="6" t="s">
        <v>1397</v>
      </c>
      <c r="AB23" s="6">
        <v>2</v>
      </c>
      <c r="AC23" s="9" t="str">
        <f>IF(AB23=0,"-",IF(AB23=1,SUM(AB$1:AB22)+1,SUM(AB$1:AB22)+1 &amp; "-" &amp; SUM(AB$1:AB23)))</f>
        <v>58-59</v>
      </c>
      <c r="AD23" s="6" t="str">
        <f t="shared" si="4"/>
        <v>!import-table-item --Magic-Item-Table-F --Wand of Magic Missiles --2</v>
      </c>
      <c r="AE23" s="6" t="s">
        <v>176</v>
      </c>
      <c r="AF23" s="6" t="s">
        <v>1397</v>
      </c>
      <c r="AG23" s="6">
        <v>1</v>
      </c>
      <c r="AH23" s="9">
        <f>IF(AG23=0,"-",IF(AG23=1,SUM(AG$1:AG22)+1,SUM(AG$1:AG22)+1 &amp; "-" &amp; SUM(AG$1:AG23)))</f>
        <v>34</v>
      </c>
      <c r="AI23" s="6" t="str">
        <f t="shared" si="5"/>
        <v>!import-table-item --Magic-Item-Table-G --Cloak of Displacement --1</v>
      </c>
      <c r="AM23" s="9"/>
      <c r="AO23" s="6" t="s">
        <v>259</v>
      </c>
      <c r="AP23" s="6" t="s">
        <v>1397</v>
      </c>
      <c r="AQ23" s="6">
        <v>2</v>
      </c>
      <c r="AR23" s="9" t="str">
        <f>IF(AQ23=0,"-",IF(AQ23=1,SUM(AQ$1:AQ22)+1,SUM(AQ$1:AQ22)+1 &amp; "-" &amp; SUM(AQ$1:AQ23)))</f>
        <v>51-52</v>
      </c>
      <c r="AS23" s="6" t="str">
        <f t="shared" si="7"/>
        <v>!import-table-item --Magic-Item-Table-H --Wand of Polymorph --2</v>
      </c>
      <c r="AT23" s="6" t="s">
        <v>326</v>
      </c>
      <c r="AU23" s="6" t="s">
        <v>1397</v>
      </c>
      <c r="AV23" s="6">
        <v>2</v>
      </c>
      <c r="AW23" s="9" t="str">
        <f>IF(AV23=0,"-",IF(AV23=1,SUM(AV$1:AV22)+1,SUM(AV$1:AV22)+1 &amp; "-" &amp; SUM(AV$1:AV23)))</f>
        <v>62-63</v>
      </c>
      <c r="AX23" s="6" t="str">
        <f t="shared" si="8"/>
        <v>!import-table-item --Magic-Item-Table-I --Robe of the Archmagi --2</v>
      </c>
      <c r="BB23" s="9"/>
    </row>
    <row r="24" spans="4:54" x14ac:dyDescent="0.25">
      <c r="D24" s="9"/>
      <c r="F24" s="6" t="s">
        <v>37</v>
      </c>
      <c r="G24" s="6" t="s">
        <v>1397</v>
      </c>
      <c r="H24" s="6">
        <v>1</v>
      </c>
      <c r="I24" s="9">
        <f>IF(H24=0,"-",IF(H24=1,SUM(H$1:H23)+1,SUM(H$1:H23)+1 &amp; "-" &amp; SUM(H$1:H24)))</f>
        <v>88</v>
      </c>
      <c r="J24" s="6" t="str">
        <f t="shared" si="0"/>
        <v>!import-table-item --Magic-Item-Table-B --Goggles of Night --1</v>
      </c>
      <c r="K24" s="6" t="s">
        <v>71</v>
      </c>
      <c r="L24" s="6" t="s">
        <v>1397</v>
      </c>
      <c r="M24" s="6">
        <v>1</v>
      </c>
      <c r="N24" s="9">
        <f>IF(M24=0,"-",IF(M24=1,SUM(M$1:M23)+1,SUM(M$1:M23)+1 &amp; "-" &amp; SUM(M$1:M24)))</f>
        <v>95</v>
      </c>
      <c r="O24" s="6" t="str">
        <f t="shared" si="1"/>
        <v>!import-table-item --Magic-Item-Table-C --Folding Boat --1</v>
      </c>
      <c r="S24" s="9"/>
      <c r="X24" s="9"/>
      <c r="Z24" s="6" t="s">
        <v>119</v>
      </c>
      <c r="AA24" s="6" t="s">
        <v>1397</v>
      </c>
      <c r="AB24" s="6">
        <v>2</v>
      </c>
      <c r="AC24" s="9" t="str">
        <f>IF(AB24=0,"-",IF(AB24=1,SUM(AB$1:AB23)+1,SUM(AB$1:AB23)+1 &amp; "-" &amp; SUM(AB$1:AB24)))</f>
        <v>60-61</v>
      </c>
      <c r="AD24" s="6" t="str">
        <f t="shared" si="4"/>
        <v>!import-table-item --Magic-Item-Table-F --Wand of the War Mage, +1 --2</v>
      </c>
      <c r="AE24" s="6" t="s">
        <v>177</v>
      </c>
      <c r="AF24" s="6" t="s">
        <v>1397</v>
      </c>
      <c r="AG24" s="6">
        <v>1</v>
      </c>
      <c r="AH24" s="9">
        <f>IF(AG24=0,"-",IF(AG24=1,SUM(AG$1:AG23)+1,SUM(AG$1:AG23)+1 &amp; "-" &amp; SUM(AG$1:AG24)))</f>
        <v>35</v>
      </c>
      <c r="AI24" s="6" t="str">
        <f t="shared" si="5"/>
        <v>!import-table-item --Magic-Item-Table-G --Cloak of the Bat --1</v>
      </c>
      <c r="AM24" s="9"/>
      <c r="AO24" s="6" t="s">
        <v>260</v>
      </c>
      <c r="AP24" s="6" t="s">
        <v>1397</v>
      </c>
      <c r="AQ24" s="6">
        <v>2</v>
      </c>
      <c r="AR24" s="9" t="str">
        <f>IF(AQ24=0,"-",IF(AQ24=1,SUM(AQ$1:AQ23)+1,SUM(AQ$1:AQ23)+1 &amp; "-" &amp; SUM(AQ$1:AQ24)))</f>
        <v>53-54</v>
      </c>
      <c r="AS24" s="6" t="str">
        <f t="shared" si="7"/>
        <v>!import-table-item --Magic-Item-Table-H --Wand of the War Mage, +3 --2</v>
      </c>
      <c r="AT24" s="6" t="s">
        <v>327</v>
      </c>
      <c r="AU24" s="6" t="s">
        <v>1397</v>
      </c>
      <c r="AV24" s="6">
        <v>2</v>
      </c>
      <c r="AW24" s="9" t="str">
        <f>IF(AV24=0,"-",IF(AV24=1,SUM(AV$1:AV23)+1,SUM(AV$1:AV23)+1 &amp; "-" &amp; SUM(AV$1:AV24)))</f>
        <v>64-65</v>
      </c>
      <c r="AX24" s="6" t="str">
        <f t="shared" si="8"/>
        <v>!import-table-item --Magic-Item-Table-I --Rod of Resurrection --2</v>
      </c>
      <c r="BB24" s="9"/>
    </row>
    <row r="25" spans="4:54" x14ac:dyDescent="0.25">
      <c r="D25" s="9"/>
      <c r="F25" s="6" t="s">
        <v>38</v>
      </c>
      <c r="G25" s="6" t="s">
        <v>1397</v>
      </c>
      <c r="H25" s="6">
        <v>1</v>
      </c>
      <c r="I25" s="9">
        <f>IF(H25=0,"-",IF(H25=1,SUM(H$1:H24)+1,SUM(H$1:H24)+1 &amp; "-" &amp; SUM(H$1:H25)))</f>
        <v>89</v>
      </c>
      <c r="J25" s="6" t="str">
        <f t="shared" si="0"/>
        <v>!import-table-item --Magic-Item-Table-B --Helm of Comprehending Languages --1</v>
      </c>
      <c r="K25" s="6" t="s">
        <v>72</v>
      </c>
      <c r="L25" s="6" t="s">
        <v>1397</v>
      </c>
      <c r="M25" s="6">
        <v>1</v>
      </c>
      <c r="N25" s="9">
        <f>IF(M25=0,"-",IF(M25=1,SUM(M$1:M24)+1,SUM(M$1:M24)+1 &amp; "-" &amp; SUM(M$1:M25)))</f>
        <v>96</v>
      </c>
      <c r="O25" s="6" t="str">
        <f t="shared" si="1"/>
        <v>!import-table-item --Magic-Item-Table-C --Heward's Handy Haversack --1</v>
      </c>
      <c r="S25" s="9"/>
      <c r="X25" s="9"/>
      <c r="Z25" s="6" t="s">
        <v>120</v>
      </c>
      <c r="AA25" s="6" t="s">
        <v>1397</v>
      </c>
      <c r="AB25" s="6">
        <v>2</v>
      </c>
      <c r="AC25" s="9" t="str">
        <f>IF(AB25=0,"-",IF(AB25=1,SUM(AB$1:AB24)+1,SUM(AB$1:AB24)+1 &amp; "-" &amp; SUM(AB$1:AB25)))</f>
        <v>62-63</v>
      </c>
      <c r="AD25" s="6" t="str">
        <f t="shared" si="4"/>
        <v>!import-table-item --Magic-Item-Table-F --Wand of Web --2</v>
      </c>
      <c r="AE25" s="6" t="s">
        <v>178</v>
      </c>
      <c r="AF25" s="6" t="s">
        <v>1397</v>
      </c>
      <c r="AG25" s="6">
        <v>1</v>
      </c>
      <c r="AH25" s="9">
        <f>IF(AG25=0,"-",IF(AG25=1,SUM(AG$1:AG24)+1,SUM(AG$1:AG24)+1 &amp; "-" &amp; SUM(AG$1:AG25)))</f>
        <v>36</v>
      </c>
      <c r="AI25" s="6" t="str">
        <f t="shared" si="5"/>
        <v>!import-table-item --Magic-Item-Table-G --Cube of Force --1</v>
      </c>
      <c r="AM25" s="9"/>
      <c r="AO25" s="6" t="s">
        <v>261</v>
      </c>
      <c r="AP25" s="6" t="s">
        <v>1397</v>
      </c>
      <c r="AQ25" s="6">
        <v>1</v>
      </c>
      <c r="AR25" s="9">
        <f>IF(AQ25=0,"-",IF(AQ25=1,SUM(AQ$1:AQ24)+1,SUM(AQ$1:AQ24)+1 &amp; "-" &amp; SUM(AQ$1:AQ25)))</f>
        <v>55</v>
      </c>
      <c r="AS25" s="6" t="str">
        <f t="shared" si="7"/>
        <v>!import-table-item --Magic-Item-Table-H --Adamantine armor (half plate) --1</v>
      </c>
      <c r="AT25" s="6" t="s">
        <v>219</v>
      </c>
      <c r="AU25" s="6" t="s">
        <v>1397</v>
      </c>
      <c r="AV25" s="6">
        <v>2</v>
      </c>
      <c r="AW25" s="9" t="str">
        <f>IF(AV25=0,"-",IF(AV25=1,SUM(AV$1:AV24)+1,SUM(AV$1:AV24)+1 &amp; "-" &amp; SUM(AV$1:AV25)))</f>
        <v>66-67</v>
      </c>
      <c r="AX25" s="6" t="str">
        <f t="shared" si="8"/>
        <v>!import-table-item --Magic-Item-Table-I --Armor, +1 scale mail --2</v>
      </c>
      <c r="BB25" s="9"/>
    </row>
    <row r="26" spans="4:54" x14ac:dyDescent="0.25">
      <c r="D26" s="9"/>
      <c r="F26" s="6" t="s">
        <v>39</v>
      </c>
      <c r="G26" s="6" t="s">
        <v>1397</v>
      </c>
      <c r="H26" s="6">
        <v>1</v>
      </c>
      <c r="I26" s="9">
        <f>IF(H26=0,"-",IF(H26=1,SUM(H$1:H25)+1,SUM(H$1:H25)+1 &amp; "-" &amp; SUM(H$1:H26)))</f>
        <v>90</v>
      </c>
      <c r="J26" s="6" t="str">
        <f t="shared" si="0"/>
        <v>!import-table-item --Magic-Item-Table-B --Immovable Rod --1</v>
      </c>
      <c r="K26" s="6" t="s">
        <v>73</v>
      </c>
      <c r="L26" s="6" t="s">
        <v>1397</v>
      </c>
      <c r="M26" s="6">
        <v>1</v>
      </c>
      <c r="N26" s="9">
        <f>IF(M26=0,"-",IF(M26=1,SUM(M$1:M25)+1,SUM(M$1:M25)+1 &amp; "-" &amp; SUM(M$1:M26)))</f>
        <v>97</v>
      </c>
      <c r="O26" s="6" t="str">
        <f t="shared" si="1"/>
        <v>!import-table-item --Magic-Item-Table-C --Horseshoes of Speed --1</v>
      </c>
      <c r="S26" s="9"/>
      <c r="X26" s="9"/>
      <c r="Z26" s="6" t="s">
        <v>121</v>
      </c>
      <c r="AA26" s="6" t="s">
        <v>1397</v>
      </c>
      <c r="AB26" s="6">
        <v>2</v>
      </c>
      <c r="AC26" s="9" t="str">
        <f>IF(AB26=0,"-",IF(AB26=1,SUM(AB$1:AB25)+1,SUM(AB$1:AB25)+1 &amp; "-" &amp; SUM(AB$1:AB26)))</f>
        <v>64-65</v>
      </c>
      <c r="AD26" s="6" t="str">
        <f t="shared" si="4"/>
        <v>!import-table-item --Magic-Item-Table-F --Weapon of Warning --2</v>
      </c>
      <c r="AE26" s="6" t="s">
        <v>179</v>
      </c>
      <c r="AF26" s="6" t="s">
        <v>1397</v>
      </c>
      <c r="AG26" s="6">
        <v>1</v>
      </c>
      <c r="AH26" s="9">
        <f>IF(AG26=0,"-",IF(AG26=1,SUM(AG$1:AG25)+1,SUM(AG$1:AG25)+1 &amp; "-" &amp; SUM(AG$1:AG26)))</f>
        <v>37</v>
      </c>
      <c r="AI26" s="6" t="str">
        <f t="shared" si="5"/>
        <v>!import-table-item --Magic-Item-Table-G --Daern's Instant Fortress --1</v>
      </c>
      <c r="AM26" s="9"/>
      <c r="AO26" s="6" t="s">
        <v>262</v>
      </c>
      <c r="AP26" s="6" t="s">
        <v>1397</v>
      </c>
      <c r="AQ26" s="6">
        <v>1</v>
      </c>
      <c r="AR26" s="9">
        <f>IF(AQ26=0,"-",IF(AQ26=1,SUM(AQ$1:AQ25)+1,SUM(AQ$1:AQ25)+1 &amp; "-" &amp; SUM(AQ$1:AQ26)))</f>
        <v>56</v>
      </c>
      <c r="AS26" s="6" t="str">
        <f t="shared" si="7"/>
        <v>!import-table-item --Magic-Item-Table-H --Adamantine armor (plate) --1</v>
      </c>
      <c r="AT26" s="6" t="s">
        <v>328</v>
      </c>
      <c r="AU26" s="6" t="s">
        <v>1397</v>
      </c>
      <c r="AV26" s="6">
        <v>2</v>
      </c>
      <c r="AW26" s="9" t="str">
        <f>IF(AV26=0,"-",IF(AV26=1,SUM(AV$1:AV25)+1,SUM(AV$1:AV25)+1 &amp; "-" &amp; SUM(AV$1:AV26)))</f>
        <v>68-69</v>
      </c>
      <c r="AX26" s="6" t="str">
        <f t="shared" si="8"/>
        <v>!import-table-item --Magic-Item-Table-I --Scarab of Protection --2</v>
      </c>
      <c r="BB26" s="9"/>
    </row>
    <row r="27" spans="4:54" x14ac:dyDescent="0.25">
      <c r="D27" s="9"/>
      <c r="F27" s="6" t="s">
        <v>40</v>
      </c>
      <c r="G27" s="6" t="s">
        <v>1397</v>
      </c>
      <c r="H27" s="6">
        <v>1</v>
      </c>
      <c r="I27" s="9">
        <f>IF(H27=0,"-",IF(H27=1,SUM(H$1:H26)+1,SUM(H$1:H26)+1 &amp; "-" &amp; SUM(H$1:H27)))</f>
        <v>91</v>
      </c>
      <c r="J27" s="6" t="str">
        <f t="shared" si="0"/>
        <v>!import-table-item --Magic-Item-Table-B --Lantern of Revealing --1</v>
      </c>
      <c r="K27" s="6" t="s">
        <v>74</v>
      </c>
      <c r="L27" s="6" t="s">
        <v>1397</v>
      </c>
      <c r="M27" s="6">
        <v>1</v>
      </c>
      <c r="N27" s="9">
        <f>IF(M27=0,"-",IF(M27=1,SUM(M$1:M26)+1,SUM(M$1:M26)+1 &amp; "-" &amp; SUM(M$1:M27)))</f>
        <v>98</v>
      </c>
      <c r="O27" s="6" t="str">
        <f t="shared" si="1"/>
        <v>!import-table-item --Magic-Item-Table-C --Necklace of Fireballs --1</v>
      </c>
      <c r="S27" s="9"/>
      <c r="X27" s="9"/>
      <c r="Z27" s="6" t="s">
        <v>122</v>
      </c>
      <c r="AA27" s="6" t="s">
        <v>1397</v>
      </c>
      <c r="AB27" s="6">
        <v>1</v>
      </c>
      <c r="AC27" s="9">
        <f>IF(AB27=0,"-",IF(AB27=1,SUM(AB$1:AB26)+1,SUM(AB$1:AB26)+1 &amp; "-" &amp; SUM(AB$1:AB27)))</f>
        <v>66</v>
      </c>
      <c r="AD27" s="6" t="str">
        <f t="shared" si="4"/>
        <v>!import-table-item --Magic-Item-Table-F --Adamantine Armor (chain mail) --1</v>
      </c>
      <c r="AE27" s="6" t="s">
        <v>180</v>
      </c>
      <c r="AF27" s="6" t="s">
        <v>1397</v>
      </c>
      <c r="AG27" s="6">
        <v>1</v>
      </c>
      <c r="AH27" s="9">
        <f>IF(AG27=0,"-",IF(AG27=1,SUM(AG$1:AG26)+1,SUM(AG$1:AG26)+1 &amp; "-" &amp; SUM(AG$1:AG27)))</f>
        <v>38</v>
      </c>
      <c r="AI27" s="6" t="str">
        <f t="shared" si="5"/>
        <v>!import-table-item --Magic-Item-Table-G --Dagger of Venom --1</v>
      </c>
      <c r="AM27" s="9"/>
      <c r="AO27" s="6" t="s">
        <v>263</v>
      </c>
      <c r="AP27" s="6" t="s">
        <v>1397</v>
      </c>
      <c r="AQ27" s="6">
        <v>1</v>
      </c>
      <c r="AR27" s="9">
        <f>IF(AQ27=0,"-",IF(AQ27=1,SUM(AQ$1:AQ26)+1,SUM(AQ$1:AQ26)+1 &amp; "-" &amp; SUM(AQ$1:AQ27)))</f>
        <v>57</v>
      </c>
      <c r="AS27" s="6" t="str">
        <f t="shared" si="7"/>
        <v>!import-table-item --Magic-Item-Table-H --Animated Shield --1</v>
      </c>
      <c r="AT27" s="6" t="s">
        <v>329</v>
      </c>
      <c r="AU27" s="6" t="s">
        <v>1397</v>
      </c>
      <c r="AV27" s="6">
        <v>2</v>
      </c>
      <c r="AW27" s="9" t="str">
        <f>IF(AV27=0,"-",IF(AV27=1,SUM(AV$1:AV26)+1,SUM(AV$1:AV26)+1 &amp; "-" &amp; SUM(AV$1:AV27)))</f>
        <v>70-71</v>
      </c>
      <c r="AX27" s="6" t="str">
        <f t="shared" si="8"/>
        <v>!import-table-item --Magic-Item-Table-I --Armor, +2 splint --2</v>
      </c>
      <c r="BB27" s="9"/>
    </row>
    <row r="28" spans="4:54" x14ac:dyDescent="0.25">
      <c r="D28" s="9"/>
      <c r="F28" s="6" t="s">
        <v>41</v>
      </c>
      <c r="G28" s="6" t="s">
        <v>1397</v>
      </c>
      <c r="H28" s="6">
        <v>1</v>
      </c>
      <c r="I28" s="9">
        <f>IF(H28=0,"-",IF(H28=1,SUM(H$1:H27)+1,SUM(H$1:H27)+1 &amp; "-" &amp; SUM(H$1:H28)))</f>
        <v>92</v>
      </c>
      <c r="J28" s="6" t="str">
        <f t="shared" si="0"/>
        <v>!import-table-item --Magic-Item-Table-B --Mariner's Armor --1</v>
      </c>
      <c r="K28" s="6" t="s">
        <v>75</v>
      </c>
      <c r="L28" s="6" t="s">
        <v>1397</v>
      </c>
      <c r="M28" s="6">
        <v>1</v>
      </c>
      <c r="N28" s="9">
        <f>IF(M28=0,"-",IF(M28=1,SUM(M$1:M27)+1,SUM(M$1:M27)+1 &amp; "-" &amp; SUM(M$1:M28)))</f>
        <v>99</v>
      </c>
      <c r="O28" s="6" t="str">
        <f t="shared" si="1"/>
        <v>!import-table-item --Magic-Item-Table-C --Periapt of Health --1</v>
      </c>
      <c r="S28" s="9"/>
      <c r="X28" s="9"/>
      <c r="Z28" s="6" t="s">
        <v>123</v>
      </c>
      <c r="AA28" s="6" t="s">
        <v>1397</v>
      </c>
      <c r="AB28" s="6">
        <v>1</v>
      </c>
      <c r="AC28" s="9">
        <f>IF(AB28=0,"-",IF(AB28=1,SUM(AB$1:AB27)+1,SUM(AB$1:AB27)+1 &amp; "-" &amp; SUM(AB$1:AB28)))</f>
        <v>67</v>
      </c>
      <c r="AD28" s="6" t="str">
        <f t="shared" si="4"/>
        <v>!import-table-item --Magic-Item-Table-F --Adamantine Armor (chain shirt) --1</v>
      </c>
      <c r="AE28" s="6" t="s">
        <v>181</v>
      </c>
      <c r="AF28" s="6" t="s">
        <v>1397</v>
      </c>
      <c r="AG28" s="6">
        <v>1</v>
      </c>
      <c r="AH28" s="9">
        <f>IF(AG28=0,"-",IF(AG28=1,SUM(AG$1:AG27)+1,SUM(AG$1:AG27)+1 &amp; "-" &amp; SUM(AG$1:AG28)))</f>
        <v>39</v>
      </c>
      <c r="AI28" s="6" t="str">
        <f t="shared" si="5"/>
        <v>!import-table-item --Magic-Item-Table-G --Dimensional Shackles --1</v>
      </c>
      <c r="AM28" s="9"/>
      <c r="AO28" s="6" t="s">
        <v>264</v>
      </c>
      <c r="AP28" s="6" t="s">
        <v>1397</v>
      </c>
      <c r="AQ28" s="6">
        <v>1</v>
      </c>
      <c r="AR28" s="9">
        <f>IF(AQ28=0,"-",IF(AQ28=1,SUM(AQ$1:AQ27)+1,SUM(AQ$1:AQ27)+1 &amp; "-" &amp; SUM(AQ$1:AQ28)))</f>
        <v>58</v>
      </c>
      <c r="AS28" s="6" t="str">
        <f t="shared" si="7"/>
        <v>!import-table-item --Magic-Item-Table-H --Belt of Fire Giant Strength --1</v>
      </c>
      <c r="AT28" s="6" t="s">
        <v>330</v>
      </c>
      <c r="AU28" s="6" t="s">
        <v>1397</v>
      </c>
      <c r="AV28" s="6">
        <v>2</v>
      </c>
      <c r="AW28" s="9" t="str">
        <f>IF(AV28=0,"-",IF(AV28=1,SUM(AV$1:AV27)+1,SUM(AV$1:AV27)+1 &amp; "-" &amp; SUM(AV$1:AV28)))</f>
        <v>72-73</v>
      </c>
      <c r="AX28" s="6" t="str">
        <f t="shared" si="8"/>
        <v>!import-table-item --Magic-Item-Table-I --Armor, +2 studded leather --2</v>
      </c>
      <c r="BB28" s="9"/>
    </row>
    <row r="29" spans="4:54" x14ac:dyDescent="0.25">
      <c r="D29" s="9"/>
      <c r="F29" s="6" t="s">
        <v>42</v>
      </c>
      <c r="G29" s="6" t="s">
        <v>1397</v>
      </c>
      <c r="H29" s="6">
        <v>1</v>
      </c>
      <c r="I29" s="9">
        <f>IF(H29=0,"-",IF(H29=1,SUM(H$1:H28)+1,SUM(H$1:H28)+1 &amp; "-" &amp; SUM(H$1:H29)))</f>
        <v>93</v>
      </c>
      <c r="J29" s="6" t="str">
        <f t="shared" si="0"/>
        <v>!import-table-item --Magic-Item-Table-B --Mithral Armor --1</v>
      </c>
      <c r="K29" s="6" t="s">
        <v>76</v>
      </c>
      <c r="L29" s="6" t="s">
        <v>1397</v>
      </c>
      <c r="M29" s="6">
        <v>1</v>
      </c>
      <c r="N29" s="9">
        <f>IF(M29=0,"-",IF(M29=1,SUM(M$1:M28)+1,SUM(M$1:M28)+1 &amp; "-" &amp; SUM(M$1:M29)))</f>
        <v>100</v>
      </c>
      <c r="O29" s="6" t="str">
        <f t="shared" si="1"/>
        <v>!import-table-item --Magic-Item-Table-C --Sending Stones --1</v>
      </c>
      <c r="S29" s="9"/>
      <c r="X29" s="9"/>
      <c r="Z29" s="6" t="s">
        <v>124</v>
      </c>
      <c r="AA29" s="6" t="s">
        <v>1397</v>
      </c>
      <c r="AB29" s="6">
        <v>1</v>
      </c>
      <c r="AC29" s="9">
        <f>IF(AB29=0,"-",IF(AB29=1,SUM(AB$1:AB28)+1,SUM(AB$1:AB28)+1 &amp; "-" &amp; SUM(AB$1:AB29)))</f>
        <v>68</v>
      </c>
      <c r="AD29" s="6" t="str">
        <f t="shared" si="4"/>
        <v>!import-table-item --Magic-Item-Table-F --Adamantine Armor (scale mail) --1</v>
      </c>
      <c r="AE29" s="6" t="s">
        <v>182</v>
      </c>
      <c r="AF29" s="6" t="s">
        <v>1397</v>
      </c>
      <c r="AG29" s="6">
        <v>1</v>
      </c>
      <c r="AH29" s="9">
        <f>IF(AG29=0,"-",IF(AG29=1,SUM(AG$1:AG28)+1,SUM(AG$1:AG28)+1 &amp; "-" &amp; SUM(AG$1:AG29)))</f>
        <v>40</v>
      </c>
      <c r="AI29" s="6" t="str">
        <f t="shared" si="5"/>
        <v>!import-table-item --Magic-Item-Table-G --Dragon Slayer --1</v>
      </c>
      <c r="AM29" s="9"/>
      <c r="AO29" s="6" t="s">
        <v>265</v>
      </c>
      <c r="AP29" s="6" t="s">
        <v>1397</v>
      </c>
      <c r="AQ29" s="6">
        <v>1</v>
      </c>
      <c r="AR29" s="9">
        <f>IF(AQ29=0,"-",IF(AQ29=1,SUM(AQ$1:AQ28)+1,SUM(AQ$1:AQ28)+1 &amp; "-" &amp; SUM(AQ$1:AQ29)))</f>
        <v>59</v>
      </c>
      <c r="AS29" s="6" t="str">
        <f t="shared" si="7"/>
        <v>!import-table-item --Magic-Item-Table-H --Belt of frost (or stone) giant strength --1</v>
      </c>
      <c r="AT29" s="6" t="s">
        <v>331</v>
      </c>
      <c r="AU29" s="6" t="s">
        <v>1397</v>
      </c>
      <c r="AV29" s="6">
        <v>2</v>
      </c>
      <c r="AW29" s="9" t="str">
        <f>IF(AV29=0,"-",IF(AV29=1,SUM(AV$1:AV28)+1,SUM(AV$1:AV28)+1 &amp; "-" &amp; SUM(AV$1:AV29)))</f>
        <v>74-75</v>
      </c>
      <c r="AX29" s="6" t="str">
        <f t="shared" si="8"/>
        <v>!import-table-item --Magic-Item-Table-I --Well of Many Worlds --2</v>
      </c>
      <c r="BB29" s="9"/>
    </row>
    <row r="30" spans="4:54" x14ac:dyDescent="0.25">
      <c r="D30" s="9"/>
      <c r="F30" s="6" t="s">
        <v>43</v>
      </c>
      <c r="G30" s="6" t="s">
        <v>1397</v>
      </c>
      <c r="H30" s="6">
        <v>1</v>
      </c>
      <c r="I30" s="9">
        <f>IF(H30=0,"-",IF(H30=1,SUM(H$1:H29)+1,SUM(H$1:H29)+1 &amp; "-" &amp; SUM(H$1:H30)))</f>
        <v>94</v>
      </c>
      <c r="J30" s="6" t="str">
        <f t="shared" si="0"/>
        <v>!import-table-item --Magic-Item-Table-B --Potion of Poison --1</v>
      </c>
      <c r="N30" s="9"/>
      <c r="S30" s="9"/>
      <c r="X30" s="9"/>
      <c r="Z30" s="6" t="s">
        <v>125</v>
      </c>
      <c r="AA30" s="6" t="s">
        <v>1397</v>
      </c>
      <c r="AB30" s="6">
        <v>1</v>
      </c>
      <c r="AC30" s="9">
        <f>IF(AB30=0,"-",IF(AB30=1,SUM(AB$1:AB29)+1,SUM(AB$1:AB29)+1 &amp; "-" &amp; SUM(AB$1:AB30)))</f>
        <v>69</v>
      </c>
      <c r="AD30" s="6" t="str">
        <f t="shared" si="4"/>
        <v>!import-table-item --Magic-Item-Table-F --Bag of Tricks (gray) --1</v>
      </c>
      <c r="AE30" s="6" t="s">
        <v>183</v>
      </c>
      <c r="AF30" s="6" t="s">
        <v>1397</v>
      </c>
      <c r="AG30" s="6">
        <v>1</v>
      </c>
      <c r="AH30" s="9">
        <f>IF(AG30=0,"-",IF(AG30=1,SUM(AG$1:AG29)+1,SUM(AG$1:AG29)+1 &amp; "-" &amp; SUM(AG$1:AG30)))</f>
        <v>41</v>
      </c>
      <c r="AI30" s="6" t="str">
        <f t="shared" si="5"/>
        <v>!import-table-item --Magic-Item-Table-G --Elven Chain --1</v>
      </c>
      <c r="AM30" s="9"/>
      <c r="AO30" s="6" t="s">
        <v>266</v>
      </c>
      <c r="AP30" s="6" t="s">
        <v>1397</v>
      </c>
      <c r="AQ30" s="6">
        <v>1</v>
      </c>
      <c r="AR30" s="9">
        <f>IF(AQ30=0,"-",IF(AQ30=1,SUM(AQ$1:AQ29)+1,SUM(AQ$1:AQ29)+1 &amp; "-" &amp; SUM(AQ$1:AQ30)))</f>
        <v>60</v>
      </c>
      <c r="AS30" s="6" t="str">
        <f t="shared" si="7"/>
        <v>!import-table-item --Magic-Item-Table-H --Armor, +1 breastplate --1</v>
      </c>
      <c r="AT30" s="6" t="s">
        <v>332</v>
      </c>
      <c r="AU30" s="6" t="s">
        <v>1397</v>
      </c>
      <c r="AV30" s="6">
        <v>1</v>
      </c>
      <c r="AW30" s="9">
        <f>IF(AV30=0,"-",IF(AV30=1,SUM(AV$1:AV29)+1,SUM(AV$1:AV29)+1 &amp; "-" &amp; SUM(AV$1:AV30)))</f>
        <v>76</v>
      </c>
      <c r="AX30" s="6" t="str">
        <f t="shared" si="8"/>
        <v>!import-table-item --Magic-Item-Table-I --Magic Armor (roll d12) --1</v>
      </c>
      <c r="BB30" s="9"/>
    </row>
    <row r="31" spans="4:54" x14ac:dyDescent="0.25">
      <c r="D31" s="9"/>
      <c r="F31" s="6" t="s">
        <v>44</v>
      </c>
      <c r="G31" s="6" t="s">
        <v>1397</v>
      </c>
      <c r="H31" s="6">
        <v>1</v>
      </c>
      <c r="I31" s="9">
        <f>IF(H31=0,"-",IF(H31=1,SUM(H$1:H30)+1,SUM(H$1:H30)+1 &amp; "-" &amp; SUM(H$1:H31)))</f>
        <v>95</v>
      </c>
      <c r="J31" s="6" t="str">
        <f t="shared" si="0"/>
        <v>!import-table-item --Magic-Item-Table-B --Ring of Swimming --1</v>
      </c>
      <c r="N31" s="9"/>
      <c r="S31" s="9"/>
      <c r="X31" s="9"/>
      <c r="Z31" s="6" t="s">
        <v>126</v>
      </c>
      <c r="AA31" s="6" t="s">
        <v>1397</v>
      </c>
      <c r="AB31" s="6">
        <v>1</v>
      </c>
      <c r="AC31" s="9">
        <f>IF(AB31=0,"-",IF(AB31=1,SUM(AB$1:AB30)+1,SUM(AB$1:AB30)+1 &amp; "-" &amp; SUM(AB$1:AB31)))</f>
        <v>70</v>
      </c>
      <c r="AD31" s="6" t="str">
        <f t="shared" si="4"/>
        <v>!import-table-item --Magic-Item-Table-F --Bag of Tricks (rust) --1</v>
      </c>
      <c r="AE31" s="6" t="s">
        <v>184</v>
      </c>
      <c r="AF31" s="6" t="s">
        <v>1397</v>
      </c>
      <c r="AG31" s="6">
        <v>1</v>
      </c>
      <c r="AH31" s="9">
        <f>IF(AG31=0,"-",IF(AG31=1,SUM(AG$1:AG30)+1,SUM(AG$1:AG30)+1 &amp; "-" &amp; SUM(AG$1:AG31)))</f>
        <v>42</v>
      </c>
      <c r="AI31" s="6" t="str">
        <f t="shared" si="5"/>
        <v>!import-table-item --Magic-Item-Table-G --Flame Tongue --1</v>
      </c>
      <c r="AM31" s="9"/>
      <c r="AO31" s="6" t="s">
        <v>267</v>
      </c>
      <c r="AP31" s="6" t="s">
        <v>1397</v>
      </c>
      <c r="AQ31" s="6">
        <v>1</v>
      </c>
      <c r="AR31" s="9">
        <f>IF(AQ31=0,"-",IF(AQ31=1,SUM(AQ$1:AQ30)+1,SUM(AQ$1:AQ30)+1 &amp; "-" &amp; SUM(AQ$1:AQ31)))</f>
        <v>61</v>
      </c>
      <c r="AS31" s="6" t="str">
        <f t="shared" si="7"/>
        <v>!import-table-item --Magic-Item-Table-H --Armor of Resistance (breastplate) --1</v>
      </c>
      <c r="AT31" s="6" t="s">
        <v>333</v>
      </c>
      <c r="AU31" s="6" t="s">
        <v>1397</v>
      </c>
      <c r="AV31" s="6">
        <v>1</v>
      </c>
      <c r="AW31" s="9">
        <f>IF(AV31=0,"-",IF(AV31=1,SUM(AV$1:AV30)+1,SUM(AV$1:AV30)+1 &amp; "-" &amp; SUM(AV$1:AV31)))</f>
        <v>77</v>
      </c>
      <c r="AX31" s="6" t="str">
        <f t="shared" si="8"/>
        <v>!import-table-item --Magic-Item-Table-I --Apparatus of Kwalish --1</v>
      </c>
      <c r="BB31" s="9"/>
    </row>
    <row r="32" spans="4:54" x14ac:dyDescent="0.25">
      <c r="F32" s="6" t="s">
        <v>45</v>
      </c>
      <c r="G32" s="6" t="s">
        <v>1397</v>
      </c>
      <c r="H32" s="6">
        <v>1</v>
      </c>
      <c r="I32" s="9">
        <f>IF(H32=0,"-",IF(H32=1,SUM(H$1:H31)+1,SUM(H$1:H31)+1 &amp; "-" &amp; SUM(H$1:H32)))</f>
        <v>96</v>
      </c>
      <c r="J32" s="6" t="str">
        <f t="shared" si="0"/>
        <v>!import-table-item --Magic-Item-Table-B --Robe of Useful Items --1</v>
      </c>
      <c r="Z32" s="6" t="s">
        <v>127</v>
      </c>
      <c r="AA32" s="6" t="s">
        <v>1397</v>
      </c>
      <c r="AB32" s="6">
        <v>1</v>
      </c>
      <c r="AC32" s="9">
        <f>IF(AB32=0,"-",IF(AB32=1,SUM(AB$1:AB31)+1,SUM(AB$1:AB31)+1 &amp; "-" &amp; SUM(AB$1:AB32)))</f>
        <v>71</v>
      </c>
      <c r="AD32" s="6" t="str">
        <f t="shared" si="4"/>
        <v>!import-table-item --Magic-Item-Table-F --Bag of tricks (tan) --1</v>
      </c>
      <c r="AE32" s="6" t="s">
        <v>185</v>
      </c>
      <c r="AF32" s="6" t="s">
        <v>1397</v>
      </c>
      <c r="AG32" s="6">
        <v>1</v>
      </c>
      <c r="AH32" s="9">
        <f>IF(AG32=0,"-",IF(AG32=1,SUM(AG$1:AG31)+1,SUM(AG$1:AG31)+1 &amp; "-" &amp; SUM(AG$1:AG32)))</f>
        <v>43</v>
      </c>
      <c r="AI32" s="6" t="str">
        <f t="shared" si="5"/>
        <v>!import-table-item --Magic-Item-Table-G --Gem of Seeing --1</v>
      </c>
      <c r="AO32" s="6" t="s">
        <v>268</v>
      </c>
      <c r="AP32" s="6" t="s">
        <v>1397</v>
      </c>
      <c r="AQ32" s="6">
        <v>1</v>
      </c>
      <c r="AR32" s="9">
        <f>IF(AQ32=0,"-",IF(AQ32=1,SUM(AQ$1:AQ31)+1,SUM(AQ$1:AQ31)+1 &amp; "-" &amp; SUM(AQ$1:AQ32)))</f>
        <v>62</v>
      </c>
      <c r="AS32" s="6" t="str">
        <f t="shared" si="7"/>
        <v>!import-table-item --Magic-Item-Table-H --Candle of Invocation --1</v>
      </c>
      <c r="AT32" s="6" t="s">
        <v>334</v>
      </c>
      <c r="AU32" s="6" t="s">
        <v>1397</v>
      </c>
      <c r="AV32" s="6">
        <v>1</v>
      </c>
      <c r="AW32" s="9">
        <f>IF(AV32=0,"-",IF(AV32=1,SUM(AV$1:AV31)+1,SUM(AV$1:AV31)+1 &amp; "-" &amp; SUM(AV$1:AV32)))</f>
        <v>78</v>
      </c>
      <c r="AX32" s="6" t="str">
        <f t="shared" si="8"/>
        <v>!import-table-item --Magic-Item-Table-I --Armor of Invulnerability --1</v>
      </c>
    </row>
    <row r="33" spans="6:50" x14ac:dyDescent="0.25">
      <c r="F33" s="6" t="s">
        <v>46</v>
      </c>
      <c r="G33" s="6" t="s">
        <v>1397</v>
      </c>
      <c r="H33" s="6">
        <v>1</v>
      </c>
      <c r="I33" s="9">
        <f>IF(H33=0,"-",IF(H33=1,SUM(H$1:H32)+1,SUM(H$1:H32)+1 &amp; "-" &amp; SUM(H$1:H33)))</f>
        <v>97</v>
      </c>
      <c r="J33" s="6" t="str">
        <f t="shared" si="0"/>
        <v>!import-table-item --Magic-Item-Table-B --Rope of Climbing --1</v>
      </c>
      <c r="Z33" s="6" t="s">
        <v>128</v>
      </c>
      <c r="AA33" s="6" t="s">
        <v>1397</v>
      </c>
      <c r="AB33" s="6">
        <v>1</v>
      </c>
      <c r="AC33" s="9">
        <f>IF(AB33=0,"-",IF(AB33=1,SUM(AB$1:AB32)+1,SUM(AB$1:AB32)+1 &amp; "-" &amp; SUM(AB$1:AB33)))</f>
        <v>72</v>
      </c>
      <c r="AD33" s="6" t="str">
        <f t="shared" si="4"/>
        <v>!import-table-item --Magic-Item-Table-F --Boots of the Winterlands --1</v>
      </c>
      <c r="AE33" s="6" t="s">
        <v>186</v>
      </c>
      <c r="AF33" s="6" t="s">
        <v>1397</v>
      </c>
      <c r="AG33" s="6">
        <v>1</v>
      </c>
      <c r="AH33" s="9">
        <f>IF(AG33=0,"-",IF(AG33=1,SUM(AG$1:AG32)+1,SUM(AG$1:AG32)+1 &amp; "-" &amp; SUM(AG$1:AG33)))</f>
        <v>44</v>
      </c>
      <c r="AI33" s="6" t="str">
        <f t="shared" si="5"/>
        <v>!import-table-item --Magic-Item-Table-G --Giant Slayer --1</v>
      </c>
      <c r="AO33" s="6" t="s">
        <v>269</v>
      </c>
      <c r="AP33" s="6" t="s">
        <v>1397</v>
      </c>
      <c r="AQ33" s="6">
        <v>1</v>
      </c>
      <c r="AR33" s="9">
        <f>IF(AQ33=0,"-",IF(AQ33=1,SUM(AQ$1:AQ32)+1,SUM(AQ$1:AQ32)+1 &amp; "-" &amp; SUM(AQ$1:AQ33)))</f>
        <v>63</v>
      </c>
      <c r="AS33" s="6" t="str">
        <f t="shared" si="7"/>
        <v>!import-table-item --Magic-Item-Table-H --Armor, +2 chain mail --1</v>
      </c>
      <c r="AT33" s="6" t="s">
        <v>335</v>
      </c>
      <c r="AU33" s="6" t="s">
        <v>1397</v>
      </c>
      <c r="AV33" s="6">
        <v>1</v>
      </c>
      <c r="AW33" s="9">
        <f>IF(AV33=0,"-",IF(AV33=1,SUM(AV$1:AV32)+1,SUM(AV$1:AV32)+1 &amp; "-" &amp; SUM(AV$1:AV33)))</f>
        <v>79</v>
      </c>
      <c r="AX33" s="6" t="str">
        <f t="shared" si="8"/>
        <v>!import-table-item --Magic-Item-Table-I --Belt of Storm Giant Strength --1</v>
      </c>
    </row>
    <row r="34" spans="6:50" x14ac:dyDescent="0.25">
      <c r="F34" s="6" t="s">
        <v>47</v>
      </c>
      <c r="G34" s="6" t="s">
        <v>1397</v>
      </c>
      <c r="H34" s="6">
        <v>1</v>
      </c>
      <c r="I34" s="9">
        <f>IF(H34=0,"-",IF(H34=1,SUM(H$1:H33)+1,SUM(H$1:H33)+1 &amp; "-" &amp; SUM(H$1:H34)))</f>
        <v>98</v>
      </c>
      <c r="J34" s="6" t="str">
        <f t="shared" si="0"/>
        <v>!import-table-item --Magic-Item-Table-B --Saddle of the Cavalier --1</v>
      </c>
      <c r="Z34" s="6" t="s">
        <v>129</v>
      </c>
      <c r="AA34" s="6" t="s">
        <v>1397</v>
      </c>
      <c r="AB34" s="6">
        <v>1</v>
      </c>
      <c r="AC34" s="9">
        <f>IF(AB34=0,"-",IF(AB34=1,SUM(AB$1:AB33)+1,SUM(AB$1:AB33)+1 &amp; "-" &amp; SUM(AB$1:AB34)))</f>
        <v>73</v>
      </c>
      <c r="AD34" s="6" t="str">
        <f t="shared" ref="AD34:AD61" si="11">"!import-table-item --" &amp; Z$1 &amp; " --" &amp; Z34 &amp; " --" &amp; AB34</f>
        <v>!import-table-item --Magic-Item-Table-F --Circlet of Blasting --1</v>
      </c>
      <c r="AE34" s="6" t="s">
        <v>187</v>
      </c>
      <c r="AF34" s="6" t="s">
        <v>1397</v>
      </c>
      <c r="AG34" s="6">
        <v>1</v>
      </c>
      <c r="AH34" s="9">
        <f>IF(AG34=0,"-",IF(AG34=1,SUM(AG$1:AG33)+1,SUM(AG$1:AG33)+1 &amp; "-" &amp; SUM(AG$1:AG34)))</f>
        <v>45</v>
      </c>
      <c r="AI34" s="6" t="str">
        <f t="shared" ref="AI34:AI65" si="12">"!import-table-item --" &amp; AE$1 &amp; " --" &amp; AE34 &amp; " --" &amp; AG34</f>
        <v>!import-table-item --Magic-Item-Table-G --Glamoured Studded Leather --1</v>
      </c>
      <c r="AO34" s="6" t="s">
        <v>270</v>
      </c>
      <c r="AP34" s="6" t="s">
        <v>1397</v>
      </c>
      <c r="AQ34" s="6">
        <v>1</v>
      </c>
      <c r="AR34" s="9">
        <f>IF(AQ34=0,"-",IF(AQ34=1,SUM(AQ$1:AQ33)+1,SUM(AQ$1:AQ33)+1 &amp; "-" &amp; SUM(AQ$1:AQ34)))</f>
        <v>64</v>
      </c>
      <c r="AS34" s="6" t="str">
        <f t="shared" ref="AS34:AS70" si="13">"!import-table-item --" &amp; AO$1 &amp; " --" &amp; AO34 &amp; " --" &amp; AQ34</f>
        <v>!import-table-item --Magic-Item-Table-H --Armor, +2 chain shirt --1</v>
      </c>
      <c r="AT34" s="6" t="s">
        <v>336</v>
      </c>
      <c r="AU34" s="6" t="s">
        <v>1397</v>
      </c>
      <c r="AV34" s="6">
        <v>1</v>
      </c>
      <c r="AW34" s="9">
        <f>IF(AV34=0,"-",IF(AV34=1,SUM(AV$1:AV33)+1,SUM(AV$1:AV33)+1 &amp; "-" &amp; SUM(AV$1:AV34)))</f>
        <v>80</v>
      </c>
      <c r="AX34" s="6" t="str">
        <f t="shared" ref="AX34:AX54" si="14">"!import-table-item --" &amp; AT$1 &amp; " --" &amp; AT34 &amp; " --" &amp; AV34</f>
        <v>!import-table-item --Magic-Item-Table-I --Cubic Gate --1</v>
      </c>
    </row>
    <row r="35" spans="6:50" x14ac:dyDescent="0.25">
      <c r="F35" s="6" t="s">
        <v>48</v>
      </c>
      <c r="G35" s="6" t="s">
        <v>1397</v>
      </c>
      <c r="H35" s="6">
        <v>1</v>
      </c>
      <c r="I35" s="9">
        <f>IF(H35=0,"-",IF(H35=1,SUM(H$1:H34)+1,SUM(H$1:H34)+1 &amp; "-" &amp; SUM(H$1:H35)))</f>
        <v>99</v>
      </c>
      <c r="J35" s="6" t="str">
        <f t="shared" si="0"/>
        <v>!import-table-item --Magic-Item-Table-B --Wand of Magic Detection --1</v>
      </c>
      <c r="Z35" s="6" t="s">
        <v>130</v>
      </c>
      <c r="AA35" s="6" t="s">
        <v>1397</v>
      </c>
      <c r="AB35" s="6">
        <v>1</v>
      </c>
      <c r="AC35" s="9">
        <f>IF(AB35=0,"-",IF(AB35=1,SUM(AB$1:AB34)+1,SUM(AB$1:AB34)+1 &amp; "-" &amp; SUM(AB$1:AB35)))</f>
        <v>74</v>
      </c>
      <c r="AD35" s="6" t="str">
        <f t="shared" si="11"/>
        <v>!import-table-item --Magic-Item-Table-F --Deck of Illusions --1</v>
      </c>
      <c r="AE35" s="6" t="s">
        <v>188</v>
      </c>
      <c r="AF35" s="6" t="s">
        <v>1397</v>
      </c>
      <c r="AG35" s="6">
        <v>1</v>
      </c>
      <c r="AH35" s="9">
        <f>IF(AG35=0,"-",IF(AG35=1,SUM(AG$1:AG34)+1,SUM(AG$1:AG34)+1 &amp; "-" &amp; SUM(AG$1:AG35)))</f>
        <v>46</v>
      </c>
      <c r="AI35" s="6" t="str">
        <f t="shared" si="12"/>
        <v>!import-table-item --Magic-Item-Table-G --Helm of Teleportation --1</v>
      </c>
      <c r="AO35" s="6" t="s">
        <v>271</v>
      </c>
      <c r="AP35" s="6" t="s">
        <v>1397</v>
      </c>
      <c r="AQ35" s="6">
        <v>1</v>
      </c>
      <c r="AR35" s="9">
        <f>IF(AQ35=0,"-",IF(AQ35=1,SUM(AQ$1:AQ34)+1,SUM(AQ$1:AQ34)+1 &amp; "-" &amp; SUM(AQ$1:AQ35)))</f>
        <v>65</v>
      </c>
      <c r="AS35" s="6" t="str">
        <f t="shared" si="13"/>
        <v>!import-table-item --Magic-Item-Table-H --Cloak of Arachnida --1</v>
      </c>
      <c r="AT35" s="6" t="s">
        <v>337</v>
      </c>
      <c r="AU35" s="6" t="s">
        <v>1397</v>
      </c>
      <c r="AV35" s="6">
        <v>1</v>
      </c>
      <c r="AW35" s="9">
        <f>IF(AV35=0,"-",IF(AV35=1,SUM(AV$1:AV34)+1,SUM(AV$1:AV34)+1 &amp; "-" &amp; SUM(AV$1:AV35)))</f>
        <v>81</v>
      </c>
      <c r="AX35" s="6" t="str">
        <f t="shared" si="14"/>
        <v>!import-table-item --Magic-Item-Table-I --Deck of Many Things --1</v>
      </c>
    </row>
    <row r="36" spans="6:50" x14ac:dyDescent="0.25">
      <c r="F36" s="6" t="s">
        <v>49</v>
      </c>
      <c r="G36" s="6" t="s">
        <v>1397</v>
      </c>
      <c r="H36" s="6">
        <v>1</v>
      </c>
      <c r="I36" s="9">
        <f>IF(H36=0,"-",IF(H36=1,SUM(H$1:H35)+1,SUM(H$1:H35)+1 &amp; "-" &amp; SUM(H$1:H36)))</f>
        <v>100</v>
      </c>
      <c r="J36" s="6" t="str">
        <f t="shared" si="0"/>
        <v>!import-table-item --Magic-Item-Table-B --Wand of Secrets --1</v>
      </c>
      <c r="Z36" s="6" t="s">
        <v>131</v>
      </c>
      <c r="AA36" s="6" t="s">
        <v>1397</v>
      </c>
      <c r="AB36" s="6">
        <v>1</v>
      </c>
      <c r="AC36" s="9">
        <f>IF(AB36=0,"-",IF(AB36=1,SUM(AB$1:AB35)+1,SUM(AB$1:AB35)+1 &amp; "-" &amp; SUM(AB$1:AB36)))</f>
        <v>75</v>
      </c>
      <c r="AD36" s="6" t="str">
        <f t="shared" si="11"/>
        <v>!import-table-item --Magic-Item-Table-F --Eversmoking Bottle --1</v>
      </c>
      <c r="AE36" s="6" t="s">
        <v>189</v>
      </c>
      <c r="AF36" s="6" t="s">
        <v>1397</v>
      </c>
      <c r="AG36" s="6">
        <v>1</v>
      </c>
      <c r="AH36" s="9">
        <f>IF(AG36=0,"-",IF(AG36=1,SUM(AG$1:AG35)+1,SUM(AG$1:AG35)+1 &amp; "-" &amp; SUM(AG$1:AG36)))</f>
        <v>47</v>
      </c>
      <c r="AI36" s="6" t="str">
        <f t="shared" si="12"/>
        <v>!import-table-item --Magic-Item-Table-G --Horn of Blasting --1</v>
      </c>
      <c r="AO36" s="6" t="s">
        <v>272</v>
      </c>
      <c r="AP36" s="6" t="s">
        <v>1397</v>
      </c>
      <c r="AQ36" s="6">
        <v>1</v>
      </c>
      <c r="AR36" s="9">
        <f>IF(AQ36=0,"-",IF(AQ36=1,SUM(AQ$1:AQ35)+1,SUM(AQ$1:AQ35)+1 &amp; "-" &amp; SUM(AQ$1:AQ36)))</f>
        <v>66</v>
      </c>
      <c r="AS36" s="6" t="str">
        <f t="shared" si="13"/>
        <v>!import-table-item --Magic-Item-Table-H --Dancing Sword --1</v>
      </c>
      <c r="AT36" s="6" t="s">
        <v>338</v>
      </c>
      <c r="AU36" s="6" t="s">
        <v>1397</v>
      </c>
      <c r="AV36" s="6">
        <v>1</v>
      </c>
      <c r="AW36" s="9">
        <f>IF(AV36=0,"-",IF(AV36=1,SUM(AV$1:AV35)+1,SUM(AV$1:AV35)+1 &amp; "-" &amp; SUM(AV$1:AV36)))</f>
        <v>82</v>
      </c>
      <c r="AX36" s="6" t="str">
        <f t="shared" si="14"/>
        <v>!import-table-item --Magic-Item-Table-I --Efreeti Chain --1</v>
      </c>
    </row>
    <row r="37" spans="6:50" x14ac:dyDescent="0.25">
      <c r="Z37" s="6" t="s">
        <v>132</v>
      </c>
      <c r="AA37" s="6" t="s">
        <v>1397</v>
      </c>
      <c r="AB37" s="6">
        <v>1</v>
      </c>
      <c r="AC37" s="9">
        <f>IF(AB37=0,"-",IF(AB37=1,SUM(AB$1:AB36)+1,SUM(AB$1:AB36)+1 &amp; "-" &amp; SUM(AB$1:AB37)))</f>
        <v>76</v>
      </c>
      <c r="AD37" s="6" t="str">
        <f t="shared" si="11"/>
        <v>!import-table-item --Magic-Item-Table-F --Eyes of Charming --1</v>
      </c>
      <c r="AE37" s="6" t="s">
        <v>190</v>
      </c>
      <c r="AF37" s="6" t="s">
        <v>1397</v>
      </c>
      <c r="AG37" s="6">
        <v>1</v>
      </c>
      <c r="AH37" s="9">
        <f>IF(AG37=0,"-",IF(AG37=1,SUM(AG$1:AG36)+1,SUM(AG$1:AG36)+1 &amp; "-" &amp; SUM(AG$1:AG37)))</f>
        <v>48</v>
      </c>
      <c r="AI37" s="6" t="str">
        <f t="shared" si="12"/>
        <v>!import-table-item --Magic-Item-Table-G --Horn of Valhalla (silver or brass) --1</v>
      </c>
      <c r="AO37" s="6" t="s">
        <v>273</v>
      </c>
      <c r="AP37" s="6" t="s">
        <v>1397</v>
      </c>
      <c r="AQ37" s="6">
        <v>1</v>
      </c>
      <c r="AR37" s="9">
        <f>IF(AQ37=0,"-",IF(AQ37=1,SUM(AQ$1:AQ36)+1,SUM(AQ$1:AQ36)+1 &amp; "-" &amp; SUM(AQ$1:AQ37)))</f>
        <v>67</v>
      </c>
      <c r="AS37" s="6" t="str">
        <f t="shared" si="13"/>
        <v>!import-table-item --Magic-Item-Table-H --Demon Armor --1</v>
      </c>
      <c r="AT37" s="6" t="s">
        <v>339</v>
      </c>
      <c r="AU37" s="6" t="s">
        <v>1397</v>
      </c>
      <c r="AV37" s="6">
        <v>1</v>
      </c>
      <c r="AW37" s="9">
        <f>IF(AV37=0,"-",IF(AV37=1,SUM(AV$1:AV36)+1,SUM(AV$1:AV36)+1 &amp; "-" &amp; SUM(AV$1:AV37)))</f>
        <v>83</v>
      </c>
      <c r="AX37" s="6" t="str">
        <f t="shared" si="14"/>
        <v>!import-table-item --Magic-Item-Table-I --Armor of resistance (half plate) --1</v>
      </c>
    </row>
    <row r="38" spans="6:50" x14ac:dyDescent="0.25">
      <c r="Z38" s="6" t="s">
        <v>133</v>
      </c>
      <c r="AA38" s="6" t="s">
        <v>1397</v>
      </c>
      <c r="AB38" s="6">
        <v>1</v>
      </c>
      <c r="AC38" s="9">
        <f>IF(AB38=0,"-",IF(AB38=1,SUM(AB$1:AB37)+1,SUM(AB$1:AB37)+1 &amp; "-" &amp; SUM(AB$1:AB38)))</f>
        <v>77</v>
      </c>
      <c r="AD38" s="6" t="str">
        <f t="shared" si="11"/>
        <v>!import-table-item --Magic-Item-Table-F --Eyes of the Eagle --1</v>
      </c>
      <c r="AE38" s="6" t="s">
        <v>203</v>
      </c>
      <c r="AF38" s="6" t="s">
        <v>1397</v>
      </c>
      <c r="AG38" s="6">
        <v>1</v>
      </c>
      <c r="AH38" s="9">
        <f>IF(AG38=0,"-",IF(AG38=1,SUM(AG$1:AG37)+1,SUM(AG$1:AG37)+1 &amp; "-" &amp; SUM(AG$1:AG38)))</f>
        <v>49</v>
      </c>
      <c r="AI38" s="6" t="str">
        <f t="shared" si="12"/>
        <v>!import-table-item --Magic-Item-Table-G --Instrument of the Bards (Canaith mandolin) --1</v>
      </c>
      <c r="AO38" s="6" t="s">
        <v>274</v>
      </c>
      <c r="AP38" s="6" t="s">
        <v>1397</v>
      </c>
      <c r="AQ38" s="6">
        <v>1</v>
      </c>
      <c r="AR38" s="9">
        <f>IF(AQ38=0,"-",IF(AQ38=1,SUM(AQ$1:AQ37)+1,SUM(AQ$1:AQ37)+1 &amp; "-" &amp; SUM(AQ$1:AQ38)))</f>
        <v>68</v>
      </c>
      <c r="AS38" s="6" t="str">
        <f t="shared" si="13"/>
        <v>!import-table-item --Magic-Item-Table-H --Dragon Scale Mail --1</v>
      </c>
      <c r="AT38" s="6" t="s">
        <v>340</v>
      </c>
      <c r="AU38" s="6" t="s">
        <v>1397</v>
      </c>
      <c r="AV38" s="6">
        <v>1</v>
      </c>
      <c r="AW38" s="9">
        <f>IF(AV38=0,"-",IF(AV38=1,SUM(AV$1:AV37)+1,SUM(AV$1:AV37)+1 &amp; "-" &amp; SUM(AV$1:AV38)))</f>
        <v>84</v>
      </c>
      <c r="AX38" s="6" t="str">
        <f t="shared" si="14"/>
        <v>!import-table-item --Magic-Item-Table-I --Horn of Valhalla (iron) --1</v>
      </c>
    </row>
    <row r="39" spans="6:50" x14ac:dyDescent="0.25">
      <c r="Z39" s="6" t="s">
        <v>1570</v>
      </c>
      <c r="AA39" s="6" t="s">
        <v>1397</v>
      </c>
      <c r="AB39" s="6">
        <v>1</v>
      </c>
      <c r="AC39" s="9">
        <f>IF(AB39=0,"-",IF(AB39=1,SUM(AB$1:AB38)+1,SUM(AB$1:AB38)+1 &amp; "-" &amp; SUM(AB$1:AB39)))</f>
        <v>78</v>
      </c>
      <c r="AD39" s="6" t="str">
        <f t="shared" si="11"/>
        <v>!import-table-item --Magic-Item-Table-F --Figurine of Wondrous Power (silver raven) --1</v>
      </c>
      <c r="AE39" s="6" t="s">
        <v>191</v>
      </c>
      <c r="AF39" s="6" t="s">
        <v>1397</v>
      </c>
      <c r="AG39" s="6">
        <v>1</v>
      </c>
      <c r="AH39" s="9">
        <f>IF(AG39=0,"-",IF(AG39=1,SUM(AG$1:AG38)+1,SUM(AG$1:AG38)+1 &amp; "-" &amp; SUM(AG$1:AG39)))</f>
        <v>50</v>
      </c>
      <c r="AI39" s="6" t="str">
        <f t="shared" si="12"/>
        <v>!import-table-item --Magic-Item-Table-G --Instrument of the Bards (Cli lyre) --1</v>
      </c>
      <c r="AO39" s="6" t="s">
        <v>275</v>
      </c>
      <c r="AP39" s="6" t="s">
        <v>1397</v>
      </c>
      <c r="AQ39" s="6">
        <v>1</v>
      </c>
      <c r="AR39" s="9">
        <f>IF(AQ39=0,"-",IF(AQ39=1,SUM(AQ$1:AQ38)+1,SUM(AQ$1:AQ38)+1 &amp; "-" &amp; SUM(AQ$1:AQ39)))</f>
        <v>69</v>
      </c>
      <c r="AS39" s="6" t="str">
        <f t="shared" si="13"/>
        <v>!import-table-item --Magic-Item-Table-H --Dwarven Plate --1</v>
      </c>
      <c r="AT39" s="6" t="s">
        <v>341</v>
      </c>
      <c r="AU39" s="6" t="s">
        <v>1397</v>
      </c>
      <c r="AV39" s="6">
        <v>1</v>
      </c>
      <c r="AW39" s="9">
        <f>IF(AV39=0,"-",IF(AV39=1,SUM(AV$1:AV38)+1,SUM(AV$1:AV38)+1 &amp; "-" &amp; SUM(AV$1:AV39)))</f>
        <v>85</v>
      </c>
      <c r="AX39" s="6" t="str">
        <f t="shared" si="14"/>
        <v>!import-table-item --Magic-Item-Table-I --Instrument of the Bards (Ollahm Harp) --1</v>
      </c>
    </row>
    <row r="40" spans="6:50" x14ac:dyDescent="0.25">
      <c r="Z40" s="6" t="s">
        <v>134</v>
      </c>
      <c r="AA40" s="6" t="s">
        <v>1397</v>
      </c>
      <c r="AB40" s="6">
        <v>1</v>
      </c>
      <c r="AC40" s="9">
        <f>IF(AB40=0,"-",IF(AB40=1,SUM(AB$1:AB39)+1,SUM(AB$1:AB39)+1 &amp; "-" &amp; SUM(AB$1:AB40)))</f>
        <v>79</v>
      </c>
      <c r="AD40" s="6" t="str">
        <f t="shared" si="11"/>
        <v>!import-table-item --Magic-Item-Table-F --Gem of Brightness --1</v>
      </c>
      <c r="AE40" s="6" t="s">
        <v>192</v>
      </c>
      <c r="AF40" s="6" t="s">
        <v>1397</v>
      </c>
      <c r="AG40" s="6">
        <v>1</v>
      </c>
      <c r="AH40" s="9">
        <f>IF(AG40=0,"-",IF(AG40=1,SUM(AG$1:AG39)+1,SUM(AG$1:AG39)+1 &amp; "-" &amp; SUM(AG$1:AG40)))</f>
        <v>51</v>
      </c>
      <c r="AI40" s="6" t="str">
        <f t="shared" si="12"/>
        <v>!import-table-item --Magic-Item-Table-G --Ioun Stone (awareness) --1</v>
      </c>
      <c r="AO40" s="6" t="s">
        <v>276</v>
      </c>
      <c r="AP40" s="6" t="s">
        <v>1397</v>
      </c>
      <c r="AQ40" s="6">
        <v>1</v>
      </c>
      <c r="AR40" s="9">
        <f>IF(AQ40=0,"-",IF(AQ40=1,SUM(AQ$1:AQ39)+1,SUM(AQ$1:AQ39)+1 &amp; "-" &amp; SUM(AQ$1:AQ40)))</f>
        <v>70</v>
      </c>
      <c r="AS40" s="6" t="str">
        <f t="shared" si="13"/>
        <v>!import-table-item --Magic-Item-Table-H --Dwarven Thrower --1</v>
      </c>
      <c r="AT40" s="6" t="s">
        <v>342</v>
      </c>
      <c r="AU40" s="6" t="s">
        <v>1397</v>
      </c>
      <c r="AV40" s="6">
        <v>1</v>
      </c>
      <c r="AW40" s="9">
        <f>IF(AV40=0,"-",IF(AV40=1,SUM(AV$1:AV39)+1,SUM(AV$1:AV39)+1 &amp; "-" &amp; SUM(AV$1:AV40)))</f>
        <v>86</v>
      </c>
      <c r="AX40" s="6" t="str">
        <f t="shared" si="14"/>
        <v>!import-table-item --Magic-Item-Table-I --Ioun Stone (greater absorption) --1</v>
      </c>
    </row>
    <row r="41" spans="6:50" x14ac:dyDescent="0.25">
      <c r="Z41" s="6" t="s">
        <v>135</v>
      </c>
      <c r="AA41" s="6" t="s">
        <v>1397</v>
      </c>
      <c r="AB41" s="6">
        <v>1</v>
      </c>
      <c r="AC41" s="9">
        <f>IF(AB41=0,"-",IF(AB41=1,SUM(AB$1:AB40)+1,SUM(AB$1:AB40)+1 &amp; "-" &amp; SUM(AB$1:AB41)))</f>
        <v>80</v>
      </c>
      <c r="AD41" s="6" t="str">
        <f t="shared" si="11"/>
        <v>!import-table-item --Magic-Item-Table-F --Gloves of Missile Snaring --1</v>
      </c>
      <c r="AE41" s="6" t="s">
        <v>193</v>
      </c>
      <c r="AF41" s="6" t="s">
        <v>1397</v>
      </c>
      <c r="AG41" s="6">
        <v>1</v>
      </c>
      <c r="AH41" s="9">
        <f>IF(AG41=0,"-",IF(AG41=1,SUM(AG$1:AG40)+1,SUM(AG$1:AG40)+1 &amp; "-" &amp; SUM(AG$1:AG41)))</f>
        <v>52</v>
      </c>
      <c r="AI41" s="6" t="str">
        <f t="shared" si="12"/>
        <v>!import-table-item --Magic-Item-Table-G --Ioun Stone (protection) --1</v>
      </c>
      <c r="AO41" s="6" t="s">
        <v>277</v>
      </c>
      <c r="AP41" s="6" t="s">
        <v>1397</v>
      </c>
      <c r="AQ41" s="6">
        <v>1</v>
      </c>
      <c r="AR41" s="9">
        <f>IF(AQ41=0,"-",IF(AQ41=1,SUM(AQ$1:AQ40)+1,SUM(AQ$1:AQ40)+1 &amp; "-" &amp; SUM(AQ$1:AQ41)))</f>
        <v>71</v>
      </c>
      <c r="AS41" s="6" t="str">
        <f t="shared" si="13"/>
        <v>!import-table-item --Magic-Item-Table-H --Efreeti Bottle --1</v>
      </c>
      <c r="AT41" s="6" t="s">
        <v>343</v>
      </c>
      <c r="AU41" s="6" t="s">
        <v>1397</v>
      </c>
      <c r="AV41" s="6">
        <v>1</v>
      </c>
      <c r="AW41" s="9">
        <f>IF(AV41=0,"-",IF(AV41=1,SUM(AV$1:AV40)+1,SUM(AV$1:AV40)+1 &amp; "-" &amp; SUM(AV$1:AV41)))</f>
        <v>87</v>
      </c>
      <c r="AX41" s="6" t="str">
        <f t="shared" si="14"/>
        <v>!import-table-item --Magic-Item-Table-I --Ioun Stone (mastery) --1</v>
      </c>
    </row>
    <row r="42" spans="6:50" x14ac:dyDescent="0.25">
      <c r="Z42" s="6" t="s">
        <v>136</v>
      </c>
      <c r="AA42" s="6" t="s">
        <v>1397</v>
      </c>
      <c r="AB42" s="6">
        <v>1</v>
      </c>
      <c r="AC42" s="9">
        <f>IF(AB42=0,"-",IF(AB42=1,SUM(AB$1:AB41)+1,SUM(AB$1:AB41)+1 &amp; "-" &amp; SUM(AB$1:AB42)))</f>
        <v>81</v>
      </c>
      <c r="AD42" s="6" t="str">
        <f t="shared" si="11"/>
        <v>!import-table-item --Magic-Item-Table-F --Gloves of swimming and climbing --1</v>
      </c>
      <c r="AE42" s="6" t="s">
        <v>194</v>
      </c>
      <c r="AF42" s="6" t="s">
        <v>1397</v>
      </c>
      <c r="AG42" s="6">
        <v>1</v>
      </c>
      <c r="AH42" s="9">
        <f>IF(AG42=0,"-",IF(AG42=1,SUM(AG$1:AG41)+1,SUM(AG$1:AG41)+1 &amp; "-" &amp; SUM(AG$1:AG42)))</f>
        <v>53</v>
      </c>
      <c r="AI42" s="6" t="str">
        <f t="shared" si="12"/>
        <v>!import-table-item --Magic-Item-Table-G --Ioun Stone (reserve) --1</v>
      </c>
      <c r="AO42" s="6" t="s">
        <v>1681</v>
      </c>
      <c r="AP42" s="6" t="s">
        <v>1397</v>
      </c>
      <c r="AQ42" s="6">
        <v>1</v>
      </c>
      <c r="AR42" s="9">
        <f>IF(AQ42=0,"-",IF(AQ42=1,SUM(AQ$1:AQ41)+1,SUM(AQ$1:AQ41)+1 &amp; "-" &amp; SUM(AQ$1:AQ42)))</f>
        <v>72</v>
      </c>
      <c r="AS42" s="6" t="str">
        <f t="shared" si="13"/>
        <v>!import-table-item --Magic-Item-Table-H --Figurine of Wondrous Power (Obsidian Steel) --1</v>
      </c>
      <c r="AT42" s="6" t="s">
        <v>344</v>
      </c>
      <c r="AU42" s="6" t="s">
        <v>1397</v>
      </c>
      <c r="AV42" s="6">
        <v>1</v>
      </c>
      <c r="AW42" s="9">
        <f>IF(AV42=0,"-",IF(AV42=1,SUM(AV$1:AV41)+1,SUM(AV$1:AV41)+1 &amp; "-" &amp; SUM(AV$1:AV42)))</f>
        <v>88</v>
      </c>
      <c r="AX42" s="6" t="str">
        <f t="shared" si="14"/>
        <v>!import-table-item --Magic-Item-Table-I --Ioun Stone (regeneration) --1</v>
      </c>
    </row>
    <row r="43" spans="6:50" x14ac:dyDescent="0.25">
      <c r="Z43" s="6" t="s">
        <v>137</v>
      </c>
      <c r="AA43" s="6" t="s">
        <v>1397</v>
      </c>
      <c r="AB43" s="6">
        <v>1</v>
      </c>
      <c r="AC43" s="9">
        <f>IF(AB43=0,"-",IF(AB43=1,SUM(AB$1:AB42)+1,SUM(AB$1:AB42)+1 &amp; "-" &amp; SUM(AB$1:AB43)))</f>
        <v>82</v>
      </c>
      <c r="AD43" s="6" t="str">
        <f t="shared" si="11"/>
        <v>!import-table-item --Magic-Item-Table-F --Gloves of thievery --1</v>
      </c>
      <c r="AE43" s="6" t="s">
        <v>204</v>
      </c>
      <c r="AF43" s="6" t="s">
        <v>1397</v>
      </c>
      <c r="AG43" s="6">
        <v>1</v>
      </c>
      <c r="AH43" s="9">
        <f>IF(AG43=0,"-",IF(AG43=1,SUM(AG$1:AG42)+1,SUM(AG$1:AG42)+1 &amp; "-" &amp; SUM(AG$1:AG43)))</f>
        <v>54</v>
      </c>
      <c r="AI43" s="6" t="str">
        <f t="shared" si="12"/>
        <v>!import-table-item --Magic-Item-Table-G --Ioun Stone (sustenance) --1</v>
      </c>
      <c r="AO43" s="6" t="s">
        <v>278</v>
      </c>
      <c r="AP43" s="6" t="s">
        <v>1397</v>
      </c>
      <c r="AQ43" s="6">
        <v>1</v>
      </c>
      <c r="AR43" s="9">
        <f>IF(AQ43=0,"-",IF(AQ43=1,SUM(AQ$1:AQ42)+1,SUM(AQ$1:AQ42)+1 &amp; "-" &amp; SUM(AQ$1:AQ43)))</f>
        <v>73</v>
      </c>
      <c r="AS43" s="6" t="str">
        <f t="shared" si="13"/>
        <v>!import-table-item --Magic-Item-Table-H --Frost Brand --1</v>
      </c>
      <c r="AT43" s="6" t="s">
        <v>345</v>
      </c>
      <c r="AU43" s="6" t="s">
        <v>1397</v>
      </c>
      <c r="AV43" s="6">
        <v>1</v>
      </c>
      <c r="AW43" s="9">
        <f>IF(AV43=0,"-",IF(AV43=1,SUM(AV$1:AV42)+1,SUM(AV$1:AV42)+1 &amp; "-" &amp; SUM(AV$1:AV43)))</f>
        <v>89</v>
      </c>
      <c r="AX43" s="6" t="str">
        <f t="shared" si="14"/>
        <v>!import-table-item --Magic-Item-Table-I --Plate Armor of Etherealness --1</v>
      </c>
    </row>
    <row r="44" spans="6:50" x14ac:dyDescent="0.25">
      <c r="Z44" s="6" t="s">
        <v>138</v>
      </c>
      <c r="AA44" s="6" t="s">
        <v>1397</v>
      </c>
      <c r="AB44" s="6">
        <v>1</v>
      </c>
      <c r="AC44" s="9">
        <f>IF(AB44=0,"-",IF(AB44=1,SUM(AB$1:AB43)+1,SUM(AB$1:AB43)+1 &amp; "-" &amp; SUM(AB$1:AB44)))</f>
        <v>83</v>
      </c>
      <c r="AD44" s="6" t="str">
        <f t="shared" si="11"/>
        <v>!import-table-item --Magic-Item-Table-F --Headband of Intellect --1</v>
      </c>
      <c r="AE44" s="6" t="s">
        <v>195</v>
      </c>
      <c r="AF44" s="6" t="s">
        <v>1397</v>
      </c>
      <c r="AG44" s="6">
        <v>1</v>
      </c>
      <c r="AH44" s="9">
        <f>IF(AG44=0,"-",IF(AG44=1,SUM(AG$1:AG43)+1,SUM(AG$1:AG43)+1 &amp; "-" &amp; SUM(AG$1:AG44)))</f>
        <v>55</v>
      </c>
      <c r="AI44" s="6" t="str">
        <f t="shared" si="12"/>
        <v>!import-table-item --Magic-Item-Table-G --Iron Bands of Bilarro --1</v>
      </c>
      <c r="AO44" s="6" t="s">
        <v>279</v>
      </c>
      <c r="AP44" s="6" t="s">
        <v>1397</v>
      </c>
      <c r="AQ44" s="6">
        <v>1</v>
      </c>
      <c r="AR44" s="9">
        <f>IF(AQ44=0,"-",IF(AQ44=1,SUM(AQ$1:AQ43)+1,SUM(AQ$1:AQ43)+1 &amp; "-" &amp; SUM(AQ$1:AQ44)))</f>
        <v>74</v>
      </c>
      <c r="AS44" s="6" t="str">
        <f t="shared" si="13"/>
        <v>!import-table-item --Magic-Item-Table-H --Helm of Brilliance --1</v>
      </c>
      <c r="AT44" s="6" t="s">
        <v>346</v>
      </c>
      <c r="AU44" s="6" t="s">
        <v>1397</v>
      </c>
      <c r="AV44" s="6">
        <v>1</v>
      </c>
      <c r="AW44" s="9">
        <f>IF(AV44=0,"-",IF(AV44=1,SUM(AV$1:AV43)+1,SUM(AV$1:AV43)+1 &amp; "-" &amp; SUM(AV$1:AV44)))</f>
        <v>90</v>
      </c>
      <c r="AX44" s="6" t="str">
        <f t="shared" si="14"/>
        <v>!import-table-item --Magic-Item-Table-I --Armor of Resistance (plate) --1</v>
      </c>
    </row>
    <row r="45" spans="6:50" x14ac:dyDescent="0.25">
      <c r="Z45" s="6" t="s">
        <v>139</v>
      </c>
      <c r="AA45" s="6" t="s">
        <v>1397</v>
      </c>
      <c r="AB45" s="6">
        <v>1</v>
      </c>
      <c r="AC45" s="9">
        <f>IF(AB45=0,"-",IF(AB45=1,SUM(AB$1:AB44)+1,SUM(AB$1:AB44)+1 &amp; "-" &amp; SUM(AB$1:AB45)))</f>
        <v>84</v>
      </c>
      <c r="AD45" s="6" t="str">
        <f t="shared" si="11"/>
        <v>!import-table-item --Magic-Item-Table-F --Helm of Telepathy --1</v>
      </c>
      <c r="AE45" s="6" t="s">
        <v>196</v>
      </c>
      <c r="AF45" s="6" t="s">
        <v>1397</v>
      </c>
      <c r="AG45" s="6">
        <v>1</v>
      </c>
      <c r="AH45" s="9">
        <f>IF(AG45=0,"-",IF(AG45=1,SUM(AG$1:AG44)+1,SUM(AG$1:AG44)+1 &amp; "-" &amp; SUM(AG$1:AG45)))</f>
        <v>56</v>
      </c>
      <c r="AI45" s="6" t="str">
        <f t="shared" si="12"/>
        <v>!import-table-item --Magic-Item-Table-G --Armor, +1 leather --1</v>
      </c>
      <c r="AO45" s="6" t="s">
        <v>280</v>
      </c>
      <c r="AP45" s="6" t="s">
        <v>1397</v>
      </c>
      <c r="AQ45" s="6">
        <v>1</v>
      </c>
      <c r="AR45" s="9">
        <f>IF(AQ45=0,"-",IF(AQ45=1,SUM(AQ$1:AQ44)+1,SUM(AQ$1:AQ44)+1 &amp; "-" &amp; SUM(AQ$1:AQ45)))</f>
        <v>75</v>
      </c>
      <c r="AS45" s="6" t="str">
        <f t="shared" si="13"/>
        <v>!import-table-item --Magic-Item-Table-H --Horn of Valhalla (bronze) --1</v>
      </c>
      <c r="AT45" s="6" t="s">
        <v>347</v>
      </c>
      <c r="AU45" s="6" t="s">
        <v>1397</v>
      </c>
      <c r="AV45" s="6">
        <v>1</v>
      </c>
      <c r="AW45" s="9">
        <f>IF(AV45=0,"-",IF(AV45=1,SUM(AV$1:AV44)+1,SUM(AV$1:AV44)+1 &amp; "-" &amp; SUM(AV$1:AV45)))</f>
        <v>91</v>
      </c>
      <c r="AX45" s="6" t="str">
        <f t="shared" si="14"/>
        <v>!import-table-item --Magic-Item-Table-I --Ring of Air Elemental Command --1</v>
      </c>
    </row>
    <row r="46" spans="6:50" x14ac:dyDescent="0.25">
      <c r="Z46" s="6" t="s">
        <v>142</v>
      </c>
      <c r="AA46" s="6" t="s">
        <v>1397</v>
      </c>
      <c r="AB46" s="6">
        <v>1</v>
      </c>
      <c r="AC46" s="9">
        <f>IF(AB46=0,"-",IF(AB46=1,SUM(AB$1:AB45)+1,SUM(AB$1:AB45)+1 &amp; "-" &amp; SUM(AB$1:AB46)))</f>
        <v>85</v>
      </c>
      <c r="AD46" s="6" t="str">
        <f t="shared" si="11"/>
        <v>!import-table-item --Magic-Item-Table-F --Instrument of the Bards (Doss lute) --1</v>
      </c>
      <c r="AE46" s="6" t="s">
        <v>197</v>
      </c>
      <c r="AF46" s="6" t="s">
        <v>1397</v>
      </c>
      <c r="AG46" s="6">
        <v>1</v>
      </c>
      <c r="AH46" s="9">
        <f>IF(AG46=0,"-",IF(AG46=1,SUM(AG$1:AG45)+1,SUM(AG$1:AG45)+1 &amp; "-" &amp; SUM(AG$1:AG46)))</f>
        <v>57</v>
      </c>
      <c r="AI46" s="6" t="str">
        <f t="shared" si="12"/>
        <v>!import-table-item --Magic-Item-Table-G --Armor of Resistance (leather) --1</v>
      </c>
      <c r="AO46" s="6" t="s">
        <v>281</v>
      </c>
      <c r="AP46" s="6" t="s">
        <v>1397</v>
      </c>
      <c r="AQ46" s="6">
        <v>1</v>
      </c>
      <c r="AR46" s="9">
        <f>IF(AQ46=0,"-",IF(AQ46=1,SUM(AQ$1:AQ45)+1,SUM(AQ$1:AQ45)+1 &amp; "-" &amp; SUM(AQ$1:AQ46)))</f>
        <v>76</v>
      </c>
      <c r="AS46" s="6" t="str">
        <f t="shared" si="13"/>
        <v>!import-table-item --Magic-Item-Table-H --Instrument of the Bards (Anstruth harp) --1</v>
      </c>
      <c r="AT46" s="6" t="s">
        <v>348</v>
      </c>
      <c r="AU46" s="6" t="s">
        <v>1397</v>
      </c>
      <c r="AV46" s="6">
        <v>1</v>
      </c>
      <c r="AW46" s="9">
        <f>IF(AV46=0,"-",IF(AV46=1,SUM(AV$1:AV45)+1,SUM(AV$1:AV45)+1 &amp; "-" &amp; SUM(AV$1:AV46)))</f>
        <v>92</v>
      </c>
      <c r="AX46" s="6" t="str">
        <f t="shared" si="14"/>
        <v>!import-table-item --Magic-Item-Table-I --Ring of Earth Elemental Command --1</v>
      </c>
    </row>
    <row r="47" spans="6:50" x14ac:dyDescent="0.25">
      <c r="Z47" s="6" t="s">
        <v>143</v>
      </c>
      <c r="AA47" s="6" t="s">
        <v>1397</v>
      </c>
      <c r="AB47" s="6">
        <v>1</v>
      </c>
      <c r="AC47" s="9">
        <f>IF(AB47=0,"-",IF(AB47=1,SUM(AB$1:AB46)+1,SUM(AB$1:AB46)+1 &amp; "-" &amp; SUM(AB$1:AB47)))</f>
        <v>86</v>
      </c>
      <c r="AD47" s="6" t="str">
        <f t="shared" si="11"/>
        <v>!import-table-item --Magic-Item-Table-F --Instrument of the Bards (Fochlucan bandore) --1</v>
      </c>
      <c r="AE47" s="6" t="s">
        <v>198</v>
      </c>
      <c r="AF47" s="6" t="s">
        <v>1397</v>
      </c>
      <c r="AG47" s="6">
        <v>1</v>
      </c>
      <c r="AH47" s="9">
        <f>IF(AG47=0,"-",IF(AG47=1,SUM(AG$1:AG46)+1,SUM(AG$1:AG46)+1 &amp; "-" &amp; SUM(AG$1:AG47)))</f>
        <v>58</v>
      </c>
      <c r="AI47" s="6" t="str">
        <f t="shared" si="12"/>
        <v>!import-table-item --Magic-Item-Table-G --Mace of Disruption --1</v>
      </c>
      <c r="AO47" s="6" t="s">
        <v>282</v>
      </c>
      <c r="AP47" s="6" t="s">
        <v>1397</v>
      </c>
      <c r="AQ47" s="6">
        <v>1</v>
      </c>
      <c r="AR47" s="9">
        <f>IF(AQ47=0,"-",IF(AQ47=1,SUM(AQ$1:AQ46)+1,SUM(AQ$1:AQ46)+1 &amp; "-" &amp; SUM(AQ$1:AQ47)))</f>
        <v>77</v>
      </c>
      <c r="AS47" s="6" t="str">
        <f t="shared" si="13"/>
        <v>!import-table-item --Magic-Item-Table-H --Ioun Stone (absorption) --1</v>
      </c>
      <c r="AT47" s="6" t="s">
        <v>349</v>
      </c>
      <c r="AU47" s="6" t="s">
        <v>1397</v>
      </c>
      <c r="AV47" s="6">
        <v>1</v>
      </c>
      <c r="AW47" s="9">
        <f>IF(AV47=0,"-",IF(AV47=1,SUM(AV$1:AV46)+1,SUM(AV$1:AV46)+1 &amp; "-" &amp; SUM(AV$1:AV47)))</f>
        <v>93</v>
      </c>
      <c r="AX47" s="6" t="str">
        <f t="shared" si="14"/>
        <v>!import-table-item --Magic-Item-Table-I --Ring of Fire Elemental Command --1</v>
      </c>
    </row>
    <row r="48" spans="6:50" x14ac:dyDescent="0.25">
      <c r="Z48" s="6" t="s">
        <v>140</v>
      </c>
      <c r="AA48" s="6" t="s">
        <v>1397</v>
      </c>
      <c r="AB48" s="6">
        <v>1</v>
      </c>
      <c r="AC48" s="9">
        <f>IF(AB48=0,"-",IF(AB48=1,SUM(AB$1:AB47)+1,SUM(AB$1:AB47)+1 &amp; "-" &amp; SUM(AB$1:AB48)))</f>
        <v>87</v>
      </c>
      <c r="AD48" s="6" t="str">
        <f t="shared" si="11"/>
        <v>!import-table-item --Magic-Item-Table-F --Instrument of the Bards (Mac-Fuimidh cittern) --1</v>
      </c>
      <c r="AE48" s="6" t="s">
        <v>199</v>
      </c>
      <c r="AF48" s="6" t="s">
        <v>1397</v>
      </c>
      <c r="AG48" s="6">
        <v>1</v>
      </c>
      <c r="AH48" s="9">
        <f>IF(AG48=0,"-",IF(AG48=1,SUM(AG$1:AG47)+1,SUM(AG$1:AG47)+1 &amp; "-" &amp; SUM(AG$1:AG48)))</f>
        <v>59</v>
      </c>
      <c r="AI48" s="6" t="str">
        <f t="shared" si="12"/>
        <v>!import-table-item --Magic-Item-Table-G --Mace of Smiting --1</v>
      </c>
      <c r="AO48" s="6" t="s">
        <v>283</v>
      </c>
      <c r="AP48" s="6" t="s">
        <v>1397</v>
      </c>
      <c r="AQ48" s="6">
        <v>1</v>
      </c>
      <c r="AR48" s="9">
        <f>IF(AQ48=0,"-",IF(AQ48=1,SUM(AQ$1:AQ47)+1,SUM(AQ$1:AQ47)+1 &amp; "-" &amp; SUM(AQ$1:AQ48)))</f>
        <v>78</v>
      </c>
      <c r="AS48" s="6" t="str">
        <f t="shared" si="13"/>
        <v>!import-table-item --Magic-Item-Table-H --Ioun Stone (agility) --1</v>
      </c>
      <c r="AT48" s="6" t="s">
        <v>350</v>
      </c>
      <c r="AU48" s="6" t="s">
        <v>1397</v>
      </c>
      <c r="AV48" s="6">
        <v>1</v>
      </c>
      <c r="AW48" s="9">
        <f>IF(AV48=0,"-",IF(AV48=1,SUM(AV$1:AV47)+1,SUM(AV$1:AV47)+1 &amp; "-" &amp; SUM(AV$1:AV48)))</f>
        <v>94</v>
      </c>
      <c r="AX48" s="6" t="str">
        <f t="shared" si="14"/>
        <v>!import-table-item --Magic-Item-Table-I --Ring of Three Wishes --1</v>
      </c>
    </row>
    <row r="49" spans="26:50" x14ac:dyDescent="0.25">
      <c r="Z49" s="6" t="s">
        <v>141</v>
      </c>
      <c r="AA49" s="6" t="s">
        <v>1397</v>
      </c>
      <c r="AB49" s="6">
        <v>1</v>
      </c>
      <c r="AC49" s="9">
        <f>IF(AB49=0,"-",IF(AB49=1,SUM(AB$1:AB48)+1,SUM(AB$1:AB48)+1 &amp; "-" &amp; SUM(AB$1:AB49)))</f>
        <v>88</v>
      </c>
      <c r="AD49" s="6" t="str">
        <f t="shared" si="11"/>
        <v>!import-table-item --Magic-Item-Table-F --Medallion of Thoughts --1</v>
      </c>
      <c r="AE49" s="6" t="s">
        <v>200</v>
      </c>
      <c r="AF49" s="6" t="s">
        <v>1397</v>
      </c>
      <c r="AG49" s="6">
        <v>1</v>
      </c>
      <c r="AH49" s="9">
        <f>IF(AG49=0,"-",IF(AG49=1,SUM(AG$1:AG48)+1,SUM(AG$1:AG48)+1 &amp; "-" &amp; SUM(AG$1:AG49)))</f>
        <v>60</v>
      </c>
      <c r="AI49" s="6" t="str">
        <f t="shared" si="12"/>
        <v>!import-table-item --Magic-Item-Table-G --Mace of Terror --1</v>
      </c>
      <c r="AO49" s="6" t="s">
        <v>284</v>
      </c>
      <c r="AP49" s="6" t="s">
        <v>1397</v>
      </c>
      <c r="AQ49" s="6">
        <v>1</v>
      </c>
      <c r="AR49" s="9">
        <f>IF(AQ49=0,"-",IF(AQ49=1,SUM(AQ$1:AQ48)+1,SUM(AQ$1:AQ48)+1 &amp; "-" &amp; SUM(AQ$1:AQ49)))</f>
        <v>79</v>
      </c>
      <c r="AS49" s="6" t="str">
        <f t="shared" si="13"/>
        <v>!import-table-item --Magic-Item-Table-H --Ioun Stone (fortitude) --1</v>
      </c>
      <c r="AT49" s="6" t="s">
        <v>351</v>
      </c>
      <c r="AU49" s="6" t="s">
        <v>1397</v>
      </c>
      <c r="AV49" s="6">
        <v>1</v>
      </c>
      <c r="AW49" s="9">
        <f>IF(AV49=0,"-",IF(AV49=1,SUM(AV$1:AV48)+1,SUM(AV$1:AV48)+1 &amp; "-" &amp; SUM(AV$1:AV49)))</f>
        <v>95</v>
      </c>
      <c r="AX49" s="6" t="str">
        <f t="shared" si="14"/>
        <v>!import-table-item --Magic-Item-Table-I --Ring of Water Elemental Command --1</v>
      </c>
    </row>
    <row r="50" spans="26:50" x14ac:dyDescent="0.25">
      <c r="Z50" s="6" t="s">
        <v>144</v>
      </c>
      <c r="AA50" s="6" t="s">
        <v>1397</v>
      </c>
      <c r="AB50" s="6">
        <v>1</v>
      </c>
      <c r="AC50" s="9">
        <f>IF(AB50=0,"-",IF(AB50=1,SUM(AB$1:AB49)+1,SUM(AB$1:AB49)+1 &amp; "-" &amp; SUM(AB$1:AB50)))</f>
        <v>89</v>
      </c>
      <c r="AD50" s="6" t="str">
        <f t="shared" si="11"/>
        <v>!import-table-item --Magic-Item-Table-F --Necklace of Adaptation --1</v>
      </c>
      <c r="AE50" s="6" t="s">
        <v>201</v>
      </c>
      <c r="AF50" s="6" t="s">
        <v>1397</v>
      </c>
      <c r="AG50" s="6">
        <v>1</v>
      </c>
      <c r="AH50" s="9">
        <f>IF(AG50=0,"-",IF(AG50=1,SUM(AG$1:AG49)+1,SUM(AG$1:AG49)+1 &amp; "-" &amp; SUM(AG$1:AG50)))</f>
        <v>61</v>
      </c>
      <c r="AI50" s="6" t="str">
        <f t="shared" si="12"/>
        <v>!import-table-item --Magic-Item-Table-G --Mantle of Spell Resistance --1</v>
      </c>
      <c r="AO50" s="6" t="s">
        <v>285</v>
      </c>
      <c r="AP50" s="6" t="s">
        <v>1397</v>
      </c>
      <c r="AQ50" s="6">
        <v>1</v>
      </c>
      <c r="AR50" s="9">
        <f>IF(AQ50=0,"-",IF(AQ50=1,SUM(AQ$1:AQ49)+1,SUM(AQ$1:AQ49)+1 &amp; "-" &amp; SUM(AQ$1:AQ50)))</f>
        <v>80</v>
      </c>
      <c r="AS50" s="6" t="str">
        <f t="shared" si="13"/>
        <v>!import-table-item --Magic-Item-Table-H --Ioun Stone (insight) --1</v>
      </c>
      <c r="AT50" s="6" t="s">
        <v>352</v>
      </c>
      <c r="AU50" s="6" t="s">
        <v>1397</v>
      </c>
      <c r="AV50" s="6">
        <v>1</v>
      </c>
      <c r="AW50" s="9">
        <f>IF(AV50=0,"-",IF(AV50=1,SUM(AV$1:AV49)+1,SUM(AV$1:AV49)+1 &amp; "-" &amp; SUM(AV$1:AV50)))</f>
        <v>96</v>
      </c>
      <c r="AX50" s="6" t="str">
        <f t="shared" si="14"/>
        <v>!import-table-item --Magic-Item-Table-I --Sphere of Annihilation --1</v>
      </c>
    </row>
    <row r="51" spans="26:50" x14ac:dyDescent="0.25">
      <c r="Z51" s="6" t="s">
        <v>145</v>
      </c>
      <c r="AA51" s="6" t="s">
        <v>1397</v>
      </c>
      <c r="AB51" s="6">
        <v>1</v>
      </c>
      <c r="AC51" s="9">
        <f>IF(AB51=0,"-",IF(AB51=1,SUM(AB$1:AB50)+1,SUM(AB$1:AB50)+1 &amp; "-" &amp; SUM(AB$1:AB51)))</f>
        <v>90</v>
      </c>
      <c r="AD51" s="6" t="str">
        <f t="shared" si="11"/>
        <v>!import-table-item --Magic-Item-Table-F --Periapt of Wound Closure --1</v>
      </c>
      <c r="AE51" s="6" t="s">
        <v>205</v>
      </c>
      <c r="AF51" s="6" t="s">
        <v>1397</v>
      </c>
      <c r="AG51" s="6">
        <v>1</v>
      </c>
      <c r="AH51" s="9">
        <f>IF(AG51=0,"-",IF(AG51=1,SUM(AG$1:AG50)+1,SUM(AG$1:AG50)+1 &amp; "-" &amp; SUM(AG$1:AG51)))</f>
        <v>62</v>
      </c>
      <c r="AI51" s="6" t="str">
        <f t="shared" si="12"/>
        <v>!import-table-item --Magic-Item-Table-G --Necklace of Prayer Beads --1</v>
      </c>
      <c r="AO51" s="6" t="s">
        <v>372</v>
      </c>
      <c r="AP51" s="6" t="s">
        <v>1397</v>
      </c>
      <c r="AQ51" s="6">
        <v>1</v>
      </c>
      <c r="AR51" s="9">
        <f>IF(AQ51=0,"-",IF(AQ51=1,SUM(AQ$1:AQ50)+1,SUM(AQ$1:AQ50)+1 &amp; "-" &amp; SUM(AQ$1:AQ51)))</f>
        <v>81</v>
      </c>
      <c r="AS51" s="6" t="str">
        <f t="shared" si="13"/>
        <v>!import-table-item --Magic-Item-Table-H --Ioun Stone (Intellect) --1</v>
      </c>
      <c r="AT51" s="6" t="s">
        <v>353</v>
      </c>
      <c r="AU51" s="6" t="s">
        <v>1397</v>
      </c>
      <c r="AV51" s="6">
        <v>1</v>
      </c>
      <c r="AW51" s="9">
        <f>IF(AV51=0,"-",IF(AV51=1,SUM(AV$1:AV50)+1,SUM(AV$1:AV50)+1 &amp; "-" &amp; SUM(AV$1:AV51)))</f>
        <v>97</v>
      </c>
      <c r="AX51" s="6" t="str">
        <f t="shared" si="14"/>
        <v>!import-table-item --Magic-Item-Table-I --Talisman of Pure Good --1</v>
      </c>
    </row>
    <row r="52" spans="26:50" x14ac:dyDescent="0.25">
      <c r="Z52" s="6" t="s">
        <v>146</v>
      </c>
      <c r="AA52" s="6" t="s">
        <v>1397</v>
      </c>
      <c r="AB52" s="6">
        <v>1</v>
      </c>
      <c r="AC52" s="9">
        <f>IF(AB52=0,"-",IF(AB52=1,SUM(AB$1:AB51)+1,SUM(AB$1:AB51)+1 &amp; "-" &amp; SUM(AB$1:AB52)))</f>
        <v>91</v>
      </c>
      <c r="AD52" s="6" t="str">
        <f t="shared" si="11"/>
        <v>!import-table-item --Magic-Item-Table-F --Pipes of Haunting --1</v>
      </c>
      <c r="AE52" s="6" t="s">
        <v>206</v>
      </c>
      <c r="AF52" s="6" t="s">
        <v>1397</v>
      </c>
      <c r="AG52" s="6">
        <v>1</v>
      </c>
      <c r="AH52" s="9">
        <f>IF(AG52=0,"-",IF(AG52=1,SUM(AG$1:AG51)+1,SUM(AG$1:AG51)+1 &amp; "-" &amp; SUM(AG$1:AG52)))</f>
        <v>63</v>
      </c>
      <c r="AI52" s="6" t="str">
        <f t="shared" si="12"/>
        <v>!import-table-item --Magic-Item-Table-G --Periapt of Proof Against Poison --1</v>
      </c>
      <c r="AO52" s="6" t="s">
        <v>286</v>
      </c>
      <c r="AP52" s="6" t="s">
        <v>1397</v>
      </c>
      <c r="AQ52" s="6">
        <v>1</v>
      </c>
      <c r="AR52" s="9">
        <f>IF(AQ52=0,"-",IF(AQ52=1,SUM(AQ$1:AQ51)+1,SUM(AQ$1:AQ51)+1 &amp; "-" &amp; SUM(AQ$1:AQ52)))</f>
        <v>82</v>
      </c>
      <c r="AS52" s="6" t="str">
        <f t="shared" si="13"/>
        <v>!import-table-item --Magic-Item-Table-H --Ioun Stone (leadership) --1</v>
      </c>
      <c r="AT52" s="6" t="s">
        <v>354</v>
      </c>
      <c r="AU52" s="6" t="s">
        <v>1397</v>
      </c>
      <c r="AV52" s="6">
        <v>1</v>
      </c>
      <c r="AW52" s="9">
        <f>IF(AV52=0,"-",IF(AV52=1,SUM(AV$1:AV51)+1,SUM(AV$1:AV51)+1 &amp; "-" &amp; SUM(AV$1:AV52)))</f>
        <v>98</v>
      </c>
      <c r="AX52" s="6" t="str">
        <f t="shared" si="14"/>
        <v>!import-table-item --Magic-Item-Table-I --Talisman of the Sphere --1</v>
      </c>
    </row>
    <row r="53" spans="26:50" x14ac:dyDescent="0.25">
      <c r="Z53" s="6" t="s">
        <v>147</v>
      </c>
      <c r="AA53" s="6" t="s">
        <v>1397</v>
      </c>
      <c r="AB53" s="6">
        <v>1</v>
      </c>
      <c r="AC53" s="9">
        <f>IF(AB53=0,"-",IF(AB53=1,SUM(AB$1:AB52)+1,SUM(AB$1:AB52)+1 &amp; "-" &amp; SUM(AB$1:AB53)))</f>
        <v>92</v>
      </c>
      <c r="AD53" s="6" t="str">
        <f t="shared" si="11"/>
        <v>!import-table-item --Magic-Item-Table-F --Pipes of the Sewers --1</v>
      </c>
      <c r="AE53" s="6" t="s">
        <v>207</v>
      </c>
      <c r="AF53" s="6" t="s">
        <v>1397</v>
      </c>
      <c r="AG53" s="6">
        <v>1</v>
      </c>
      <c r="AH53" s="9">
        <f>IF(AG53=0,"-",IF(AG53=1,SUM(AG$1:AG52)+1,SUM(AG$1:AG52)+1 &amp; "-" &amp; SUM(AG$1:AG53)))</f>
        <v>64</v>
      </c>
      <c r="AI53" s="6" t="str">
        <f t="shared" si="12"/>
        <v>!import-table-item --Magic-Item-Table-G --Ring of Animal Influence --1</v>
      </c>
      <c r="AO53" s="6" t="s">
        <v>287</v>
      </c>
      <c r="AP53" s="6" t="s">
        <v>1397</v>
      </c>
      <c r="AQ53" s="6">
        <v>1</v>
      </c>
      <c r="AR53" s="9">
        <f>IF(AQ53=0,"-",IF(AQ53=1,SUM(AQ$1:AQ52)+1,SUM(AQ$1:AQ52)+1 &amp; "-" &amp; SUM(AQ$1:AQ53)))</f>
        <v>83</v>
      </c>
      <c r="AS53" s="6" t="str">
        <f t="shared" si="13"/>
        <v>!import-table-item --Magic-Item-Table-H --Ioun Stone (strength) --1</v>
      </c>
      <c r="AT53" s="6" t="s">
        <v>355</v>
      </c>
      <c r="AU53" s="6" t="s">
        <v>1397</v>
      </c>
      <c r="AV53" s="6">
        <v>1</v>
      </c>
      <c r="AW53" s="9">
        <f>IF(AV53=0,"-",IF(AV53=1,SUM(AV$1:AV52)+1,SUM(AV$1:AV52)+1 &amp; "-" &amp; SUM(AV$1:AV53)))</f>
        <v>99</v>
      </c>
      <c r="AX53" s="6" t="str">
        <f t="shared" si="14"/>
        <v>!import-table-item --Magic-Item-Table-I --Talisman of Ultimate Evil --1</v>
      </c>
    </row>
    <row r="54" spans="26:50" x14ac:dyDescent="0.25">
      <c r="Z54" s="6" t="s">
        <v>148</v>
      </c>
      <c r="AA54" s="6" t="s">
        <v>1397</v>
      </c>
      <c r="AB54" s="6">
        <v>1</v>
      </c>
      <c r="AC54" s="9">
        <f>IF(AB54=0,"-",IF(AB54=1,SUM(AB$1:AB53)+1,SUM(AB$1:AB53)+1 &amp; "-" &amp; SUM(AB$1:AB54)))</f>
        <v>93</v>
      </c>
      <c r="AD54" s="6" t="str">
        <f t="shared" si="11"/>
        <v>!import-table-item --Magic-Item-Table-F --Ring of Jumping --1</v>
      </c>
      <c r="AE54" s="6" t="s">
        <v>208</v>
      </c>
      <c r="AF54" s="6" t="s">
        <v>1397</v>
      </c>
      <c r="AG54" s="6">
        <v>1</v>
      </c>
      <c r="AH54" s="9">
        <f>IF(AG54=0,"-",IF(AG54=1,SUM(AG$1:AG53)+1,SUM(AG$1:AG53)+1 &amp; "-" &amp; SUM(AG$1:AG54)))</f>
        <v>65</v>
      </c>
      <c r="AI54" s="6" t="str">
        <f t="shared" si="12"/>
        <v>!import-table-item --Magic-Item-Table-G --Ring of Evasion --1</v>
      </c>
      <c r="AO54" s="6" t="s">
        <v>288</v>
      </c>
      <c r="AP54" s="6" t="s">
        <v>1397</v>
      </c>
      <c r="AQ54" s="6">
        <v>1</v>
      </c>
      <c r="AR54" s="9">
        <f>IF(AQ54=0,"-",IF(AQ54=1,SUM(AQ$1:AQ53)+1,SUM(AQ$1:AQ53)+1 &amp; "-" &amp; SUM(AQ$1:AQ54)))</f>
        <v>84</v>
      </c>
      <c r="AS54" s="6" t="str">
        <f t="shared" si="13"/>
        <v>!import-table-item --Magic-Item-Table-H --Armor, +2 leather --1</v>
      </c>
      <c r="AT54" s="6" t="s">
        <v>356</v>
      </c>
      <c r="AU54" s="6" t="s">
        <v>1397</v>
      </c>
      <c r="AV54" s="6">
        <v>1</v>
      </c>
      <c r="AW54" s="9">
        <f>IF(AV54=0,"-",IF(AV54=1,SUM(AV$1:AV53)+1,SUM(AV$1:AV53)+1 &amp; "-" &amp; SUM(AV$1:AV54)))</f>
        <v>100</v>
      </c>
      <c r="AX54" s="6" t="str">
        <f t="shared" si="14"/>
        <v>!import-table-item --Magic-Item-Table-I --Tome of the Stilled Tongue --1</v>
      </c>
    </row>
    <row r="55" spans="26:50" x14ac:dyDescent="0.25">
      <c r="Z55" s="6" t="s">
        <v>149</v>
      </c>
      <c r="AA55" s="6" t="s">
        <v>1397</v>
      </c>
      <c r="AB55" s="6">
        <v>1</v>
      </c>
      <c r="AC55" s="9">
        <f>IF(AB55=0,"-",IF(AB55=1,SUM(AB$1:AB54)+1,SUM(AB$1:AB54)+1 &amp; "-" &amp; SUM(AB$1:AB55)))</f>
        <v>94</v>
      </c>
      <c r="AD55" s="6" t="str">
        <f t="shared" si="11"/>
        <v>!import-table-item --Magic-Item-Table-F --Ring of Mind Shielding --1</v>
      </c>
      <c r="AE55" s="6" t="s">
        <v>373</v>
      </c>
      <c r="AF55" s="6" t="s">
        <v>1397</v>
      </c>
      <c r="AG55" s="6">
        <v>1</v>
      </c>
      <c r="AH55" s="9">
        <f>IF(AG55=0,"-",IF(AG55=1,SUM(AG$1:AG54)+1,SUM(AG$1:AG54)+1 &amp; "-" &amp; SUM(AG$1:AG55)))</f>
        <v>66</v>
      </c>
      <c r="AI55" s="6" t="str">
        <f t="shared" si="12"/>
        <v>!import-table-item --Magic-Item-Table-G --Ring of Feather Falling --1</v>
      </c>
      <c r="AO55" s="6" t="s">
        <v>289</v>
      </c>
      <c r="AP55" s="6" t="s">
        <v>1397</v>
      </c>
      <c r="AQ55" s="6">
        <v>1</v>
      </c>
      <c r="AR55" s="9">
        <f>IF(AQ55=0,"-",IF(AQ55=1,SUM(AQ$1:AQ54)+1,SUM(AQ$1:AQ54)+1 &amp; "-" &amp; SUM(AQ$1:AQ55)))</f>
        <v>85</v>
      </c>
      <c r="AS55" s="6" t="str">
        <f t="shared" si="13"/>
        <v>!import-table-item --Magic-Item-Table-H --Manual of Bodily Health --1</v>
      </c>
    </row>
    <row r="56" spans="26:50" x14ac:dyDescent="0.25">
      <c r="Z56" s="6" t="s">
        <v>150</v>
      </c>
      <c r="AA56" s="6" t="s">
        <v>1397</v>
      </c>
      <c r="AB56" s="6">
        <v>1</v>
      </c>
      <c r="AC56" s="9">
        <f>IF(AB56=0,"-",IF(AB56=1,SUM(AB$1:AB55)+1,SUM(AB$1:AB55)+1 &amp; "-" &amp; SUM(AB$1:AB56)))</f>
        <v>95</v>
      </c>
      <c r="AD56" s="6" t="str">
        <f t="shared" si="11"/>
        <v>!import-table-item --Magic-Item-Table-F --Ring of Warmth --1</v>
      </c>
      <c r="AE56" s="6" t="s">
        <v>209</v>
      </c>
      <c r="AF56" s="6" t="s">
        <v>1397</v>
      </c>
      <c r="AG56" s="6">
        <v>1</v>
      </c>
      <c r="AH56" s="9">
        <f>IF(AG56=0,"-",IF(AG56=1,SUM(AG$1:AG55)+1,SUM(AG$1:AG55)+1 &amp; "-" &amp; SUM(AG$1:AG56)))</f>
        <v>67</v>
      </c>
      <c r="AI56" s="6" t="str">
        <f t="shared" si="12"/>
        <v>!import-table-item --Magic-Item-Table-G --Ring of Free Action --1</v>
      </c>
      <c r="AO56" s="6" t="s">
        <v>290</v>
      </c>
      <c r="AP56" s="6" t="s">
        <v>1397</v>
      </c>
      <c r="AQ56" s="6">
        <v>1</v>
      </c>
      <c r="AR56" s="9">
        <f>IF(AQ56=0,"-",IF(AQ56=1,SUM(AQ$1:AQ55)+1,SUM(AQ$1:AQ55)+1 &amp; "-" &amp; SUM(AQ$1:AQ56)))</f>
        <v>86</v>
      </c>
      <c r="AS56" s="6" t="str">
        <f t="shared" si="13"/>
        <v>!import-table-item --Magic-Item-Table-H --Manual of Gainful Exercise --1</v>
      </c>
    </row>
    <row r="57" spans="26:50" x14ac:dyDescent="0.25">
      <c r="Z57" s="6" t="s">
        <v>151</v>
      </c>
      <c r="AA57" s="6" t="s">
        <v>1397</v>
      </c>
      <c r="AB57" s="6">
        <v>1</v>
      </c>
      <c r="AC57" s="9">
        <f>IF(AB57=0,"-",IF(AB57=1,SUM(AB$1:AB56)+1,SUM(AB$1:AB56)+1 &amp; "-" &amp; SUM(AB$1:AB57)))</f>
        <v>96</v>
      </c>
      <c r="AD57" s="6" t="str">
        <f t="shared" si="11"/>
        <v>!import-table-item --Magic-Item-Table-F --Ring of Water Walking --1</v>
      </c>
      <c r="AE57" s="6" t="s">
        <v>210</v>
      </c>
      <c r="AF57" s="6" t="s">
        <v>1397</v>
      </c>
      <c r="AG57" s="6">
        <v>1</v>
      </c>
      <c r="AH57" s="9">
        <f>IF(AG57=0,"-",IF(AG57=1,SUM(AG$1:AG56)+1,SUM(AG$1:AG56)+1 &amp; "-" &amp; SUM(AG$1:AG57)))</f>
        <v>68</v>
      </c>
      <c r="AI57" s="6" t="str">
        <f t="shared" si="12"/>
        <v>!import-table-item --Magic-Item-Table-G --Ring of Protection --1</v>
      </c>
      <c r="AO57" s="6" t="s">
        <v>291</v>
      </c>
      <c r="AP57" s="6" t="s">
        <v>1397</v>
      </c>
      <c r="AQ57" s="6">
        <v>1</v>
      </c>
      <c r="AR57" s="9">
        <f>IF(AQ57=0,"-",IF(AQ57=1,SUM(AQ$1:AQ56)+1,SUM(AQ$1:AQ56)+1 &amp; "-" &amp; SUM(AQ$1:AQ57)))</f>
        <v>87</v>
      </c>
      <c r="AS57" s="6" t="str">
        <f t="shared" si="13"/>
        <v>!import-table-item --Magic-Item-Table-H --Manual of Golems --1</v>
      </c>
    </row>
    <row r="58" spans="26:50" x14ac:dyDescent="0.25">
      <c r="Z58" s="6" t="s">
        <v>152</v>
      </c>
      <c r="AA58" s="6" t="s">
        <v>1397</v>
      </c>
      <c r="AB58" s="6">
        <v>1</v>
      </c>
      <c r="AC58" s="9">
        <f>IF(AB58=0,"-",IF(AB58=1,SUM(AB$1:AB57)+1,SUM(AB$1:AB57)+1 &amp; "-" &amp; SUM(AB$1:AB58)))</f>
        <v>97</v>
      </c>
      <c r="AD58" s="6" t="str">
        <f t="shared" si="11"/>
        <v>!import-table-item --Magic-Item-Table-F --Quiver of Ehlonna --1</v>
      </c>
      <c r="AE58" s="6" t="s">
        <v>211</v>
      </c>
      <c r="AF58" s="6" t="s">
        <v>1397</v>
      </c>
      <c r="AG58" s="6">
        <v>1</v>
      </c>
      <c r="AH58" s="9">
        <f>IF(AG58=0,"-",IF(AG58=1,SUM(AG$1:AG57)+1,SUM(AG$1:AG57)+1 &amp; "-" &amp; SUM(AG$1:AG58)))</f>
        <v>69</v>
      </c>
      <c r="AI58" s="6" t="str">
        <f t="shared" si="12"/>
        <v>!import-table-item --Magic-Item-Table-G --Ring of Resistance --1</v>
      </c>
      <c r="AO58" s="6" t="s">
        <v>292</v>
      </c>
      <c r="AP58" s="6" t="s">
        <v>1397</v>
      </c>
      <c r="AQ58" s="6">
        <v>1</v>
      </c>
      <c r="AR58" s="9">
        <f>IF(AQ58=0,"-",IF(AQ58=1,SUM(AQ$1:AQ57)+1,SUM(AQ$1:AQ57)+1 &amp; "-" &amp; SUM(AQ$1:AQ58)))</f>
        <v>88</v>
      </c>
      <c r="AS58" s="6" t="str">
        <f t="shared" si="13"/>
        <v>!import-table-item --Magic-Item-Table-H --Manual of Quickness of Action --1</v>
      </c>
    </row>
    <row r="59" spans="26:50" x14ac:dyDescent="0.25">
      <c r="Z59" s="6" t="s">
        <v>153</v>
      </c>
      <c r="AA59" s="6" t="s">
        <v>1397</v>
      </c>
      <c r="AB59" s="6">
        <v>1</v>
      </c>
      <c r="AC59" s="9">
        <f>IF(AB59=0,"-",IF(AB59=1,SUM(AB$1:AB58)+1,SUM(AB$1:AB58)+1 &amp; "-" &amp; SUM(AB$1:AB59)))</f>
        <v>98</v>
      </c>
      <c r="AD59" s="6" t="str">
        <f t="shared" si="11"/>
        <v>!import-table-item --Magic-Item-Table-F --Stone of Good Luck --1</v>
      </c>
      <c r="AE59" s="6" t="s">
        <v>212</v>
      </c>
      <c r="AF59" s="6" t="s">
        <v>1397</v>
      </c>
      <c r="AG59" s="6">
        <v>1</v>
      </c>
      <c r="AH59" s="9">
        <f>IF(AG59=0,"-",IF(AG59=1,SUM(AG$1:AG58)+1,SUM(AG$1:AG58)+1 &amp; "-" &amp; SUM(AG$1:AG59)))</f>
        <v>70</v>
      </c>
      <c r="AI59" s="6" t="str">
        <f t="shared" si="12"/>
        <v>!import-table-item --Magic-Item-Table-G --Ring of Spell Storing --1</v>
      </c>
      <c r="AO59" s="6" t="s">
        <v>293</v>
      </c>
      <c r="AP59" s="6" t="s">
        <v>1397</v>
      </c>
      <c r="AQ59" s="6">
        <v>1</v>
      </c>
      <c r="AR59" s="9">
        <f>IF(AQ59=0,"-",IF(AQ59=1,SUM(AQ$1:AQ58)+1,SUM(AQ$1:AQ58)+1 &amp; "-" &amp; SUM(AQ$1:AQ59)))</f>
        <v>89</v>
      </c>
      <c r="AS59" s="6" t="str">
        <f t="shared" si="13"/>
        <v>!import-table-item --Magic-Item-Table-H --Mirror of Life Trapping --1</v>
      </c>
    </row>
    <row r="60" spans="26:50" x14ac:dyDescent="0.25">
      <c r="Z60" s="6" t="s">
        <v>154</v>
      </c>
      <c r="AA60" s="6" t="s">
        <v>1397</v>
      </c>
      <c r="AB60" s="6">
        <v>1</v>
      </c>
      <c r="AC60" s="9">
        <f>IF(AB60=0,"-",IF(AB60=1,SUM(AB$1:AB59)+1,SUM(AB$1:AB59)+1 &amp; "-" &amp; SUM(AB$1:AB60)))</f>
        <v>99</v>
      </c>
      <c r="AD60" s="6" t="str">
        <f t="shared" si="11"/>
        <v>!import-table-item --Magic-Item-Table-F --Wind Fan --1</v>
      </c>
      <c r="AE60" s="6" t="s">
        <v>213</v>
      </c>
      <c r="AF60" s="6" t="s">
        <v>1397</v>
      </c>
      <c r="AG60" s="6">
        <v>1</v>
      </c>
      <c r="AH60" s="9">
        <f>IF(AG60=0,"-",IF(AG60=1,SUM(AG$1:AG59)+1,SUM(AG$1:AG59)+1 &amp; "-" &amp; SUM(AG$1:AG60)))</f>
        <v>71</v>
      </c>
      <c r="AI60" s="6" t="str">
        <f t="shared" si="12"/>
        <v>!import-table-item --Magic-Item-Table-G --Ring of the Ram --1</v>
      </c>
      <c r="AO60" s="6" t="s">
        <v>294</v>
      </c>
      <c r="AP60" s="6" t="s">
        <v>1397</v>
      </c>
      <c r="AQ60" s="6">
        <v>1</v>
      </c>
      <c r="AR60" s="9">
        <f>IF(AQ60=0,"-",IF(AQ60=1,SUM(AQ$1:AQ59)+1,SUM(AQ$1:AQ59)+1 &amp; "-" &amp; SUM(AQ$1:AQ60)))</f>
        <v>90</v>
      </c>
      <c r="AS60" s="6" t="str">
        <f t="shared" si="13"/>
        <v>!import-table-item --Magic-Item-Table-H --Nine Lives Stealer --1</v>
      </c>
    </row>
    <row r="61" spans="26:50" x14ac:dyDescent="0.25">
      <c r="Z61" s="6" t="s">
        <v>155</v>
      </c>
      <c r="AA61" s="6" t="s">
        <v>1397</v>
      </c>
      <c r="AB61" s="6">
        <v>1</v>
      </c>
      <c r="AC61" s="9">
        <f>IF(AB61=0,"-",IF(AB61=1,SUM(AB$1:AB60)+1,SUM(AB$1:AB60)+1 &amp; "-" &amp; SUM(AB$1:AB61)))</f>
        <v>100</v>
      </c>
      <c r="AD61" s="6" t="str">
        <f t="shared" si="11"/>
        <v>!import-table-item --Magic-Item-Table-F --Winged Boots --1</v>
      </c>
      <c r="AE61" s="6" t="s">
        <v>214</v>
      </c>
      <c r="AF61" s="6" t="s">
        <v>1397</v>
      </c>
      <c r="AG61" s="6">
        <v>1</v>
      </c>
      <c r="AH61" s="9">
        <f>IF(AG61=0,"-",IF(AG61=1,SUM(AG$1:AG60)+1,SUM(AG$1:AG60)+1 &amp; "-" &amp; SUM(AG$1:AG61)))</f>
        <v>72</v>
      </c>
      <c r="AI61" s="6" t="str">
        <f t="shared" si="12"/>
        <v>!import-table-item --Magic-Item-Table-G --Ring of X-Ray Vision --1</v>
      </c>
      <c r="AO61" s="6" t="s">
        <v>295</v>
      </c>
      <c r="AP61" s="6" t="s">
        <v>1397</v>
      </c>
      <c r="AQ61" s="6">
        <v>1</v>
      </c>
      <c r="AR61" s="9">
        <f>IF(AQ61=0,"-",IF(AQ61=1,SUM(AQ$1:AQ60)+1,SUM(AQ$1:AQ60)+1 &amp; "-" &amp; SUM(AQ$1:AQ61)))</f>
        <v>91</v>
      </c>
      <c r="AS61" s="6" t="str">
        <f t="shared" si="13"/>
        <v>!import-table-item --Magic-Item-Table-H --Oathbow --1</v>
      </c>
    </row>
    <row r="62" spans="26:50" x14ac:dyDescent="0.25">
      <c r="AE62" s="6" t="s">
        <v>215</v>
      </c>
      <c r="AF62" s="6" t="s">
        <v>1397</v>
      </c>
      <c r="AG62" s="6">
        <v>1</v>
      </c>
      <c r="AH62" s="9">
        <f>IF(AG62=0,"-",IF(AG62=1,SUM(AG$1:AG61)+1,SUM(AG$1:AG61)+1 &amp; "-" &amp; SUM(AG$1:AG62)))</f>
        <v>73</v>
      </c>
      <c r="AI62" s="6" t="str">
        <f t="shared" si="12"/>
        <v>!import-table-item --Magic-Item-Table-G --Robe of Eyes --1</v>
      </c>
      <c r="AO62" s="6" t="s">
        <v>296</v>
      </c>
      <c r="AP62" s="6" t="s">
        <v>1397</v>
      </c>
      <c r="AQ62" s="6">
        <v>1</v>
      </c>
      <c r="AR62" s="9">
        <f>IF(AQ62=0,"-",IF(AQ62=1,SUM(AQ$1:AQ61)+1,SUM(AQ$1:AQ61)+1 &amp; "-" &amp; SUM(AQ$1:AQ62)))</f>
        <v>92</v>
      </c>
      <c r="AS62" s="6" t="str">
        <f t="shared" si="13"/>
        <v>!import-table-item --Magic-Item-Table-H --Armor, +2 scale mail --1</v>
      </c>
    </row>
    <row r="63" spans="26:50" x14ac:dyDescent="0.25">
      <c r="AE63" s="6" t="s">
        <v>216</v>
      </c>
      <c r="AF63" s="6" t="s">
        <v>1397</v>
      </c>
      <c r="AG63" s="6">
        <v>1</v>
      </c>
      <c r="AH63" s="9">
        <f>IF(AG63=0,"-",IF(AG63=1,SUM(AG$1:AG62)+1,SUM(AG$1:AG62)+1 &amp; "-" &amp; SUM(AG$1:AG63)))</f>
        <v>74</v>
      </c>
      <c r="AI63" s="6" t="str">
        <f t="shared" si="12"/>
        <v>!import-table-item --Magic-Item-Table-G --Rod of Rulership --1</v>
      </c>
      <c r="AO63" s="6" t="s">
        <v>297</v>
      </c>
      <c r="AP63" s="6" t="s">
        <v>1397</v>
      </c>
      <c r="AQ63" s="6">
        <v>1</v>
      </c>
      <c r="AR63" s="9">
        <f>IF(AQ63=0,"-",IF(AQ63=1,SUM(AQ$1:AQ62)+1,SUM(AQ$1:AQ62)+1 &amp; "-" &amp; SUM(AQ$1:AQ63)))</f>
        <v>93</v>
      </c>
      <c r="AS63" s="6" t="str">
        <f t="shared" si="13"/>
        <v>!import-table-item --Magic-Item-Table-H --Spellguard Shield --1</v>
      </c>
    </row>
    <row r="64" spans="26:50" x14ac:dyDescent="0.25">
      <c r="AE64" s="6" t="s">
        <v>217</v>
      </c>
      <c r="AF64" s="6" t="s">
        <v>1397</v>
      </c>
      <c r="AG64" s="6">
        <v>1</v>
      </c>
      <c r="AH64" s="9">
        <f>IF(AG64=0,"-",IF(AG64=1,SUM(AG$1:AG63)+1,SUM(AG$1:AG63)+1 &amp; "-" &amp; SUM(AG$1:AG64)))</f>
        <v>75</v>
      </c>
      <c r="AI64" s="6" t="str">
        <f t="shared" si="12"/>
        <v>!import-table-item --Magic-Item-Table-G --Rod of the Pact Keeper, +2 --1</v>
      </c>
      <c r="AO64" s="6" t="s">
        <v>298</v>
      </c>
      <c r="AP64" s="6" t="s">
        <v>1397</v>
      </c>
      <c r="AQ64" s="6">
        <v>1</v>
      </c>
      <c r="AR64" s="9">
        <f>IF(AQ64=0,"-",IF(AQ64=1,SUM(AQ$1:AQ63)+1,SUM(AQ$1:AQ63)+1 &amp; "-" &amp; SUM(AQ$1:AQ64)))</f>
        <v>94</v>
      </c>
      <c r="AS64" s="6" t="str">
        <f t="shared" si="13"/>
        <v>!import-table-item --Magic-Item-Table-H --Armor, +1 splint --1</v>
      </c>
    </row>
    <row r="65" spans="31:45" x14ac:dyDescent="0.25">
      <c r="AE65" s="6" t="s">
        <v>218</v>
      </c>
      <c r="AF65" s="6" t="s">
        <v>1397</v>
      </c>
      <c r="AG65" s="6">
        <v>1</v>
      </c>
      <c r="AH65" s="9">
        <f>IF(AG65=0,"-",IF(AG65=1,SUM(AG$1:AG64)+1,SUM(AG$1:AG64)+1 &amp; "-" &amp; SUM(AG$1:AG65)))</f>
        <v>76</v>
      </c>
      <c r="AI65" s="6" t="str">
        <f t="shared" si="12"/>
        <v>!import-table-item --Magic-Item-Table-G --Rope of Entanglement --1</v>
      </c>
      <c r="AO65" s="6" t="s">
        <v>299</v>
      </c>
      <c r="AP65" s="6" t="s">
        <v>1397</v>
      </c>
      <c r="AQ65" s="6">
        <v>1</v>
      </c>
      <c r="AR65" s="9">
        <f>IF(AQ65=0,"-",IF(AQ65=1,SUM(AQ$1:AQ64)+1,SUM(AQ$1:AQ64)+1 &amp; "-" &amp; SUM(AQ$1:AQ65)))</f>
        <v>95</v>
      </c>
      <c r="AS65" s="6" t="str">
        <f t="shared" si="13"/>
        <v>!import-table-item --Magic-Item-Table-H --Armor of Resistance (splint) --1</v>
      </c>
    </row>
    <row r="66" spans="31:45" x14ac:dyDescent="0.25">
      <c r="AE66" s="6" t="s">
        <v>219</v>
      </c>
      <c r="AF66" s="6" t="s">
        <v>1397</v>
      </c>
      <c r="AG66" s="6">
        <v>1</v>
      </c>
      <c r="AH66" s="9">
        <f>IF(AG66=0,"-",IF(AG66=1,SUM(AG$1:AG65)+1,SUM(AG$1:AG65)+1 &amp; "-" &amp; SUM(AG$1:AG66)))</f>
        <v>77</v>
      </c>
      <c r="AI66" s="6" t="str">
        <f t="shared" ref="AI66:AI89" si="15">"!import-table-item --" &amp; AE$1 &amp; " --" &amp; AE66 &amp; " --" &amp; AG66</f>
        <v>!import-table-item --Magic-Item-Table-G --Armor, +1 scale mail --1</v>
      </c>
      <c r="AO66" s="6" t="s">
        <v>300</v>
      </c>
      <c r="AP66" s="6" t="s">
        <v>1397</v>
      </c>
      <c r="AQ66" s="6">
        <v>1</v>
      </c>
      <c r="AR66" s="9">
        <f>IF(AQ66=0,"-",IF(AQ66=1,SUM(AQ$1:AQ65)+1,SUM(AQ$1:AQ65)+1 &amp; "-" &amp; SUM(AQ$1:AQ66)))</f>
        <v>96</v>
      </c>
      <c r="AS66" s="6" t="str">
        <f t="shared" si="13"/>
        <v>!import-table-item --Magic-Item-Table-H --Armor, +1 studded leather --1</v>
      </c>
    </row>
    <row r="67" spans="31:45" x14ac:dyDescent="0.25">
      <c r="AE67" s="6" t="s">
        <v>220</v>
      </c>
      <c r="AF67" s="6" t="s">
        <v>1397</v>
      </c>
      <c r="AG67" s="6">
        <v>1</v>
      </c>
      <c r="AH67" s="9">
        <f>IF(AG67=0,"-",IF(AG67=1,SUM(AG$1:AG66)+1,SUM(AG$1:AG66)+1 &amp; "-" &amp; SUM(AG$1:AG67)))</f>
        <v>78</v>
      </c>
      <c r="AI67" s="6" t="str">
        <f t="shared" si="15"/>
        <v>!import-table-item --Magic-Item-Table-G --Armor of Resistance (scale mail) --1</v>
      </c>
      <c r="AO67" s="6" t="s">
        <v>301</v>
      </c>
      <c r="AP67" s="6" t="s">
        <v>1397</v>
      </c>
      <c r="AQ67" s="6">
        <v>1</v>
      </c>
      <c r="AR67" s="9">
        <f>IF(AQ67=0,"-",IF(AQ67=1,SUM(AQ$1:AQ66)+1,SUM(AQ$1:AQ66)+1 &amp; "-" &amp; SUM(AQ$1:AQ67)))</f>
        <v>97</v>
      </c>
      <c r="AS67" s="6" t="str">
        <f t="shared" si="13"/>
        <v>!import-table-item --Magic-Item-Table-H --Armor of Resistance (studded leather) --1</v>
      </c>
    </row>
    <row r="68" spans="31:45" x14ac:dyDescent="0.25">
      <c r="AE68" s="6" t="s">
        <v>221</v>
      </c>
      <c r="AF68" s="6" t="s">
        <v>1397</v>
      </c>
      <c r="AG68" s="6">
        <v>1</v>
      </c>
      <c r="AH68" s="9">
        <f>IF(AG68=0,"-",IF(AG68=1,SUM(AG$1:AG67)+1,SUM(AG$1:AG67)+1 &amp; "-" &amp; SUM(AG$1:AG68)))</f>
        <v>79</v>
      </c>
      <c r="AI68" s="6" t="str">
        <f t="shared" si="15"/>
        <v>!import-table-item --Magic-Item-Table-G --Shield, +2 --1</v>
      </c>
      <c r="AO68" s="6" t="s">
        <v>302</v>
      </c>
      <c r="AP68" s="6" t="s">
        <v>1397</v>
      </c>
      <c r="AQ68" s="6">
        <v>1</v>
      </c>
      <c r="AR68" s="9">
        <f>IF(AQ68=0,"-",IF(AQ68=1,SUM(AQ$1:AQ67)+1,SUM(AQ$1:AQ67)+1 &amp; "-" &amp; SUM(AQ$1:AQ68)))</f>
        <v>98</v>
      </c>
      <c r="AS68" s="6" t="str">
        <f t="shared" si="13"/>
        <v>!import-table-item --Magic-Item-Table-H --Tome of Clear Thought --1</v>
      </c>
    </row>
    <row r="69" spans="31:45" x14ac:dyDescent="0.25">
      <c r="AE69" s="6" t="s">
        <v>222</v>
      </c>
      <c r="AF69" s="6" t="s">
        <v>1397</v>
      </c>
      <c r="AG69" s="6">
        <v>1</v>
      </c>
      <c r="AH69" s="9">
        <f>IF(AG69=0,"-",IF(AG69=1,SUM(AG$1:AG68)+1,SUM(AG$1:AG68)+1 &amp; "-" &amp; SUM(AG$1:AG69)))</f>
        <v>80</v>
      </c>
      <c r="AI69" s="6" t="str">
        <f t="shared" si="15"/>
        <v>!import-table-item --Magic-Item-Table-G --Shield of Missile Attraction --1</v>
      </c>
      <c r="AO69" s="6" t="s">
        <v>303</v>
      </c>
      <c r="AP69" s="6" t="s">
        <v>1397</v>
      </c>
      <c r="AQ69" s="6">
        <v>1</v>
      </c>
      <c r="AR69" s="9">
        <f>IF(AQ69=0,"-",IF(AQ69=1,SUM(AQ$1:AQ68)+1,SUM(AQ$1:AQ68)+1 &amp; "-" &amp; SUM(AQ$1:AQ69)))</f>
        <v>99</v>
      </c>
      <c r="AS69" s="6" t="str">
        <f t="shared" si="13"/>
        <v>!import-table-item --Magic-Item-Table-H --Tome of Leadership and Influence --1</v>
      </c>
    </row>
    <row r="70" spans="31:45" x14ac:dyDescent="0.25">
      <c r="AE70" s="6" t="s">
        <v>223</v>
      </c>
      <c r="AF70" s="6" t="s">
        <v>1397</v>
      </c>
      <c r="AG70" s="6">
        <v>1</v>
      </c>
      <c r="AH70" s="9">
        <f>IF(AG70=0,"-",IF(AG70=1,SUM(AG$1:AG69)+1,SUM(AG$1:AG69)+1 &amp; "-" &amp; SUM(AG$1:AG70)))</f>
        <v>81</v>
      </c>
      <c r="AI70" s="6" t="str">
        <f t="shared" si="15"/>
        <v>!import-table-item --Magic-Item-Table-G --Staff of Charming --1</v>
      </c>
      <c r="AO70" s="6" t="s">
        <v>304</v>
      </c>
      <c r="AP70" s="6" t="s">
        <v>1397</v>
      </c>
      <c r="AQ70" s="6">
        <v>1</v>
      </c>
      <c r="AR70" s="9">
        <f>IF(AQ70=0,"-",IF(AQ70=1,SUM(AQ$1:AQ69)+1,SUM(AQ$1:AQ69)+1 &amp; "-" &amp; SUM(AQ$1:AQ70)))</f>
        <v>100</v>
      </c>
      <c r="AS70" s="6" t="str">
        <f t="shared" si="13"/>
        <v>!import-table-item --Magic-Item-Table-H --Tome of Understanding --1</v>
      </c>
    </row>
    <row r="71" spans="31:45" x14ac:dyDescent="0.25">
      <c r="AE71" s="6" t="s">
        <v>374</v>
      </c>
      <c r="AF71" s="6" t="s">
        <v>1397</v>
      </c>
      <c r="AG71" s="6">
        <v>1</v>
      </c>
      <c r="AH71" s="9">
        <f>IF(AG71=0,"-",IF(AG71=1,SUM(AG$1:AG70)+1,SUM(AG$1:AG70)+1 &amp; "-" &amp; SUM(AG$1:AG71)))</f>
        <v>82</v>
      </c>
      <c r="AI71" s="6" t="str">
        <f t="shared" si="15"/>
        <v>!import-table-item --Magic-Item-Table-G --Staff of Healing --1</v>
      </c>
    </row>
    <row r="72" spans="31:45" x14ac:dyDescent="0.25">
      <c r="AE72" s="6" t="s">
        <v>224</v>
      </c>
      <c r="AF72" s="6" t="s">
        <v>1397</v>
      </c>
      <c r="AG72" s="6">
        <v>1</v>
      </c>
      <c r="AH72" s="9">
        <f>IF(AG72=0,"-",IF(AG72=1,SUM(AG$1:AG71)+1,SUM(AG$1:AG71)+1 &amp; "-" &amp; SUM(AG$1:AG72)))</f>
        <v>83</v>
      </c>
      <c r="AI72" s="6" t="str">
        <f t="shared" si="15"/>
        <v>!import-table-item --Magic-Item-Table-G --Staff of Swarming Insects --1</v>
      </c>
    </row>
    <row r="73" spans="31:45" x14ac:dyDescent="0.25">
      <c r="AE73" s="6" t="s">
        <v>225</v>
      </c>
      <c r="AF73" s="6" t="s">
        <v>1397</v>
      </c>
      <c r="AG73" s="6">
        <v>1</v>
      </c>
      <c r="AH73" s="9">
        <f>IF(AG73=0,"-",IF(AG73=1,SUM(AG$1:AG72)+1,SUM(AG$1:AG72)+1 &amp; "-" &amp; SUM(AG$1:AG73)))</f>
        <v>84</v>
      </c>
      <c r="AI73" s="6" t="str">
        <f t="shared" si="15"/>
        <v>!import-table-item --Magic-Item-Table-G --Staff of the Woodlands --1</v>
      </c>
    </row>
    <row r="74" spans="31:45" x14ac:dyDescent="0.25">
      <c r="AE74" s="6" t="s">
        <v>226</v>
      </c>
      <c r="AF74" s="6" t="s">
        <v>1397</v>
      </c>
      <c r="AG74" s="6">
        <v>1</v>
      </c>
      <c r="AH74" s="9">
        <f>IF(AG74=0,"-",IF(AG74=1,SUM(AG$1:AG73)+1,SUM(AG$1:AG73)+1 &amp; "-" &amp; SUM(AG$1:AG74)))</f>
        <v>85</v>
      </c>
      <c r="AI74" s="6" t="str">
        <f t="shared" si="15"/>
        <v>!import-table-item --Magic-Item-Table-G --Staff of Withering --1</v>
      </c>
    </row>
    <row r="75" spans="31:45" x14ac:dyDescent="0.25">
      <c r="AE75" s="6" t="s">
        <v>227</v>
      </c>
      <c r="AF75" s="6" t="s">
        <v>1397</v>
      </c>
      <c r="AG75" s="6">
        <v>1</v>
      </c>
      <c r="AH75" s="9">
        <f>IF(AG75=0,"-",IF(AG75=1,SUM(AG$1:AG74)+1,SUM(AG$1:AG74)+1 &amp; "-" &amp; SUM(AG$1:AG75)))</f>
        <v>86</v>
      </c>
      <c r="AI75" s="6" t="str">
        <f t="shared" si="15"/>
        <v>!import-table-item --Magic-Item-Table-G --Stone of Controlling Earth Elementals --1</v>
      </c>
    </row>
    <row r="76" spans="31:45" x14ac:dyDescent="0.25">
      <c r="AE76" s="6" t="s">
        <v>228</v>
      </c>
      <c r="AF76" s="6" t="s">
        <v>1397</v>
      </c>
      <c r="AG76" s="6">
        <v>1</v>
      </c>
      <c r="AH76" s="9">
        <f>IF(AG76=0,"-",IF(AG76=1,SUM(AG$1:AG75)+1,SUM(AG$1:AG75)+1 &amp; "-" &amp; SUM(AG$1:AG76)))</f>
        <v>87</v>
      </c>
      <c r="AI76" s="6" t="str">
        <f t="shared" si="15"/>
        <v>!import-table-item --Magic-Item-Table-G --Sun Blade --1</v>
      </c>
    </row>
    <row r="77" spans="31:45" x14ac:dyDescent="0.25">
      <c r="AE77" s="6" t="s">
        <v>229</v>
      </c>
      <c r="AF77" s="6" t="s">
        <v>1397</v>
      </c>
      <c r="AG77" s="6">
        <v>1</v>
      </c>
      <c r="AH77" s="9">
        <f>IF(AG77=0,"-",IF(AG77=1,SUM(AG$1:AG76)+1,SUM(AG$1:AG76)+1 &amp; "-" &amp; SUM(AG$1:AG77)))</f>
        <v>88</v>
      </c>
      <c r="AI77" s="6" t="str">
        <f t="shared" si="15"/>
        <v>!import-table-item --Magic-Item-Table-G --Sword of Life Stealing --1</v>
      </c>
    </row>
    <row r="78" spans="31:45" x14ac:dyDescent="0.25">
      <c r="AE78" s="6" t="s">
        <v>230</v>
      </c>
      <c r="AF78" s="6" t="s">
        <v>1397</v>
      </c>
      <c r="AG78" s="6">
        <v>1</v>
      </c>
      <c r="AH78" s="9">
        <f>IF(AG78=0,"-",IF(AG78=1,SUM(AG$1:AG77)+1,SUM(AG$1:AG77)+1 &amp; "-" &amp; SUM(AG$1:AG78)))</f>
        <v>89</v>
      </c>
      <c r="AI78" s="6" t="str">
        <f t="shared" si="15"/>
        <v>!import-table-item --Magic-Item-Table-G --Sword of Wounding --1</v>
      </c>
    </row>
    <row r="79" spans="31:45" x14ac:dyDescent="0.25">
      <c r="AE79" s="6" t="s">
        <v>231</v>
      </c>
      <c r="AF79" s="6" t="s">
        <v>1397</v>
      </c>
      <c r="AG79" s="6">
        <v>1</v>
      </c>
      <c r="AH79" s="9">
        <f>IF(AG79=0,"-",IF(AG79=1,SUM(AG$1:AG78)+1,SUM(AG$1:AG78)+1 &amp; "-" &amp; SUM(AG$1:AG79)))</f>
        <v>90</v>
      </c>
      <c r="AI79" s="6" t="str">
        <f t="shared" si="15"/>
        <v>!import-table-item --Magic-Item-Table-G --Tentacle Rod --1</v>
      </c>
    </row>
    <row r="80" spans="31:45" x14ac:dyDescent="0.25">
      <c r="AE80" s="6" t="s">
        <v>232</v>
      </c>
      <c r="AF80" s="6" t="s">
        <v>1397</v>
      </c>
      <c r="AG80" s="6">
        <v>1</v>
      </c>
      <c r="AH80" s="9">
        <f>IF(AG80=0,"-",IF(AG80=1,SUM(AG$1:AG79)+1,SUM(AG$1:AG79)+1 &amp; "-" &amp; SUM(AG$1:AG80)))</f>
        <v>91</v>
      </c>
      <c r="AI80" s="6" t="str">
        <f t="shared" si="15"/>
        <v>!import-table-item --Magic-Item-Table-G --Vicious Weapon --1</v>
      </c>
    </row>
    <row r="81" spans="31:35" x14ac:dyDescent="0.25">
      <c r="AE81" s="6" t="s">
        <v>233</v>
      </c>
      <c r="AF81" s="6" t="s">
        <v>1397</v>
      </c>
      <c r="AG81" s="6">
        <v>1</v>
      </c>
      <c r="AH81" s="9">
        <f>IF(AG81=0,"-",IF(AG81=1,SUM(AG$1:AG80)+1,SUM(AG$1:AG80)+1 &amp; "-" &amp; SUM(AG$1:AG81)))</f>
        <v>92</v>
      </c>
      <c r="AI81" s="6" t="str">
        <f t="shared" si="15"/>
        <v>!import-table-item --Magic-Item-Table-G --Wand of Binding --1</v>
      </c>
    </row>
    <row r="82" spans="31:35" x14ac:dyDescent="0.25">
      <c r="AE82" s="6" t="s">
        <v>234</v>
      </c>
      <c r="AF82" s="6" t="s">
        <v>1397</v>
      </c>
      <c r="AG82" s="6">
        <v>1</v>
      </c>
      <c r="AH82" s="9">
        <f>IF(AG82=0,"-",IF(AG82=1,SUM(AG$1:AG81)+1,SUM(AG$1:AG81)+1 &amp; "-" &amp; SUM(AG$1:AG82)))</f>
        <v>93</v>
      </c>
      <c r="AI82" s="6" t="str">
        <f t="shared" si="15"/>
        <v>!import-table-item --Magic-Item-Table-G --Wand of Enemy Detection --1</v>
      </c>
    </row>
    <row r="83" spans="31:35" x14ac:dyDescent="0.25">
      <c r="AE83" s="6" t="s">
        <v>235</v>
      </c>
      <c r="AF83" s="6" t="s">
        <v>1397</v>
      </c>
      <c r="AG83" s="6">
        <v>1</v>
      </c>
      <c r="AH83" s="9">
        <f>IF(AG83=0,"-",IF(AG83=1,SUM(AG$1:AG82)+1,SUM(AG$1:AG82)+1 &amp; "-" &amp; SUM(AG$1:AG83)))</f>
        <v>94</v>
      </c>
      <c r="AI83" s="6" t="str">
        <f t="shared" si="15"/>
        <v>!import-table-item --Magic-Item-Table-G --Wand of Fear --1</v>
      </c>
    </row>
    <row r="84" spans="31:35" x14ac:dyDescent="0.25">
      <c r="AE84" s="6" t="s">
        <v>236</v>
      </c>
      <c r="AF84" s="6" t="s">
        <v>1397</v>
      </c>
      <c r="AG84" s="6">
        <v>1</v>
      </c>
      <c r="AH84" s="9">
        <f>IF(AG84=0,"-",IF(AG84=1,SUM(AG$1:AG83)+1,SUM(AG$1:AG83)+1 &amp; "-" &amp; SUM(AG$1:AG84)))</f>
        <v>95</v>
      </c>
      <c r="AI84" s="6" t="str">
        <f t="shared" si="15"/>
        <v>!import-table-item --Magic-Item-Table-G --Wand of Fireballs --1</v>
      </c>
    </row>
    <row r="85" spans="31:35" x14ac:dyDescent="0.25">
      <c r="AE85" s="6" t="s">
        <v>237</v>
      </c>
      <c r="AF85" s="6" t="s">
        <v>1397</v>
      </c>
      <c r="AG85" s="6">
        <v>1</v>
      </c>
      <c r="AH85" s="9">
        <f>IF(AG85=0,"-",IF(AG85=1,SUM(AG$1:AG84)+1,SUM(AG$1:AG84)+1 &amp; "-" &amp; SUM(AG$1:AG85)))</f>
        <v>96</v>
      </c>
      <c r="AI85" s="6" t="str">
        <f t="shared" si="15"/>
        <v>!import-table-item --Magic-Item-Table-G --Wand of Lightning Bolts --1</v>
      </c>
    </row>
    <row r="86" spans="31:35" x14ac:dyDescent="0.25">
      <c r="AE86" s="6" t="s">
        <v>238</v>
      </c>
      <c r="AF86" s="6" t="s">
        <v>1397</v>
      </c>
      <c r="AG86" s="6">
        <v>1</v>
      </c>
      <c r="AH86" s="9">
        <f>IF(AG86=0,"-",IF(AG86=1,SUM(AG$1:AG85)+1,SUM(AG$1:AG85)+1 &amp; "-" &amp; SUM(AG$1:AG86)))</f>
        <v>97</v>
      </c>
      <c r="AI86" s="6" t="str">
        <f t="shared" si="15"/>
        <v>!import-table-item --Magic-Item-Table-G --Wand of Paralysis --1</v>
      </c>
    </row>
    <row r="87" spans="31:35" x14ac:dyDescent="0.25">
      <c r="AE87" s="6" t="s">
        <v>239</v>
      </c>
      <c r="AF87" s="6" t="s">
        <v>1397</v>
      </c>
      <c r="AG87" s="6">
        <v>1</v>
      </c>
      <c r="AH87" s="9">
        <f>IF(AG87=0,"-",IF(AG87=1,SUM(AG$1:AG86)+1,SUM(AG$1:AG86)+1 &amp; "-" &amp; SUM(AG$1:AG87)))</f>
        <v>98</v>
      </c>
      <c r="AI87" s="6" t="str">
        <f t="shared" si="15"/>
        <v>!import-table-item --Magic-Item-Table-G --Wand of the War Mage, +2 --1</v>
      </c>
    </row>
    <row r="88" spans="31:35" x14ac:dyDescent="0.25">
      <c r="AE88" s="6" t="s">
        <v>240</v>
      </c>
      <c r="AF88" s="6" t="s">
        <v>1397</v>
      </c>
      <c r="AG88" s="6">
        <v>1</v>
      </c>
      <c r="AH88" s="9">
        <f>IF(AG88=0,"-",IF(AG88=1,SUM(AG$1:AG87)+1,SUM(AG$1:AG87)+1 &amp; "-" &amp; SUM(AG$1:AG88)))</f>
        <v>99</v>
      </c>
      <c r="AI88" s="6" t="str">
        <f t="shared" si="15"/>
        <v>!import-table-item --Magic-Item-Table-G --Wand of Wonder --1</v>
      </c>
    </row>
    <row r="89" spans="31:35" x14ac:dyDescent="0.25">
      <c r="AE89" s="6" t="s">
        <v>241</v>
      </c>
      <c r="AF89" s="6" t="s">
        <v>1397</v>
      </c>
      <c r="AG89" s="6">
        <v>1</v>
      </c>
      <c r="AH89" s="9">
        <f>IF(AG89=0,"-",IF(AG89=1,SUM(AG$1:AG88)+1,SUM(AG$1:AG88)+1 &amp; "-" &amp; SUM(AG$1:AG89)))</f>
        <v>100</v>
      </c>
      <c r="AI89" s="6" t="str">
        <f t="shared" si="15"/>
        <v>!import-table-item --Magic-Item-Table-G --Wings of Flying --1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06E60-C8EE-6D4B-B16C-B5124FD8A86C}">
  <dimension ref="A1:EY42"/>
  <sheetViews>
    <sheetView topLeftCell="BE1" zoomScaleNormal="100" workbookViewId="0">
      <selection activeCell="AK19" sqref="AK19"/>
    </sheetView>
  </sheetViews>
  <sheetFormatPr defaultColWidth="11.43359375" defaultRowHeight="18.75" x14ac:dyDescent="0.25"/>
  <cols>
    <col min="1" max="1" width="20.84765625" style="11" bestFit="1" customWidth="1"/>
    <col min="2" max="2" width="8.875" style="6" bestFit="1" customWidth="1"/>
    <col min="3" max="3" width="9.14453125" style="6" bestFit="1" customWidth="1"/>
    <col min="4" max="4" width="7.80078125" style="6" bestFit="1" customWidth="1"/>
    <col min="5" max="5" width="70.0859375" style="15" bestFit="1" customWidth="1"/>
    <col min="6" max="6" width="27.57421875" style="11" bestFit="1" customWidth="1"/>
    <col min="7" max="7" width="8.875" style="6" bestFit="1" customWidth="1"/>
    <col min="8" max="8" width="9.14453125" style="6" bestFit="1" customWidth="1"/>
    <col min="9" max="9" width="7.80078125" style="6" bestFit="1" customWidth="1"/>
    <col min="10" max="10" width="79.76953125" style="15" bestFit="1" customWidth="1"/>
    <col min="11" max="11" width="47.62109375" style="11" bestFit="1" customWidth="1"/>
    <col min="12" max="12" width="8.875" style="6" bestFit="1" customWidth="1"/>
    <col min="13" max="13" width="9.14453125" style="6" bestFit="1" customWidth="1"/>
    <col min="14" max="14" width="5.51171875" style="6" bestFit="1" customWidth="1"/>
    <col min="15" max="15" width="93.76171875" style="15" bestFit="1" customWidth="1"/>
    <col min="16" max="16" width="18.6953125" style="11" bestFit="1" customWidth="1"/>
    <col min="17" max="17" width="8.875" style="6" bestFit="1" customWidth="1"/>
    <col min="18" max="18" width="9.14453125" style="6" bestFit="1" customWidth="1"/>
    <col min="19" max="19" width="6.45703125" style="6" bestFit="1" customWidth="1"/>
    <col min="20" max="20" width="66.85546875" style="15" bestFit="1" customWidth="1"/>
    <col min="21" max="21" width="46.54296875" style="11" bestFit="1" customWidth="1"/>
    <col min="22" max="22" width="8.875" style="6" bestFit="1" customWidth="1"/>
    <col min="23" max="23" width="9.14453125" style="6" bestFit="1" customWidth="1"/>
    <col min="24" max="24" width="5.51171875" style="6" bestFit="1" customWidth="1"/>
    <col min="25" max="25" width="84.48046875" style="15" bestFit="1" customWidth="1"/>
    <col min="26" max="26" width="16.41015625" style="11" bestFit="1" customWidth="1"/>
    <col min="27" max="27" width="8.875" style="6" bestFit="1" customWidth="1"/>
    <col min="28" max="28" width="9.14453125" style="6" bestFit="1" customWidth="1"/>
    <col min="29" max="29" width="4.9765625" style="6" bestFit="1" customWidth="1"/>
    <col min="30" max="30" width="58.3828125" style="15" bestFit="1" customWidth="1"/>
    <col min="31" max="31" width="19.1015625" style="11" bestFit="1" customWidth="1"/>
    <col min="32" max="32" width="8.875" style="6" bestFit="1" customWidth="1"/>
    <col min="33" max="33" width="9.14453125" style="6" bestFit="1" customWidth="1"/>
    <col min="34" max="34" width="7.80078125" style="6" bestFit="1" customWidth="1"/>
    <col min="35" max="35" width="62.8203125" style="15" bestFit="1" customWidth="1"/>
    <col min="36" max="36" width="14.2578125" style="11" bestFit="1" customWidth="1"/>
    <col min="37" max="37" width="8.875" style="6" bestFit="1" customWidth="1"/>
    <col min="38" max="38" width="9.14453125" style="6" bestFit="1" customWidth="1"/>
    <col min="39" max="39" width="6.45703125" style="6" bestFit="1" customWidth="1"/>
    <col min="40" max="40" width="54.8828125" style="15" bestFit="1" customWidth="1"/>
    <col min="41" max="41" width="32.8203125" style="11" bestFit="1" customWidth="1"/>
    <col min="42" max="42" width="8.875" style="6" bestFit="1" customWidth="1"/>
    <col min="43" max="43" width="9.14453125" style="6" bestFit="1" customWidth="1"/>
    <col min="44" max="44" width="7.80078125" style="6" bestFit="1" customWidth="1"/>
    <col min="45" max="45" width="71.56640625" style="15" bestFit="1" customWidth="1"/>
    <col min="46" max="46" width="29.99609375" style="11" bestFit="1" customWidth="1"/>
    <col min="47" max="47" width="9.953125" style="6" bestFit="1" customWidth="1"/>
    <col min="48" max="48" width="9.14453125" style="6" bestFit="1" customWidth="1"/>
    <col min="49" max="49" width="7.80078125" style="6" bestFit="1" customWidth="1"/>
    <col min="50" max="50" width="70.625" style="15" bestFit="1" customWidth="1"/>
    <col min="51" max="51" width="50.984375" style="11" bestFit="1" customWidth="1"/>
    <col min="52" max="52" width="8.875" style="6" bestFit="1" customWidth="1"/>
    <col min="53" max="53" width="9.14453125" style="6" bestFit="1" customWidth="1"/>
    <col min="54" max="54" width="7.80078125" style="6" bestFit="1" customWidth="1"/>
    <col min="55" max="55" width="89.58984375" style="15" bestFit="1" customWidth="1"/>
    <col min="56" max="56" width="30.53515625" style="11" bestFit="1" customWidth="1"/>
    <col min="57" max="57" width="8.875" style="6" bestFit="1" customWidth="1"/>
    <col min="58" max="58" width="9.14453125" style="6" bestFit="1" customWidth="1"/>
    <col min="59" max="59" width="6.45703125" style="6" bestFit="1" customWidth="1"/>
    <col min="60" max="60" width="71.56640625" style="15" bestFit="1" customWidth="1"/>
    <col min="61" max="61" width="52.4609375" style="11" bestFit="1" customWidth="1"/>
    <col min="62" max="62" width="8.875" style="6" bestFit="1" customWidth="1"/>
    <col min="63" max="63" width="9.14453125" style="6" bestFit="1" customWidth="1"/>
    <col min="64" max="64" width="6.45703125" style="6" bestFit="1" customWidth="1"/>
    <col min="65" max="65" width="91.87890625" style="15" bestFit="1" customWidth="1"/>
    <col min="66" max="66" width="27.57421875" style="11" bestFit="1" customWidth="1"/>
    <col min="67" max="67" width="8.875" style="6" bestFit="1" customWidth="1"/>
    <col min="68" max="68" width="9.14453125" style="6" bestFit="1" customWidth="1"/>
    <col min="69" max="69" width="4.9765625" style="6" bestFit="1" customWidth="1"/>
    <col min="70" max="70" width="74.79296875" style="15" bestFit="1" customWidth="1"/>
    <col min="71" max="71" width="27.57421875" style="11" bestFit="1" customWidth="1"/>
    <col min="72" max="72" width="8.875" style="6" bestFit="1" customWidth="1"/>
    <col min="73" max="73" width="9.14453125" style="6" bestFit="1" customWidth="1"/>
    <col min="74" max="74" width="7.80078125" style="6" bestFit="1" customWidth="1"/>
    <col min="75" max="75" width="78.29296875" style="15" bestFit="1" customWidth="1"/>
    <col min="76" max="76" width="36.453125" style="11" bestFit="1" customWidth="1"/>
    <col min="77" max="77" width="8.875" style="6" bestFit="1" customWidth="1"/>
    <col min="78" max="78" width="9.14453125" style="6" bestFit="1" customWidth="1"/>
    <col min="79" max="79" width="6.45703125" style="6" bestFit="1" customWidth="1"/>
    <col min="80" max="80" width="74.5234375" style="15" bestFit="1" customWidth="1"/>
    <col min="81" max="81" width="19.234375" style="11" bestFit="1" customWidth="1"/>
    <col min="82" max="82" width="8.875" style="6" bestFit="1" customWidth="1"/>
    <col min="83" max="83" width="9.14453125" style="6" bestFit="1" customWidth="1"/>
    <col min="84" max="84" width="4.9765625" style="6" bestFit="1" customWidth="1"/>
    <col min="85" max="85" width="59.99609375" style="15" bestFit="1" customWidth="1"/>
    <col min="86" max="86" width="51.1171875" style="11" bestFit="1" customWidth="1"/>
    <col min="87" max="87" width="9.953125" style="6" bestFit="1" customWidth="1"/>
    <col min="88" max="88" width="9.14453125" style="6" bestFit="1" customWidth="1"/>
    <col min="89" max="89" width="7.80078125" style="6" bestFit="1" customWidth="1"/>
    <col min="90" max="90" width="88.515625" style="15" bestFit="1" customWidth="1"/>
    <col min="91" max="91" width="19.7734375" style="11" bestFit="1" customWidth="1"/>
    <col min="92" max="92" width="8.875" style="6" bestFit="1" customWidth="1"/>
    <col min="93" max="93" width="9.14453125" style="6" bestFit="1" customWidth="1"/>
    <col min="94" max="94" width="5.51171875" style="6" bestFit="1" customWidth="1"/>
    <col min="95" max="95" width="64.97265625" style="15" bestFit="1" customWidth="1"/>
    <col min="96" max="96" width="68.3359375" style="11" bestFit="1" customWidth="1"/>
    <col min="97" max="97" width="8.875" style="6" bestFit="1" customWidth="1"/>
    <col min="98" max="98" width="9.14453125" style="6" bestFit="1" customWidth="1"/>
    <col min="99" max="99" width="7.80078125" style="6" bestFit="1" customWidth="1"/>
    <col min="100" max="100" width="112.59375" style="15" bestFit="1" customWidth="1"/>
    <col min="101" max="101" width="19.7734375" style="11" bestFit="1" customWidth="1"/>
    <col min="102" max="102" width="8.875" style="6" bestFit="1" customWidth="1"/>
    <col min="103" max="103" width="9.14453125" style="6" bestFit="1" customWidth="1"/>
    <col min="104" max="104" width="4.9765625" style="6" bestFit="1" customWidth="1"/>
    <col min="105" max="105" width="57.171875" style="15" bestFit="1" customWidth="1"/>
    <col min="106" max="106" width="46.2734375" style="11" bestFit="1" customWidth="1"/>
    <col min="107" max="107" width="8.875" style="6" bestFit="1" customWidth="1"/>
    <col min="108" max="108" width="9.14453125" style="6" bestFit="1" customWidth="1"/>
    <col min="109" max="109" width="4.16796875" style="6" bestFit="1" customWidth="1"/>
    <col min="110" max="110" width="90.53125" style="15" bestFit="1" customWidth="1"/>
    <col min="111" max="111" width="17.75390625" style="11" bestFit="1" customWidth="1"/>
    <col min="112" max="112" width="8.875" style="6" bestFit="1" customWidth="1"/>
    <col min="113" max="113" width="9.14453125" style="6" bestFit="1" customWidth="1"/>
    <col min="114" max="114" width="4.9765625" style="6" bestFit="1" customWidth="1"/>
    <col min="115" max="115" width="53.94140625" style="15" bestFit="1" customWidth="1"/>
    <col min="116" max="116" width="46.00390625" style="11" bestFit="1" customWidth="1"/>
    <col min="117" max="117" width="8.875" style="6" bestFit="1" customWidth="1"/>
    <col min="118" max="118" width="9.14453125" style="6" bestFit="1" customWidth="1"/>
    <col min="119" max="119" width="4.16796875" style="6" bestFit="1" customWidth="1"/>
    <col min="120" max="120" width="90.66796875" style="15" bestFit="1" customWidth="1"/>
    <col min="121" max="121" width="25.421875" style="11" bestFit="1" customWidth="1"/>
    <col min="122" max="122" width="8.875" style="6" bestFit="1" customWidth="1"/>
    <col min="123" max="123" width="9.14453125" style="6" bestFit="1" customWidth="1"/>
    <col min="124" max="124" width="5.51171875" style="6" bestFit="1" customWidth="1"/>
    <col min="125" max="125" width="66.85546875" style="15" bestFit="1" customWidth="1"/>
    <col min="126" max="126" width="37.80078125" style="11" bestFit="1" customWidth="1"/>
    <col min="127" max="127" width="8.875" style="6" bestFit="1" customWidth="1"/>
    <col min="128" max="128" width="9.14453125" style="6" bestFit="1" customWidth="1"/>
    <col min="129" max="129" width="5.51171875" style="6" bestFit="1" customWidth="1"/>
    <col min="130" max="130" width="82.4609375" style="15" bestFit="1" customWidth="1"/>
    <col min="131" max="131" width="31.07421875" style="11" bestFit="1" customWidth="1"/>
    <col min="132" max="132" width="8.875" style="6" bestFit="1" customWidth="1"/>
    <col min="133" max="133" width="9.14453125" style="6" bestFit="1" customWidth="1"/>
    <col min="134" max="134" width="4.9765625" style="6" bestFit="1" customWidth="1"/>
    <col min="135" max="135" width="73.04296875" style="15" bestFit="1" customWidth="1"/>
    <col min="136" max="136" width="21.65625" style="11" bestFit="1" customWidth="1"/>
    <col min="137" max="137" width="8.875" style="6" bestFit="1" customWidth="1"/>
    <col min="138" max="138" width="9.14453125" style="6" bestFit="1" customWidth="1"/>
    <col min="139" max="139" width="5.51171875" style="6" bestFit="1" customWidth="1"/>
    <col min="140" max="140" width="61.0703125" style="15" bestFit="1" customWidth="1"/>
    <col min="141" max="141" width="22.328125" style="11" bestFit="1" customWidth="1"/>
    <col min="142" max="142" width="8.875" style="6" bestFit="1" customWidth="1"/>
    <col min="143" max="143" width="9.14453125" style="6" bestFit="1" customWidth="1"/>
    <col min="144" max="144" width="7.80078125" style="6" bestFit="1" customWidth="1"/>
    <col min="145" max="145" width="66.3203125" style="15" bestFit="1" customWidth="1"/>
    <col min="146" max="146" width="29.59375" style="11" bestFit="1" customWidth="1"/>
    <col min="147" max="147" width="8.875" style="6" bestFit="1" customWidth="1"/>
    <col min="148" max="148" width="9.14453125" style="6" bestFit="1" customWidth="1"/>
    <col min="149" max="149" width="7.80078125" style="6" bestFit="1" customWidth="1"/>
    <col min="150" max="150" width="69.68359375" style="15" bestFit="1" customWidth="1"/>
    <col min="151" max="155" width="11.43359375" style="1"/>
    <col min="156" max="16384" width="11.43359375" style="6"/>
  </cols>
  <sheetData>
    <row r="1" spans="1:150" s="4" customFormat="1" x14ac:dyDescent="0.25">
      <c r="A1" s="16" t="s">
        <v>1991</v>
      </c>
      <c r="B1" s="4" t="s">
        <v>1396</v>
      </c>
      <c r="C1" s="4" t="s">
        <v>9</v>
      </c>
      <c r="D1" s="4" t="str">
        <f>"d" &amp; SUM(C:C)</f>
        <v>d100</v>
      </c>
      <c r="E1" s="14" t="str">
        <f>"!import-table --" &amp; A1 &amp; " --show"</f>
        <v>!import-table --Original-DMG-A --show</v>
      </c>
      <c r="F1" s="16" t="s">
        <v>0</v>
      </c>
      <c r="G1" s="4" t="s">
        <v>1396</v>
      </c>
      <c r="H1" s="4" t="s">
        <v>9</v>
      </c>
      <c r="I1" s="4" t="str">
        <f>"d" &amp; SUM(H:H)</f>
        <v>d20</v>
      </c>
      <c r="J1" s="14" t="str">
        <f>"!import-table --" &amp; F1 &amp; " --show"</f>
        <v>!import-table --Magic-Item-Table-A --show</v>
      </c>
      <c r="K1" s="16" t="s">
        <v>1972</v>
      </c>
      <c r="L1" s="4" t="s">
        <v>1396</v>
      </c>
      <c r="M1" s="4" t="s">
        <v>9</v>
      </c>
      <c r="N1" s="4" t="str">
        <f>"d" &amp; SUM(M:M)</f>
        <v>d10</v>
      </c>
      <c r="O1" s="14" t="str">
        <f>"!import-table --" &amp; K1 &amp; " --show"</f>
        <v>!import-table --Ammunition-A --show</v>
      </c>
      <c r="P1" s="16" t="s">
        <v>1983</v>
      </c>
      <c r="Q1" s="4" t="s">
        <v>1396</v>
      </c>
      <c r="R1" s="4" t="s">
        <v>9</v>
      </c>
      <c r="S1" s="4" t="str">
        <f>"d" &amp; SUM(R:R)</f>
        <v>d10</v>
      </c>
      <c r="T1" s="14" t="str">
        <f>"!import-table --" &amp; P1 &amp; " --show"</f>
        <v>!import-table --Consumables-A --show</v>
      </c>
      <c r="U1" s="16" t="s">
        <v>1172</v>
      </c>
      <c r="V1" s="4" t="s">
        <v>1396</v>
      </c>
      <c r="W1" s="4" t="s">
        <v>9</v>
      </c>
      <c r="X1" s="4" t="str">
        <f>"d" &amp; SUM(W:W)</f>
        <v>d10</v>
      </c>
      <c r="Y1" s="14" t="str">
        <f>"!import-table --" &amp; U1 &amp; " --show"</f>
        <v>!import-table --Food-A --show</v>
      </c>
      <c r="Z1" s="16" t="s">
        <v>1986</v>
      </c>
      <c r="AA1" s="4" t="s">
        <v>1396</v>
      </c>
      <c r="AB1" s="4" t="s">
        <v>9</v>
      </c>
      <c r="AC1" s="4" t="str">
        <f>"d" &amp; SUM(AB:AB)</f>
        <v>d6</v>
      </c>
      <c r="AD1" s="12" t="str">
        <f>"!import-table --" &amp; Z1 &amp; " --show"</f>
        <v>!import-table --Ingredients-A --show</v>
      </c>
      <c r="AE1" s="16" t="s">
        <v>1735</v>
      </c>
      <c r="AF1" s="4" t="s">
        <v>1396</v>
      </c>
      <c r="AG1" s="4" t="s">
        <v>9</v>
      </c>
      <c r="AH1" s="4" t="str">
        <f>"d" &amp; SUM(AG:AG)</f>
        <v>d12</v>
      </c>
      <c r="AI1" s="12" t="str">
        <f>"!import-table --" &amp; AE1 &amp; " --show"</f>
        <v>!import-table --Beverages-A --show</v>
      </c>
      <c r="AJ1" s="16" t="s">
        <v>2019</v>
      </c>
      <c r="AK1" s="4" t="s">
        <v>1396</v>
      </c>
      <c r="AL1" s="4" t="s">
        <v>9</v>
      </c>
      <c r="AM1" s="4" t="str">
        <f>"d" &amp; SUM(AL:AL)</f>
        <v>d10</v>
      </c>
      <c r="AN1" s="12" t="str">
        <f>"!import-table --" &amp; AJ1 &amp; " --show"</f>
        <v>!import-table --Alcohols-A --show</v>
      </c>
      <c r="AO1" s="16" t="s">
        <v>1230</v>
      </c>
      <c r="AP1" s="4" t="s">
        <v>1396</v>
      </c>
      <c r="AQ1" s="4" t="s">
        <v>9</v>
      </c>
      <c r="AR1" s="4" t="str">
        <f>"d" &amp; SUM(AQ:AQ)</f>
        <v>d100</v>
      </c>
      <c r="AS1" s="12" t="str">
        <f>"!import-table --" &amp; AO1 &amp; " --show"</f>
        <v>!import-table --Items-A --show</v>
      </c>
      <c r="AT1" s="16" t="s">
        <v>1170</v>
      </c>
      <c r="AU1" s="4" t="s">
        <v>1396</v>
      </c>
      <c r="AV1" s="4" t="s">
        <v>9</v>
      </c>
      <c r="AW1" s="4" t="str">
        <f>"d" &amp; SUM(AV:AV)</f>
        <v>d20</v>
      </c>
      <c r="AX1" s="14" t="str">
        <f>"!import-table --" &amp; AT1 &amp; " --show"</f>
        <v>!import-table --Potions-A --show</v>
      </c>
      <c r="AY1" s="16" t="s">
        <v>1166</v>
      </c>
      <c r="AZ1" s="4" t="s">
        <v>1396</v>
      </c>
      <c r="BA1" s="4" t="s">
        <v>9</v>
      </c>
      <c r="BB1" s="4" t="str">
        <f>"d" &amp; SUM(BA:BA)</f>
        <v>d20</v>
      </c>
      <c r="BC1" s="14" t="str">
        <f>"!import-table --" &amp; AY1 &amp; " --show"</f>
        <v>!import-table --Spells-A --show</v>
      </c>
      <c r="BD1" s="16" t="s">
        <v>1821</v>
      </c>
      <c r="BE1" s="4" t="s">
        <v>1396</v>
      </c>
      <c r="BF1" s="4" t="s">
        <v>9</v>
      </c>
      <c r="BG1" s="4" t="str">
        <f>"d" &amp; SUM(BF:BF)</f>
        <v>d10</v>
      </c>
      <c r="BH1" s="14" t="str">
        <f>"!import-table --" &amp; BD1 &amp; " --show"</f>
        <v>!import-table --Apparel-A --show</v>
      </c>
      <c r="BI1" s="16" t="s">
        <v>1974</v>
      </c>
      <c r="BJ1" s="4" t="s">
        <v>1396</v>
      </c>
      <c r="BK1" s="4" t="s">
        <v>9</v>
      </c>
      <c r="BL1" s="4" t="str">
        <f>"d" &amp; SUM(BK:BK)</f>
        <v>d12</v>
      </c>
      <c r="BM1" s="14" t="str">
        <f>"!import-table --" &amp; BI1 &amp; " --show"</f>
        <v>!import-table --Armor-A --show</v>
      </c>
      <c r="BN1" s="16" t="s">
        <v>1068</v>
      </c>
      <c r="BO1" s="4" t="s">
        <v>1396</v>
      </c>
      <c r="BP1" s="4" t="s">
        <v>9</v>
      </c>
      <c r="BQ1" s="4" t="str">
        <f>"d" &amp; SUM(BP:BP)</f>
        <v>d6</v>
      </c>
      <c r="BR1" s="14" t="str">
        <f>"!import-table --" &amp; BN1 &amp; " --show"</f>
        <v>!import-table --Cast-Off-Armor --show</v>
      </c>
      <c r="BS1" s="16" t="s">
        <v>1107</v>
      </c>
      <c r="BT1" s="4" t="s">
        <v>1396</v>
      </c>
      <c r="BU1" s="4" t="s">
        <v>9</v>
      </c>
      <c r="BV1" s="4" t="str">
        <f>"d" &amp; SUM(BU:BU)</f>
        <v>d12</v>
      </c>
      <c r="BW1" s="14" t="str">
        <f>"!import-table --" &amp; BS1 &amp; " --show"</f>
        <v>!import-table --Smoldering-Armor --show</v>
      </c>
      <c r="BX1" s="16" t="s">
        <v>1973</v>
      </c>
      <c r="BY1" s="4" t="s">
        <v>1396</v>
      </c>
      <c r="BZ1" s="4" t="s">
        <v>9</v>
      </c>
      <c r="CA1" s="4" t="str">
        <f>"d" &amp; SUM(BZ:BZ)</f>
        <v>d12</v>
      </c>
      <c r="CB1" s="14" t="str">
        <f>"!import-table --" &amp; BX1 &amp; " --show"</f>
        <v>!import-table --Arms-A --show</v>
      </c>
      <c r="CC1" s="16" t="s">
        <v>1984</v>
      </c>
      <c r="CD1" s="4" t="s">
        <v>1396</v>
      </c>
      <c r="CE1" s="4" t="s">
        <v>9</v>
      </c>
      <c r="CF1" s="4" t="str">
        <f>"d" &amp; SUM(CE:CE)</f>
        <v>d8</v>
      </c>
      <c r="CG1" s="14" t="str">
        <f>"!import-table --" &amp; CC1 &amp; " --show"</f>
        <v>!import-table --Jewelry-A --show</v>
      </c>
      <c r="CH1" s="16" t="s">
        <v>1977</v>
      </c>
      <c r="CI1" s="4" t="s">
        <v>1396</v>
      </c>
      <c r="CJ1" s="4" t="s">
        <v>9</v>
      </c>
      <c r="CK1" s="4" t="str">
        <f>"d" &amp; SUM(CJ:CJ)</f>
        <v>d20</v>
      </c>
      <c r="CL1" s="14" t="str">
        <f>"!import-table --" &amp; CH1 &amp; " --show"</f>
        <v>!import-table --Misc-A --show</v>
      </c>
      <c r="CM1" s="16" t="s">
        <v>1497</v>
      </c>
      <c r="CN1" s="4" t="s">
        <v>1396</v>
      </c>
      <c r="CO1" s="4" t="s">
        <v>9</v>
      </c>
      <c r="CP1" s="4" t="str">
        <f>"d" &amp; SUM(CO:CO)</f>
        <v>d10</v>
      </c>
      <c r="CQ1" s="14" t="str">
        <f>"!import-table --" &amp; CM1 &amp; " --show"</f>
        <v>!import-table --Creature-Type-A --show</v>
      </c>
      <c r="CR1" s="16" t="s">
        <v>1975</v>
      </c>
      <c r="CS1" s="4" t="s">
        <v>1396</v>
      </c>
      <c r="CT1" s="4" t="s">
        <v>9</v>
      </c>
      <c r="CU1" s="4" t="str">
        <f>"d" &amp; SUM(CT:CT)</f>
        <v>d20</v>
      </c>
      <c r="CV1" s="14" t="str">
        <f>"!import-table --" &amp; CR1 &amp; " --show"</f>
        <v>!import-table --Spellcaster-A --show</v>
      </c>
      <c r="CW1" s="16" t="s">
        <v>1208</v>
      </c>
      <c r="CX1" s="4" t="s">
        <v>1396</v>
      </c>
      <c r="CY1" s="4" t="s">
        <v>9</v>
      </c>
      <c r="CZ1" s="4" t="str">
        <f>"d" &amp; SUM(CY:CY)</f>
        <v>d4</v>
      </c>
      <c r="DA1" s="14" t="str">
        <f>"!import-table --" &amp; CW1 &amp; " --show"</f>
        <v>!import-table --Orb-of-Shielding --show</v>
      </c>
      <c r="DB1" s="16" t="s">
        <v>1095</v>
      </c>
      <c r="DC1" s="4" t="s">
        <v>1396</v>
      </c>
      <c r="DD1" s="4" t="s">
        <v>9</v>
      </c>
      <c r="DE1" s="4" t="str">
        <f>"d" &amp; SUM(DD:DD)</f>
        <v>d8</v>
      </c>
      <c r="DF1" s="14" t="str">
        <f>"!import-table --" &amp; DB1 &amp; " --show"</f>
        <v>!import-table --Planar-Stone --show</v>
      </c>
      <c r="DG1" s="16" t="s">
        <v>1204</v>
      </c>
      <c r="DH1" s="4" t="s">
        <v>1396</v>
      </c>
      <c r="DI1" s="4" t="s">
        <v>9</v>
      </c>
      <c r="DJ1" s="4" t="str">
        <f>"d" &amp; SUM(DI:DI)</f>
        <v>d6</v>
      </c>
      <c r="DK1" s="14" t="str">
        <f>"!import-table --" &amp; DG1 &amp; " --show"</f>
        <v>!import-table --Imbued-Wood --show</v>
      </c>
      <c r="DL1" s="16" t="s">
        <v>1094</v>
      </c>
      <c r="DM1" s="4" t="s">
        <v>1396</v>
      </c>
      <c r="DN1" s="4" t="s">
        <v>9</v>
      </c>
      <c r="DO1" s="4" t="str">
        <f>"d" &amp; SUM(DN:DN)</f>
        <v>d8</v>
      </c>
      <c r="DP1" s="14" t="str">
        <f>"!import-table --" &amp; DL1 &amp; " --show"</f>
        <v>!import-table --Planar-Wood --show</v>
      </c>
      <c r="DQ1" s="16" t="s">
        <v>1106</v>
      </c>
      <c r="DR1" s="4" t="s">
        <v>1396</v>
      </c>
      <c r="DS1" s="4" t="s">
        <v>9</v>
      </c>
      <c r="DT1" s="4" t="str">
        <f>"d" &amp; SUM(DS:DS)</f>
        <v>d10</v>
      </c>
      <c r="DU1" s="14" t="str">
        <f>"!import-table --" &amp; DQ1 &amp; " --show"</f>
        <v>!import-table --Prosthesis --show</v>
      </c>
      <c r="DV1" s="16" t="s">
        <v>1863</v>
      </c>
      <c r="DW1" s="4" t="s">
        <v>1396</v>
      </c>
      <c r="DX1" s="4" t="s">
        <v>9</v>
      </c>
      <c r="DY1" s="4" t="str">
        <f>"d" &amp; SUM(DX:DX)</f>
        <v>d10</v>
      </c>
      <c r="DZ1" s="14" t="str">
        <f>"!import-table --" &amp; DV1 &amp; " --show"</f>
        <v>!import-table --Warforged-A --show</v>
      </c>
      <c r="EA1" s="16" t="s">
        <v>1055</v>
      </c>
      <c r="EB1" s="4" t="s">
        <v>1396</v>
      </c>
      <c r="EC1" s="4" t="s">
        <v>9</v>
      </c>
      <c r="ED1" s="4" t="str">
        <f>"d" &amp; SUM(EC:EC)</f>
        <v>d6</v>
      </c>
      <c r="EE1" s="12" t="str">
        <f>"!import-table --" &amp; EA1 &amp; " --show"</f>
        <v>!import-table --Armblades --show</v>
      </c>
      <c r="EF1" s="16" t="s">
        <v>1178</v>
      </c>
      <c r="EG1" s="4" t="s">
        <v>1396</v>
      </c>
      <c r="EH1" s="4" t="s">
        <v>9</v>
      </c>
      <c r="EI1" s="4" t="str">
        <f>"d" &amp; SUM(EH:EH)</f>
        <v>d12</v>
      </c>
      <c r="EJ1" s="12" t="str">
        <f>"!import-table --" &amp; EF1 &amp; " --show"</f>
        <v>!import-table --Armblades-Simple --show</v>
      </c>
      <c r="EK1" s="16" t="s">
        <v>1179</v>
      </c>
      <c r="EL1" s="4" t="s">
        <v>1396</v>
      </c>
      <c r="EM1" s="4" t="s">
        <v>9</v>
      </c>
      <c r="EN1" s="4" t="str">
        <f>"d" &amp; SUM(EM:EM)</f>
        <v>d20</v>
      </c>
      <c r="EO1" s="12" t="str">
        <f>"!import-table --" &amp; EK1 &amp; " --show"</f>
        <v>!import-table --Armblades-Martial --show</v>
      </c>
      <c r="EP1" s="16" t="s">
        <v>1177</v>
      </c>
      <c r="EQ1" s="4" t="s">
        <v>1396</v>
      </c>
      <c r="ER1" s="4" t="s">
        <v>9</v>
      </c>
      <c r="ES1" s="4" t="str">
        <f>"d" &amp; SUM(ER:ER)</f>
        <v>d20</v>
      </c>
      <c r="ET1" s="14" t="str">
        <f>"!import-table --" &amp; EP1 &amp; " --show"</f>
        <v>!import-table --Wands-A --show</v>
      </c>
    </row>
    <row r="2" spans="1:150" x14ac:dyDescent="0.25">
      <c r="A2" s="22" t="s">
        <v>1231</v>
      </c>
      <c r="C2" s="6">
        <v>65</v>
      </c>
      <c r="D2" s="9" t="str">
        <f>IF(C2=0,"-",IF(C2=1,SUM(C$1:C1)+1,SUM(C$1:C1)+1 &amp; "-" &amp; SUM(C$1:C2)))</f>
        <v>1-65</v>
      </c>
      <c r="E2" s="15" t="str">
        <f>"!import-table-item --" &amp; A$1 &amp; " --" &amp; A2 &amp; " --" &amp; C2</f>
        <v>!import-table-item --Original-DMG-A --[[ 1t[Potions-A] ]] --65</v>
      </c>
      <c r="F2" s="22" t="s">
        <v>1231</v>
      </c>
      <c r="H2" s="6">
        <v>6</v>
      </c>
      <c r="I2" s="9" t="str">
        <f>IF(H2=0,"-",IF(H2=1,SUM(H$1:H1)+1,SUM(H$1:H1)+1 &amp; "-" &amp; SUM(H$1:H2)))</f>
        <v>1-6</v>
      </c>
      <c r="J2" s="15" t="str">
        <f t="shared" ref="J2:J12" si="0">"!import-table-item --" &amp; F$1 &amp; " --" &amp; F2 &amp; " --" &amp; H2</f>
        <v>!import-table-item --Magic-Item-Table-A --[[ 1t[Potions-A] ]] --6</v>
      </c>
      <c r="K2" s="22" t="s">
        <v>1985</v>
      </c>
      <c r="M2" s="6">
        <v>5</v>
      </c>
      <c r="N2" s="9" t="str">
        <f>IF(M2=0,"-",IF(M2=1,SUM(M$1:M1)+1,SUM(M$1:M1)+1 &amp; "-" &amp; SUM(M$1:M2)))</f>
        <v>1-5</v>
      </c>
      <c r="O2" s="15" t="str">
        <f>"!import-table-item --" &amp; K$1 &amp; " --" &amp; K2 &amp; " --" &amp; M2</f>
        <v>!import-table-item --Ammunition-A --[[ 1t[Ammunition] ]] --5</v>
      </c>
      <c r="P2" s="22" t="s">
        <v>1171</v>
      </c>
      <c r="R2" s="6">
        <v>10</v>
      </c>
      <c r="S2" s="9" t="str">
        <f>IF(R2=0,"-",IF(R2=1,SUM(R$1:R1)+1,SUM(R$1:R1)+1 &amp; "-" &amp; SUM(R$1:R2)))</f>
        <v>1-10</v>
      </c>
      <c r="T2" s="15" t="str">
        <f>"!import-table-item --" &amp; P$1 &amp; " --" &amp; P2 &amp; " --" &amp; R2</f>
        <v>!import-table-item --Consumables-A --[[ 1t[Food-A] ]] --10</v>
      </c>
      <c r="U2" s="22" t="s">
        <v>2017</v>
      </c>
      <c r="W2" s="6">
        <v>3</v>
      </c>
      <c r="X2" s="9" t="str">
        <f>IF(W2=0,"-",IF(W2=1,SUM(W$1:W1)+1,SUM(W$1:W1)+1 &amp; "-" &amp; SUM(W$1:W2)))</f>
        <v>1-3</v>
      </c>
      <c r="Y2" s="15" t="str">
        <f>"!import-table-item --" &amp; U$1 &amp; " --" &amp; U2 &amp; " --" &amp; W2</f>
        <v>!import-table-item --Food-A --[[1d4]] Fresh [[ 1t[Ingredients-A] ]] --3</v>
      </c>
      <c r="Z2" s="11" t="s">
        <v>1987</v>
      </c>
      <c r="AB2" s="6">
        <v>4</v>
      </c>
      <c r="AC2" s="9" t="str">
        <f>IF(AB2=0,"-",IF(AB2=1,SUM(AB$1:AB1)+1,SUM(AB$1:AB1)+1 &amp; "-" &amp; SUM(AB$1:AB2)))</f>
        <v>1-4</v>
      </c>
      <c r="AD2" s="15" t="str">
        <f>"!import-table-item --" &amp; Z$1 &amp; " --" &amp; Z2 &amp; " --" &amp; AB2</f>
        <v>!import-table-item --Ingredients-A --Game --4</v>
      </c>
      <c r="AE2" s="11" t="s">
        <v>1182</v>
      </c>
      <c r="AG2" s="6">
        <v>3</v>
      </c>
      <c r="AH2" s="9" t="str">
        <f>IF(AG2=0,"-",IF(AG2=1,SUM(AG$1:AG1)+1,SUM(AG$1:AG1)+1 &amp; "-" &amp; SUM(AG$1:AG2)))</f>
        <v>1-3</v>
      </c>
      <c r="AI2" s="15" t="str">
        <f t="shared" ref="AI2:AI7" si="1">"!import-table-item --" &amp; AE$1 &amp; " --" &amp; AE2 &amp; " --" &amp; AG2</f>
        <v>!import-table-item --Beverages-A --Coffee --3</v>
      </c>
      <c r="AJ2" s="11" t="s">
        <v>1738</v>
      </c>
      <c r="AL2" s="6">
        <v>2</v>
      </c>
      <c r="AM2" s="9" t="str">
        <f>IF(AL2=0,"-",IF(AL2=1,SUM(AL$1:AL1)+1,SUM(AL$1:AL1)+1 &amp; "-" &amp; SUM(AL$1:AL2)))</f>
        <v>1-2</v>
      </c>
      <c r="AN2" s="15" t="str">
        <f>"!import-table-item --" &amp; AJ$1 &amp; " --" &amp; AJ2 &amp; " --" &amp; AL2</f>
        <v>!import-table-item --Alcohols-A --Ale --2</v>
      </c>
      <c r="AO2" s="11" t="s">
        <v>999</v>
      </c>
      <c r="AP2" s="6" t="s">
        <v>1493</v>
      </c>
      <c r="AQ2" s="6">
        <v>10</v>
      </c>
      <c r="AR2" s="9" t="str">
        <f>IF(AQ2=0,"-",IF(AQ2=1,SUM(AQ$1:AQ1)+1,SUM(AQ$1:AQ1)+1 &amp; "-" &amp; SUM(AQ$1:AQ2)))</f>
        <v>1-10</v>
      </c>
      <c r="AS2" s="15" t="str">
        <f t="shared" ref="AS2:AS42" si="2">"!import-table-item --" &amp; AO$1 &amp; " --" &amp; AO2 &amp; " --" &amp; AQ2</f>
        <v>!import-table-item --Items-A --Clothes of Mending --10</v>
      </c>
      <c r="AT2" s="11" t="s">
        <v>11</v>
      </c>
      <c r="AU2" s="6" t="s">
        <v>1397</v>
      </c>
      <c r="AV2" s="6">
        <v>12</v>
      </c>
      <c r="AW2" s="9" t="str">
        <f>IF(AV2=0,"-",IF(AV2=1,SUM(AV$1:AV1)+1,SUM(AV$1:AV1)+1 &amp; "-" &amp; SUM(AV$1:AV2)))</f>
        <v>1-12</v>
      </c>
      <c r="AX2" s="15" t="str">
        <f>"!import-table-item --" &amp; AT$1 &amp; " --" &amp; AT2 &amp; " --" &amp; AV2</f>
        <v>!import-table-item --Potions-A --Potion of Healing --12</v>
      </c>
      <c r="AY2" s="22" t="s">
        <v>400</v>
      </c>
      <c r="AZ2" s="6" t="s">
        <v>1397</v>
      </c>
      <c r="BA2" s="6">
        <v>3</v>
      </c>
      <c r="BB2" s="9" t="str">
        <f>IF(BA2=0,"-",IF(BA2=1,SUM(BA$1:BA1)+1,SUM(BA$1:BA1)+1 &amp; "-" &amp; SUM(BA$1:BA2)))</f>
        <v>1-3</v>
      </c>
      <c r="BC2" s="15" t="str">
        <f t="shared" ref="BC2:BC7" si="3">"!import-table-item --" &amp; AY$1 &amp; " --" &amp; AY2 &amp; " --" &amp; BA2</f>
        <v>!import-table-item --Spells-A --Spell Scroll ([[ 1t[Spells-Cantrip] ]]) --3</v>
      </c>
      <c r="BD2" s="22" t="s">
        <v>1229</v>
      </c>
      <c r="BF2" s="6">
        <v>4</v>
      </c>
      <c r="BG2" s="9" t="str">
        <f>IF(BF2=0,"-",IF(BF2=1,SUM(BF$1:BF1)+1,SUM(BF$1:BF1)+1 &amp; "-" &amp; SUM(BF$1:BF2)))</f>
        <v>1-4</v>
      </c>
      <c r="BH2" s="15" t="str">
        <f t="shared" ref="BH2:BH3" si="4">"!import-table-item --" &amp; BD$1 &amp; " --" &amp; BD2 &amp; " --" &amp; BF2</f>
        <v>!import-table-item --Apparel-A --[[ 1t[Items-A] ]] --4</v>
      </c>
      <c r="BI2" s="22" t="s">
        <v>1990</v>
      </c>
      <c r="BK2" s="6">
        <v>3</v>
      </c>
      <c r="BL2" s="9" t="str">
        <f>IF(BK2=0,"-",IF(BK2=1,SUM(BK$1:BK1)+1,SUM(BK$1:BK1)+1 &amp; "-" &amp; SUM(BK$1:BK2)))</f>
        <v>1-3</v>
      </c>
      <c r="BM2" s="15" t="str">
        <f t="shared" ref="BM2:BM7" si="5">"!import-table-item --" &amp; BI$1 &amp; " --" &amp; BI2 &amp; " --" &amp; BK2</f>
        <v>!import-table-item --Armor-A --[[ 1t[Armor] ]] --3</v>
      </c>
      <c r="BN2" s="27" t="s">
        <v>1069</v>
      </c>
      <c r="BO2" s="9"/>
      <c r="BP2" s="6">
        <v>2</v>
      </c>
      <c r="BQ2" s="9" t="str">
        <f>IF(BP2=0,"-",IF(BP2=1,SUM(BP$1:BP1)+1,SUM(BP$1:BP1)+1 &amp; "-" &amp; SUM(BP$1:BP2)))</f>
        <v>1-2</v>
      </c>
      <c r="BR2" s="15" t="str">
        <f>"!import-table-item --" &amp; BN$1 &amp; " --" &amp; BN2 &amp; " --" &amp; BP2</f>
        <v>!import-table-item --Cast-Off-Armor --[[ 1t[Light-Armor] ]] --2</v>
      </c>
      <c r="BS2" s="27" t="s">
        <v>1069</v>
      </c>
      <c r="BT2" s="9"/>
      <c r="BU2" s="6">
        <v>5</v>
      </c>
      <c r="BV2" s="9" t="str">
        <f>IF(BU2=0,"-",IF(BU2=1,SUM(BU$1:BU1)+1,SUM(BU$1:BU1)+1 &amp; "-" &amp; SUM(BU$1:BU2)))</f>
        <v>1-5</v>
      </c>
      <c r="BW2" s="15" t="str">
        <f>"!import-table-item --" &amp; BS$1 &amp; " --" &amp; BS2 &amp; " --" &amp; BU2</f>
        <v>!import-table-item --Smoldering-Armor --[[ 1t[Light-Armor] ]] --5</v>
      </c>
      <c r="BX2" s="22" t="s">
        <v>1989</v>
      </c>
      <c r="BZ2" s="6">
        <v>9</v>
      </c>
      <c r="CA2" s="9" t="str">
        <f>IF(BZ2=0,"-",IF(BZ2=1,SUM(BZ$1:BZ1)+1,SUM(BZ$1:BZ1)+1 &amp; "-" &amp; SUM(BZ$1:BZ2)))</f>
        <v>1-9</v>
      </c>
      <c r="CB2" s="15" t="str">
        <f>"!import-table-item --" &amp; BX$1 &amp; " --" &amp; BX2 &amp; " --" &amp; BZ2</f>
        <v>!import-table-item --Arms-A --[[ 1t[Weapons] ]] --9</v>
      </c>
      <c r="CC2" s="11" t="s">
        <v>2018</v>
      </c>
      <c r="CE2" s="6">
        <v>2</v>
      </c>
      <c r="CF2" s="9" t="str">
        <f>IF(CE2=0,"-",IF(CE2=1,SUM(CE$1:CE1)+1,SUM(CE$1:CE1)+1 &amp; "-" &amp; SUM(CE$1:CE2)))</f>
        <v>1-2</v>
      </c>
      <c r="CG2" s="15" t="str">
        <f>"!import-table-item --" &amp; CC$1 &amp; " --" &amp; CC2 &amp; " --" &amp; CE2</f>
        <v>!import-table-item --Jewelry-A --Gem of Light --2</v>
      </c>
      <c r="CH2" s="11" t="s">
        <v>1008</v>
      </c>
      <c r="CI2" s="6" t="s">
        <v>1398</v>
      </c>
      <c r="CJ2" s="6">
        <v>3</v>
      </c>
      <c r="CK2" s="9" t="str">
        <f>IF(CJ2=0,"-",IF(CJ2=1,SUM(CJ$1:CJ1)+1,SUM(CJ$1:CJ1)+1 &amp; "-" &amp; SUM(CJ$1:CJ2)))</f>
        <v>1-3</v>
      </c>
      <c r="CL2" s="15" t="str">
        <f t="shared" ref="CL2:CL14" si="6">"!import-table-item --" &amp; CH$1 &amp; " --" &amp; CH2 &amp; " --" &amp; CJ2</f>
        <v>!import-table-item --Misc-A --Everbright Lantern --3</v>
      </c>
      <c r="CM2" s="11" t="s">
        <v>428</v>
      </c>
      <c r="CO2" s="6">
        <v>1</v>
      </c>
      <c r="CP2" s="9">
        <f>IF(CO2=0,"-",IF(CO2=1,SUM(CO$1:CO1)+1,SUM(CO$1:CO1)+1 &amp; "-" &amp; SUM(CO$1:CO2)))</f>
        <v>1</v>
      </c>
      <c r="CQ2" s="15" t="str">
        <f t="shared" ref="CQ2:CQ11" si="7">"!import-table-item --" &amp; CM$1 &amp; " --" &amp; CM2 &amp; " --" &amp; CO2</f>
        <v>!import-table-item --Creature-Type-A --Aberrations --1</v>
      </c>
      <c r="CR2" s="26" t="s">
        <v>1212</v>
      </c>
      <c r="CS2" s="6" t="s">
        <v>1398</v>
      </c>
      <c r="CT2" s="6">
        <v>4</v>
      </c>
      <c r="CU2" s="9" t="str">
        <f>IF(CT2=0,"-",IF(CT2=1,SUM(CT$1:CT1)+1,SUM(CT$1:CT1)+1 &amp; "-" &amp; SUM(CT$1:CT2)))</f>
        <v>1-4</v>
      </c>
      <c r="CV2" s="15" t="str">
        <f>"!import-table-item --" &amp; CR$1 &amp; " --" &amp; CR2 &amp; " --" &amp; CT2</f>
        <v>!import-table-item --Spellcaster-A --[[ 1t[Orb-of-Shielding] ]] of Shielding ([[ 1t[Planar-Stone] ]]) --4</v>
      </c>
      <c r="CW2" s="11" t="s">
        <v>1209</v>
      </c>
      <c r="CY2" s="6">
        <v>2</v>
      </c>
      <c r="CZ2" s="9" t="str">
        <f>IF(CY2=0,"-",IF(CY2=1,SUM(CY$1:CY1)+1,SUM(CY$1:CY1)+1 &amp; "-" &amp; SUM(CY$1:CY2)))</f>
        <v>1-2</v>
      </c>
      <c r="DA2" s="15" t="str">
        <f>"!import-table-item --" &amp; CW$1 &amp; " --" &amp; CW2 &amp; " --" &amp; CY2</f>
        <v>!import-table-item --Orb-of-Shielding --Crystal --2</v>
      </c>
      <c r="DB2" s="11" t="s">
        <v>1221</v>
      </c>
      <c r="DC2" s="6" t="s">
        <v>1398</v>
      </c>
      <c r="DD2" s="6">
        <v>1</v>
      </c>
      <c r="DE2" s="9">
        <f>IF(DD2=0,"-",IF(DD2=1,SUM(DD$1:DD1)+1,SUM(DD$1:DD1)+1 &amp; "-" &amp; SUM(DD$1:DD2)))</f>
        <v>1</v>
      </c>
      <c r="DF2" s="15" t="str">
        <f t="shared" ref="DF2:DF9" si="8">"!import-table-item --" &amp; DB$1 &amp; " --" &amp; DB2 &amp; " --" &amp; DD2</f>
        <v>!import-table-item --Planar-Stone --Fernian Basalt - Fire --1</v>
      </c>
      <c r="DG2" s="11" t="s">
        <v>1205</v>
      </c>
      <c r="DI2" s="6">
        <v>2</v>
      </c>
      <c r="DJ2" s="9" t="str">
        <f>IF(DI2=0,"-",IF(DI2=1,SUM(DI$1:DI1)+1,SUM(DI$1:DI1)+1 &amp; "-" &amp; SUM(DI$1:DI2)))</f>
        <v>1-2</v>
      </c>
      <c r="DK2" s="15" t="str">
        <f>"!import-table-item --" &amp; DG$1 &amp; " --" &amp; DG2 &amp; " --" &amp; DI2</f>
        <v>!import-table-item --Imbued-Wood --Rod --2</v>
      </c>
      <c r="DL2" s="11" t="s">
        <v>1213</v>
      </c>
      <c r="DM2" s="6" t="s">
        <v>1398</v>
      </c>
      <c r="DN2" s="6">
        <v>1</v>
      </c>
      <c r="DO2" s="9">
        <f>IF(DN2=0,"-",IF(DN2=1,SUM(DN$1:DN1)+1,SUM(DN$1:DN1)+1 &amp; "-" &amp; SUM(DN$1:DN2)))</f>
        <v>1</v>
      </c>
      <c r="DP2" s="15" t="str">
        <f t="shared" ref="DP2:DP9" si="9">"!import-table-item --" &amp; DL$1 &amp; " --" &amp; DL2 &amp; " --" &amp; DN2</f>
        <v>!import-table-item --Planar-Wood --Fernian Ash - Fire --1</v>
      </c>
      <c r="DQ2" s="11" t="s">
        <v>1007</v>
      </c>
      <c r="DR2" s="6" t="s">
        <v>1493</v>
      </c>
      <c r="DS2" s="6">
        <v>2</v>
      </c>
      <c r="DT2" s="9" t="str">
        <f>IF(DS2=0,"-",IF(DS2=1,SUM(DS$1:DS1)+1,SUM(DS$1:DS1)+1 &amp; "-" &amp; SUM(DS$1:DS2)))</f>
        <v>1-2</v>
      </c>
      <c r="DU2" s="15" t="str">
        <f t="shared" ref="DU2:DU10" si="10">"!import-table-item --" &amp; DQ$1 &amp; " --" &amp; DQ2 &amp; " --" &amp; DS2</f>
        <v>!import-table-item --Prosthesis --Ersatz Eye --2</v>
      </c>
      <c r="DV2" s="22" t="s">
        <v>1067</v>
      </c>
      <c r="DW2" s="6" t="s">
        <v>1398</v>
      </c>
      <c r="DX2" s="6">
        <v>7</v>
      </c>
      <c r="DY2" s="9" t="str">
        <f>IF(DX2=0,"-",IF(DX2=1,SUM(DX$1:DX1)+1,SUM(DX$1:DX1)+1 &amp; "-" &amp; SUM(DX$1:DX2)))</f>
        <v>1-7</v>
      </c>
      <c r="DZ2" s="15" t="str">
        <f>"!import-table-item --" &amp; DV$1 &amp; " --" &amp; DV2 &amp; " --" &amp; DX2</f>
        <v>!import-table-item --Warforged-A --Armblade ([[ 1t[Armblades] ]]) --7</v>
      </c>
      <c r="EA2" s="22" t="s">
        <v>1180</v>
      </c>
      <c r="EC2" s="6">
        <v>2</v>
      </c>
      <c r="ED2" s="9" t="str">
        <f>IF(EC2=0,"-",IF(EC2=1,SUM(EC$1:EC1)+1,SUM(EC$1:EC1)+1 &amp; "-" &amp; SUM(EC$1:EC2)))</f>
        <v>1-2</v>
      </c>
      <c r="EE2" s="15" t="str">
        <f>"!import-table-item --" &amp; EA$1 &amp; " --" &amp; EA2 &amp; " --" &amp; EC2</f>
        <v>!import-table-item --Armblades --[[ 1t[Armblades-Simple] ]] --2</v>
      </c>
      <c r="EF2" s="11" t="s">
        <v>955</v>
      </c>
      <c r="EH2" s="6">
        <v>4</v>
      </c>
      <c r="EI2" s="9" t="str">
        <f>IF(EH2=0,"-",IF(EH2=1,SUM(EH$1:EH1)+1,SUM(EH$1:EH1)+1 &amp; "-" &amp; SUM(EH$1:EH2)))</f>
        <v>1-4</v>
      </c>
      <c r="EJ2" s="15" t="str">
        <f t="shared" ref="EJ2:EJ7" si="11">"!import-table-item --" &amp; EF$1 &amp; " --" &amp; EF2 &amp; " --" &amp; EH2</f>
        <v>!import-table-item --Armblades-Simple --Dagger --4</v>
      </c>
      <c r="EK2" s="11" t="s">
        <v>975</v>
      </c>
      <c r="EM2" s="6">
        <v>4</v>
      </c>
      <c r="EN2" s="9" t="str">
        <f>IF(EM2=0,"-",IF(EM2=1,SUM(EM$1:EM1)+1,SUM(EM$1:EM1)+1 &amp; "-" &amp; SUM(EM$1:EM2)))</f>
        <v>1-4</v>
      </c>
      <c r="EO2" s="15" t="str">
        <f t="shared" ref="EO2:EO11" si="12">"!import-table-item --" &amp; EK$1 &amp; " --" &amp; EK2 &amp; " --" &amp; EM2</f>
        <v>!import-table-item --Armblades-Martial --Longsword --4</v>
      </c>
      <c r="EP2" s="11" t="s">
        <v>48</v>
      </c>
      <c r="EQ2" s="6" t="s">
        <v>1397</v>
      </c>
      <c r="ER2" s="6">
        <v>5</v>
      </c>
      <c r="ES2" s="9" t="str">
        <f>IF(ER2=0,"-",IF(ER2=1,SUM(ER$1:ER1)+1,SUM(ER$1:ER1)+1 &amp; "-" &amp; SUM(ER$1:ER2)))</f>
        <v>1-5</v>
      </c>
      <c r="ET2" s="15" t="str">
        <f t="shared" ref="ET2:ET10" si="13">"!import-table-item --" &amp; EP$1 &amp; " --" &amp; EP2 &amp; " --" &amp; ER2</f>
        <v>!import-table-item --Wands-A --Wand of Magic Detection --5</v>
      </c>
    </row>
    <row r="3" spans="1:150" x14ac:dyDescent="0.25">
      <c r="A3" s="22" t="s">
        <v>1169</v>
      </c>
      <c r="C3" s="6">
        <v>34</v>
      </c>
      <c r="D3" s="9" t="str">
        <f>IF(C3=0,"-",IF(C3=1,SUM(C$1:C2)+1,SUM(C$1:C2)+1 &amp; "-" &amp; SUM(C$1:C3)))</f>
        <v>66-99</v>
      </c>
      <c r="E3" s="15" t="str">
        <f t="shared" ref="E3:E4" si="14">"!import-table-item --" &amp; A$1 &amp; " --" &amp; A3 &amp; " --" &amp; C3</f>
        <v>!import-table-item --Original-DMG-A --[[ 1t[Spells-A] ]] --34</v>
      </c>
      <c r="F3" s="22" t="s">
        <v>1169</v>
      </c>
      <c r="H3" s="6">
        <v>3</v>
      </c>
      <c r="I3" s="9" t="str">
        <f>IF(H3=0,"-",IF(H3=1,SUM(H$1:H2)+1,SUM(H$1:H2)+1 &amp; "-" &amp; SUM(H$1:H3)))</f>
        <v>7-9</v>
      </c>
      <c r="J3" s="15" t="str">
        <f t="shared" si="0"/>
        <v>!import-table-item --Magic-Item-Table-A --[[ 1t[Spells-A] ]] --3</v>
      </c>
      <c r="K3" s="22" t="s">
        <v>1078</v>
      </c>
      <c r="L3" s="6" t="s">
        <v>1493</v>
      </c>
      <c r="M3" s="6">
        <v>4</v>
      </c>
      <c r="N3" s="9" t="str">
        <f>IF(M3=0,"-",IF(M3=1,SUM(M$1:M2)+1,SUM(M$1:M2)+1 &amp; "-" &amp; SUM(M$1:M3)))</f>
        <v>6-9</v>
      </c>
      <c r="O3" s="15" t="str">
        <f>"!import-table-item --" &amp; K$1 &amp; " --" &amp; K3 &amp; " --" &amp; M3</f>
        <v>!import-table-item --Ammunition-A --Walloping [[ 1t[Ammunition] ]] --4</v>
      </c>
      <c r="S3" s="9"/>
      <c r="U3" s="11" t="s">
        <v>1733</v>
      </c>
      <c r="V3" s="6" t="s">
        <v>1493</v>
      </c>
      <c r="W3" s="6">
        <v>3</v>
      </c>
      <c r="X3" s="9" t="str">
        <f>IF(W3=0,"-",IF(W3=1,SUM(W$1:W2)+1,SUM(W$1:W2)+1 &amp; "-" &amp; SUM(W$1:W3)))</f>
        <v>4-6</v>
      </c>
      <c r="Y3" s="15" t="str">
        <f>"!import-table-item --" &amp; U$1 &amp; " --" &amp; U3 &amp; " --" &amp; W3</f>
        <v>!import-table-item --Food-A --[[4d4]] Beads of Refreshment --3</v>
      </c>
      <c r="Z3" s="11" t="s">
        <v>1988</v>
      </c>
      <c r="AB3" s="6">
        <v>2</v>
      </c>
      <c r="AC3" s="9" t="str">
        <f>IF(AB3=0,"-",IF(AB3=1,SUM(AB$1:AB2)+1,SUM(AB$1:AB2)+1 &amp; "-" &amp; SUM(AB$1:AB3)))</f>
        <v>5-6</v>
      </c>
      <c r="AD3" s="15" t="str">
        <f>"!import-table-item --" &amp; Z$1 &amp; " --" &amp; Z3 &amp; " --" &amp; AB3</f>
        <v>!import-table-item --Ingredients-A --Vegetables --2</v>
      </c>
      <c r="AE3" s="11" t="s">
        <v>1183</v>
      </c>
      <c r="AG3" s="6">
        <v>1</v>
      </c>
      <c r="AH3" s="9">
        <f>IF(AG3=0,"-",IF(AG3=1,SUM(AG$1:AG2)+1,SUM(AG$1:AG2)+1 &amp; "-" &amp; SUM(AG$1:AG3)))</f>
        <v>4</v>
      </c>
      <c r="AI3" s="15" t="str">
        <f t="shared" si="1"/>
        <v>!import-table-item --Beverages-A --Black Tea --1</v>
      </c>
      <c r="AJ3" s="11" t="s">
        <v>1739</v>
      </c>
      <c r="AL3" s="6">
        <v>2</v>
      </c>
      <c r="AM3" s="9" t="str">
        <f>IF(AL3=0,"-",IF(AL3=1,SUM(AL$1:AL2)+1,SUM(AL$1:AL2)+1 &amp; "-" &amp; SUM(AL$1:AL3)))</f>
        <v>3-4</v>
      </c>
      <c r="AN3" s="15" t="str">
        <f>"!import-table-item --" &amp; AJ$1 &amp; " --" &amp; AJ3 &amp; " --" &amp; AL3</f>
        <v>!import-table-item --Alcohols-A --Lager --2</v>
      </c>
      <c r="AO3" s="11" t="s">
        <v>1001</v>
      </c>
      <c r="AP3" s="6" t="s">
        <v>1398</v>
      </c>
      <c r="AQ3" s="6">
        <v>10</v>
      </c>
      <c r="AR3" s="9" t="str">
        <f>IF(AQ3=0,"-",IF(AQ3=1,SUM(AQ$1:AQ2)+1,SUM(AQ$1:AQ2)+1 &amp; "-" &amp; SUM(AQ$1:AQ3)))</f>
        <v>11-20</v>
      </c>
      <c r="AS3" s="15" t="str">
        <f t="shared" si="2"/>
        <v>!import-table-item --Items-A --Common Glamerweave --10</v>
      </c>
      <c r="AT3" s="11" t="s">
        <v>13</v>
      </c>
      <c r="AU3" s="6" t="s">
        <v>1397</v>
      </c>
      <c r="AV3" s="6">
        <v>3</v>
      </c>
      <c r="AW3" s="9" t="str">
        <f>IF(AV3=0,"-",IF(AV3=1,SUM(AV$1:AV2)+1,SUM(AV$1:AV2)+1 &amp; "-" &amp; SUM(AV$1:AV3)))</f>
        <v>13-15</v>
      </c>
      <c r="AX3" s="15" t="str">
        <f>"!import-table-item --" &amp; AT$1 &amp; " --" &amp; AT3 &amp; " --" &amp; AV3</f>
        <v>!import-table-item --Potions-A --Potion of Climbing --3</v>
      </c>
      <c r="AY3" s="22" t="s">
        <v>390</v>
      </c>
      <c r="AZ3" s="6" t="s">
        <v>1397</v>
      </c>
      <c r="BA3" s="6">
        <v>9</v>
      </c>
      <c r="BB3" s="9" t="str">
        <f>IF(BA3=0,"-",IF(BA3=1,SUM(BA$1:BA2)+1,SUM(BA$1:BA2)+1 &amp; "-" &amp; SUM(BA$1:BA3)))</f>
        <v>4-12</v>
      </c>
      <c r="BC3" s="15" t="str">
        <f t="shared" si="3"/>
        <v>!import-table-item --Spells-A --Spell Scroll ([[ 1t[Spells-Level-1] ]]) --9</v>
      </c>
      <c r="BD3" s="11" t="s">
        <v>1100</v>
      </c>
      <c r="BE3" s="6" t="s">
        <v>1398</v>
      </c>
      <c r="BF3" s="6">
        <v>4</v>
      </c>
      <c r="BG3" s="9" t="str">
        <f>IF(BF3=0,"-",IF(BF3=1,SUM(BF$1:BF2)+1,SUM(BF$1:BF2)+1 &amp; "-" &amp; SUM(BF$1:BF3)))</f>
        <v>5-8</v>
      </c>
      <c r="BH3" s="15" t="str">
        <f t="shared" si="4"/>
        <v>!import-table-item --Apparel-A --Uncommon Glamerweave --4</v>
      </c>
      <c r="BI3" s="39" t="s">
        <v>1070</v>
      </c>
      <c r="BJ3" s="6" t="s">
        <v>1493</v>
      </c>
      <c r="BK3" s="6">
        <v>3</v>
      </c>
      <c r="BL3" s="9" t="str">
        <f>IF(BK3=0,"-",IF(BK3=1,SUM(BK$1:BK2)+1,SUM(BK$1:BK2)+1 &amp; "-" &amp; SUM(BK$1:BK3)))</f>
        <v>4-6</v>
      </c>
      <c r="BM3" s="15" t="str">
        <f t="shared" si="5"/>
        <v>!import-table-item --Armor-A --Cast-Off Armor ([[ 1t[Cast-Off-Armor] ]]) --3</v>
      </c>
      <c r="BN3" s="22" t="s">
        <v>1065</v>
      </c>
      <c r="BP3" s="6">
        <v>3</v>
      </c>
      <c r="BQ3" s="9" t="str">
        <f>IF(BP3=0,"-",IF(BP3=1,SUM(BP$1:BP2)+1,SUM(BP$1:BP2)+1 &amp; "-" &amp; SUM(BP$1:BP3)))</f>
        <v>3-5</v>
      </c>
      <c r="BR3" s="15" t="str">
        <f>"!import-table-item --" &amp; BN$1 &amp; " --" &amp; BN3 &amp; " --" &amp; BP3</f>
        <v>!import-table-item --Cast-Off-Armor --[[ 1t[Medium-Armor] ]] --3</v>
      </c>
      <c r="BS3" s="22" t="s">
        <v>1065</v>
      </c>
      <c r="BU3" s="6">
        <v>5</v>
      </c>
      <c r="BV3" s="9" t="str">
        <f>IF(BU3=0,"-",IF(BU3=1,SUM(BU$1:BU2)+1,SUM(BU$1:BU2)+1 &amp; "-" &amp; SUM(BU$1:BU3)))</f>
        <v>6-10</v>
      </c>
      <c r="BW3" s="15" t="str">
        <f>"!import-table-item --" &amp; BS$1 &amp; " --" &amp; BS3 &amp; " --" &amp; BU3</f>
        <v>!import-table-item --Smoldering-Armor --[[ 1t[Medium-Armor] ]] --5</v>
      </c>
      <c r="BX3" s="22" t="s">
        <v>1072</v>
      </c>
      <c r="BY3" s="6" t="s">
        <v>1493</v>
      </c>
      <c r="BZ3" s="6">
        <v>2</v>
      </c>
      <c r="CA3" s="9" t="str">
        <f>IF(BZ3=0,"-",IF(BZ3=1,SUM(BZ$1:BZ2)+1,SUM(BZ$1:BZ2)+1 &amp; "-" &amp; SUM(BZ$1:BZ3)))</f>
        <v>10-11</v>
      </c>
      <c r="CB3" s="15" t="str">
        <f>"!import-table-item --" &amp; BX$1 &amp; " --" &amp; BX3 &amp; " --" &amp; BZ3</f>
        <v>!import-table-item --Arms-A --Moon-Touched [[ 1t[Swords] ]] --2</v>
      </c>
      <c r="CC3" s="11" t="s">
        <v>1021</v>
      </c>
      <c r="CD3" s="6" t="s">
        <v>1493</v>
      </c>
      <c r="CE3" s="6">
        <v>2</v>
      </c>
      <c r="CF3" s="9" t="str">
        <f>IF(CE3=0,"-",IF(CE3=1,SUM(CE$1:CE2)+1,SUM(CE$1:CE2)+1 &amp; "-" &amp; SUM(CE$1:CE3)))</f>
        <v>3-4</v>
      </c>
      <c r="CG3" s="15" t="str">
        <f>"!import-table-item --" &amp; CC$1 &amp; " --" &amp; CC3 &amp; " --" &amp; CE3</f>
        <v>!import-table-item --Jewelry-A --Orb of Direction --2</v>
      </c>
      <c r="CH3" s="6" t="s">
        <v>1009</v>
      </c>
      <c r="CI3" s="6" t="s">
        <v>1398</v>
      </c>
      <c r="CJ3" s="6">
        <v>3</v>
      </c>
      <c r="CK3" s="9" t="str">
        <f>IF(CJ3=0,"-",IF(CJ3=1,SUM(CJ$1:CJ2)+1,SUM(CJ$1:CJ2)+1 &amp; "-" &amp; SUM(CJ$1:CJ3)))</f>
        <v>4-6</v>
      </c>
      <c r="CL3" s="15" t="str">
        <f t="shared" si="6"/>
        <v>!import-table-item --Misc-A --Feather Token --3</v>
      </c>
      <c r="CM3" s="11" t="s">
        <v>430</v>
      </c>
      <c r="CO3" s="6">
        <v>1</v>
      </c>
      <c r="CP3" s="9">
        <f>IF(CO3=0,"-",IF(CO3=1,SUM(CO$1:CO2)+1,SUM(CO$1:CO2)+1 &amp; "-" &amp; SUM(CO$1:CO3)))</f>
        <v>2</v>
      </c>
      <c r="CQ3" s="15" t="str">
        <f t="shared" si="7"/>
        <v>!import-table-item --Creature-Type-A --Celestials --1</v>
      </c>
      <c r="CR3" s="37" t="s">
        <v>1211</v>
      </c>
      <c r="CS3" s="6" t="s">
        <v>1398</v>
      </c>
      <c r="CT3" s="6">
        <v>4</v>
      </c>
      <c r="CU3" s="9" t="str">
        <f>IF(CT3=0,"-",IF(CT3=1,SUM(CT$1:CT2)+1,SUM(CT$1:CT2)+1 &amp; "-" &amp; SUM(CT$1:CT3)))</f>
        <v>5-8</v>
      </c>
      <c r="CV3" s="15" t="str">
        <f t="shared" ref="CV3:CV11" si="15">"!import-table-item --" &amp; CR$1 &amp; " --" &amp; CR3 &amp; " --" &amp; CT3</f>
        <v>!import-table-item --Spellcaster-A --Imbued [[ 1t[Imbued-Wood] ]] ([[ 1t[Planar-Wood] ]]) --4</v>
      </c>
      <c r="CW3" s="11" t="s">
        <v>1210</v>
      </c>
      <c r="CY3" s="6">
        <v>2</v>
      </c>
      <c r="CZ3" s="9" t="str">
        <f>IF(CY3=0,"-",IF(CY3=1,SUM(CY$1:CY2)+1,SUM(CY$1:CY2)+1 &amp; "-" &amp; SUM(CY$1:CY3)))</f>
        <v>3-4</v>
      </c>
      <c r="DA3" s="15" t="str">
        <f>"!import-table-item --" &amp; CW$1 &amp; " --" &amp; CW3 &amp; " --" &amp; CY3</f>
        <v>!import-table-item --Orb-of-Shielding --Orb --2</v>
      </c>
      <c r="DB3" s="11" t="s">
        <v>1222</v>
      </c>
      <c r="DC3" s="6" t="s">
        <v>1398</v>
      </c>
      <c r="DD3" s="6">
        <v>1</v>
      </c>
      <c r="DE3" s="9">
        <f>IF(DD3=0,"-",IF(DD3=1,SUM(DD$1:DD2)+1,SUM(DD$1:DD2)+1 &amp; "-" &amp; SUM(DD$1:DD3)))</f>
        <v>2</v>
      </c>
      <c r="DF3" s="15" t="str">
        <f t="shared" si="8"/>
        <v>!import-table-item --Planar-Stone --Irian Quartz - Radiant --1</v>
      </c>
      <c r="DG3" s="11" t="s">
        <v>1206</v>
      </c>
      <c r="DI3" s="6">
        <v>2</v>
      </c>
      <c r="DJ3" s="9" t="str">
        <f>IF(DI3=0,"-",IF(DI3=1,SUM(DI$1:DI2)+1,SUM(DI$1:DI2)+1 &amp; "-" &amp; SUM(DI$1:DI3)))</f>
        <v>3-4</v>
      </c>
      <c r="DK3" s="15" t="str">
        <f>"!import-table-item --" &amp; DG$1 &amp; " --" &amp; DG3 &amp; " --" &amp; DI3</f>
        <v>!import-table-item --Imbued-Wood --Staff --2</v>
      </c>
      <c r="DL3" s="11" t="s">
        <v>1214</v>
      </c>
      <c r="DM3" s="6" t="s">
        <v>1398</v>
      </c>
      <c r="DN3" s="6">
        <v>1</v>
      </c>
      <c r="DO3" s="9">
        <f>IF(DN3=0,"-",IF(DN3=1,SUM(DN$1:DN2)+1,SUM(DN$1:DN2)+1 &amp; "-" &amp; SUM(DN$1:DN3)))</f>
        <v>2</v>
      </c>
      <c r="DP3" s="15" t="str">
        <f t="shared" si="9"/>
        <v>!import-table-item --Planar-Wood --Irian Rosewood - Radiant --1</v>
      </c>
      <c r="DQ3" s="11" t="s">
        <v>1743</v>
      </c>
      <c r="DR3" s="6" t="s">
        <v>1402</v>
      </c>
      <c r="DS3" s="6">
        <v>1</v>
      </c>
      <c r="DT3" s="9">
        <f>IF(DS3=0,"-",IF(DS3=1,SUM(DS$1:DS2)+1,SUM(DS$1:DS2)+1 &amp; "-" &amp; SUM(DS$1:DS3)))</f>
        <v>3</v>
      </c>
      <c r="DU3" s="15" t="str">
        <f t="shared" si="10"/>
        <v>!import-table-item --Prosthesis --Prosthetic Left Hand --1</v>
      </c>
      <c r="DV3" s="22" t="s">
        <v>1176</v>
      </c>
      <c r="DW3" s="6" t="s">
        <v>1398</v>
      </c>
      <c r="DX3" s="6">
        <v>2</v>
      </c>
      <c r="DY3" s="9" t="str">
        <f>IF(DX3=0,"-",IF(DX3=1,SUM(DX$1:DX2)+1,SUM(DX$1:DX2)+1 &amp; "-" &amp; SUM(DX$1:DX3)))</f>
        <v>8-9</v>
      </c>
      <c r="DZ3" s="15" t="str">
        <f>"!import-table-item --" &amp; DV$1 &amp; " --" &amp; DV3 &amp; " --" &amp; DX3</f>
        <v>!import-table-item --Warforged-A --Wand Sheath ([[ 1t[Wands-A] ]]) --2</v>
      </c>
      <c r="EA3" s="22" t="s">
        <v>1181</v>
      </c>
      <c r="EC3" s="6">
        <v>4</v>
      </c>
      <c r="ED3" s="9" t="str">
        <f>IF(EC3=0,"-",IF(EC3=1,SUM(EC$1:EC2)+1,SUM(EC$1:EC2)+1 &amp; "-" &amp; SUM(EC$1:EC3)))</f>
        <v>3-6</v>
      </c>
      <c r="EE3" s="15" t="str">
        <f>"!import-table-item --" &amp; EA$1 &amp; " --" &amp; EA3 &amp; " --" &amp; EC3</f>
        <v>!import-table-item --Armblades --[[ 1t[Armblades-Martial] ]] --4</v>
      </c>
      <c r="EF3" s="11" t="s">
        <v>963</v>
      </c>
      <c r="EH3" s="6">
        <v>3</v>
      </c>
      <c r="EI3" s="9" t="str">
        <f>IF(EH3=0,"-",IF(EH3=1,SUM(EH$1:EH2)+1,SUM(EH$1:EH2)+1 &amp; "-" &amp; SUM(EH$1:EH3)))</f>
        <v>5-7</v>
      </c>
      <c r="EJ3" s="15" t="str">
        <f t="shared" si="11"/>
        <v>!import-table-item --Armblades-Simple --Spear --3</v>
      </c>
      <c r="EK3" s="11" t="s">
        <v>981</v>
      </c>
      <c r="EM3" s="6">
        <v>4</v>
      </c>
      <c r="EN3" s="9" t="str">
        <f>IF(EM3=0,"-",IF(EM3=1,SUM(EM$1:EM2)+1,SUM(EM$1:EM2)+1 &amp; "-" &amp; SUM(EM$1:EM3)))</f>
        <v>5-8</v>
      </c>
      <c r="EO3" s="15" t="str">
        <f t="shared" si="12"/>
        <v>!import-table-item --Armblades-Martial --Shortsword --4</v>
      </c>
      <c r="EP3" s="11" t="s">
        <v>49</v>
      </c>
      <c r="EQ3" s="6" t="s">
        <v>1397</v>
      </c>
      <c r="ER3" s="6">
        <v>5</v>
      </c>
      <c r="ES3" s="9" t="str">
        <f>IF(ER3=0,"-",IF(ER3=1,SUM(ER$1:ER2)+1,SUM(ER$1:ER2)+1 &amp; "-" &amp; SUM(ER$1:ER3)))</f>
        <v>6-10</v>
      </c>
      <c r="ET3" s="15" t="str">
        <f t="shared" si="13"/>
        <v>!import-table-item --Wands-A --Wand of Secrets --5</v>
      </c>
    </row>
    <row r="4" spans="1:150" x14ac:dyDescent="0.25">
      <c r="A4" s="11" t="s">
        <v>17</v>
      </c>
      <c r="C4" s="6">
        <v>1</v>
      </c>
      <c r="D4" s="9">
        <f>IF(C4=0,"-",IF(C4=1,SUM(C$1:C3)+1,SUM(C$1:C3)+1 &amp; "-" &amp; SUM(C$1:C4)))</f>
        <v>100</v>
      </c>
      <c r="E4" s="15" t="str">
        <f t="shared" si="14"/>
        <v>!import-table-item --Original-DMG-A --Bag of Holding --1</v>
      </c>
      <c r="F4" s="22" t="s">
        <v>1980</v>
      </c>
      <c r="H4" s="6">
        <v>2</v>
      </c>
      <c r="I4" s="9" t="str">
        <f>IF(H4=0,"-",IF(H4=1,SUM(H$1:H3)+1,SUM(H$1:H3)+1 &amp; "-" &amp; SUM(H$1:H4)))</f>
        <v>10-11</v>
      </c>
      <c r="J4" s="15" t="str">
        <f t="shared" si="0"/>
        <v>!import-table-item --Magic-Item-Table-A --[[ 1t[Armor-A] ]] --2</v>
      </c>
      <c r="K4" s="22" t="s">
        <v>1970</v>
      </c>
      <c r="L4" s="6" t="s">
        <v>1493</v>
      </c>
      <c r="M4" s="6">
        <v>1</v>
      </c>
      <c r="N4" s="9">
        <f>IF(M4=0,"-",IF(M4=1,SUM(M$1:M3)+1,SUM(M$1:M3)+1 &amp; "-" &amp; SUM(M$1:M4)))</f>
        <v>10</v>
      </c>
      <c r="O4" s="15" t="str">
        <f>"!import-table-item --" &amp; K$1 &amp; " --" &amp; K4 &amp; " --" &amp; M4</f>
        <v>!import-table-item --Ammunition-A --[[1d4]] Unbreakable [[ 1t[Ammunition] ]] --1</v>
      </c>
      <c r="S4" s="9"/>
      <c r="U4" s="11" t="s">
        <v>1734</v>
      </c>
      <c r="V4" s="6" t="s">
        <v>1493</v>
      </c>
      <c r="W4" s="6">
        <v>2</v>
      </c>
      <c r="X4" s="9" t="str">
        <f>IF(W4=0,"-",IF(W4=1,SUM(W$1:W3)+1,SUM(W$1:W3)+1 &amp; "-" &amp; SUM(W$1:W4)))</f>
        <v>7-8</v>
      </c>
      <c r="Y4" s="15" t="str">
        <f>"!import-table-item --" &amp; U$1 &amp; " --" &amp; U4 &amp; " --" &amp; W4</f>
        <v>!import-table-item --Food-A --[[1d4]] Beads of Nourishment --2</v>
      </c>
      <c r="AC4" s="9"/>
      <c r="AE4" s="11" t="s">
        <v>1184</v>
      </c>
      <c r="AG4" s="6">
        <v>1</v>
      </c>
      <c r="AH4" s="9">
        <f>IF(AG4=0,"-",IF(AG4=1,SUM(AG$1:AG3)+1,SUM(AG$1:AG3)+1 &amp; "-" &amp; SUM(AG$1:AG4)))</f>
        <v>5</v>
      </c>
      <c r="AI4" s="15" t="str">
        <f t="shared" si="1"/>
        <v>!import-table-item --Beverages-A --Green Tea --1</v>
      </c>
      <c r="AJ4" s="11" t="s">
        <v>1740</v>
      </c>
      <c r="AL4" s="6">
        <v>2</v>
      </c>
      <c r="AM4" s="9" t="str">
        <f>IF(AL4=0,"-",IF(AL4=1,SUM(AL$1:AL3)+1,SUM(AL$1:AL3)+1 &amp; "-" &amp; SUM(AL$1:AL4)))</f>
        <v>5-6</v>
      </c>
      <c r="AN4" s="15" t="str">
        <f>"!import-table-item --" &amp; AJ$1 &amp; " --" &amp; AJ4 &amp; " --" &amp; AL4</f>
        <v>!import-table-item --Alcohols-A --White Wine --2</v>
      </c>
      <c r="AO4" s="26" t="s">
        <v>1173</v>
      </c>
      <c r="AQ4" s="6">
        <v>5</v>
      </c>
      <c r="AR4" s="9" t="str">
        <f>IF(AQ4=0,"-",IF(AQ4=1,SUM(AQ$1:AQ3)+1,SUM(AQ$1:AQ3)+1 &amp; "-" &amp; SUM(AQ$1:AQ4)))</f>
        <v>21-25</v>
      </c>
      <c r="AS4" s="15" t="str">
        <f t="shared" si="2"/>
        <v>!import-table-item --Items-A --[[ 1t[Prosthesis] ]] --5</v>
      </c>
      <c r="AT4" s="11" t="s">
        <v>1029</v>
      </c>
      <c r="AU4" s="6" t="s">
        <v>1411</v>
      </c>
      <c r="AV4" s="6">
        <v>2</v>
      </c>
      <c r="AW4" s="9" t="str">
        <f>IF(AV4=0,"-",IF(AV4=1,SUM(AV$1:AV3)+1,SUM(AV$1:AV3)+1 &amp; "-" &amp; SUM(AV$1:AV4)))</f>
        <v>16-17</v>
      </c>
      <c r="AX4" s="15" t="str">
        <f>"!import-table-item --" &amp; AT$1 &amp; " --" &amp; AT4 &amp; " --" &amp; AV4</f>
        <v>!import-table-item --Potions-A --Potion of Comprehension --2</v>
      </c>
      <c r="AY4" s="22" t="s">
        <v>391</v>
      </c>
      <c r="AZ4" s="6" t="s">
        <v>1397</v>
      </c>
      <c r="BA4" s="6">
        <v>2</v>
      </c>
      <c r="BB4" s="9" t="str">
        <f>IF(BA4=0,"-",IF(BA4=1,SUM(BA$1:BA3)+1,SUM(BA$1:BA3)+1 &amp; "-" &amp; SUM(BA$1:BA4)))</f>
        <v>13-14</v>
      </c>
      <c r="BC4" s="15" t="str">
        <f t="shared" si="3"/>
        <v>!import-table-item --Spells-A --Spell Scroll ([[ 1t[Spells-Level-2] ]]) --2</v>
      </c>
      <c r="BD4" s="11" t="s">
        <v>1019</v>
      </c>
      <c r="BE4" s="6" t="s">
        <v>1402</v>
      </c>
      <c r="BF4" s="6">
        <v>2</v>
      </c>
      <c r="BG4" s="9" t="str">
        <f>IF(BF4=0,"-",IF(BF4=1,SUM(BF$1:BF3)+1,SUM(BF$1:BF3)+1 &amp; "-" &amp; SUM(BF$1:BF4)))</f>
        <v>9-10</v>
      </c>
      <c r="BH4" s="15" t="str">
        <f>"!import-table-item --" &amp; BD$1 &amp; " --" &amp; BD4 &amp; " --" &amp; BF4</f>
        <v>!import-table-item --Apparel-A --Masquerade Tattoo --2</v>
      </c>
      <c r="BI4" s="36" t="s">
        <v>1110</v>
      </c>
      <c r="BJ4" s="6" t="s">
        <v>1493</v>
      </c>
      <c r="BK4" s="6">
        <v>2</v>
      </c>
      <c r="BL4" s="9" t="str">
        <f>IF(BK4=0,"-",IF(BK4=1,SUM(BK$1:BK3)+1,SUM(BK$1:BK3)+1 &amp; "-" &amp; SUM(BK$1:BK4)))</f>
        <v>7-8</v>
      </c>
      <c r="BM4" s="15" t="str">
        <f t="shared" si="5"/>
        <v>!import-table-item --Armor-A --[[ 1t[Metal-Armor] ]] of Gleaming --2</v>
      </c>
      <c r="BN4" s="22" t="s">
        <v>1066</v>
      </c>
      <c r="BP4" s="6">
        <v>1</v>
      </c>
      <c r="BQ4" s="9">
        <f>IF(BP4=0,"-",IF(BP4=1,SUM(BP$1:BP3)+1,SUM(BP$1:BP3)+1 &amp; "-" &amp; SUM(BP$1:BP4)))</f>
        <v>6</v>
      </c>
      <c r="BR4" s="15" t="str">
        <f>"!import-table-item --" &amp; BN$1 &amp; " --" &amp; BN4 &amp; " --" &amp; BP4</f>
        <v>!import-table-item --Cast-Off-Armor --[[ 1t[Heavy-Armor] ]] --1</v>
      </c>
      <c r="BS4" s="22" t="s">
        <v>1066</v>
      </c>
      <c r="BU4" s="6">
        <v>2</v>
      </c>
      <c r="BV4" s="9" t="str">
        <f>IF(BU4=0,"-",IF(BU4=1,SUM(BU$1:BU3)+1,SUM(BU$1:BU3)+1 &amp; "-" &amp; SUM(BU$1:BU4)))</f>
        <v>11-12</v>
      </c>
      <c r="BW4" s="15" t="str">
        <f>"!import-table-item --" &amp; BS$1 &amp; " --" &amp; BS4 &amp; " --" &amp; BU4</f>
        <v>!import-table-item --Smoldering-Armor --[[ 1t[Heavy-Armor] ]] --2</v>
      </c>
      <c r="BX4" s="11" t="s">
        <v>1041</v>
      </c>
      <c r="BY4" s="6" t="s">
        <v>1493</v>
      </c>
      <c r="BZ4" s="6">
        <v>1</v>
      </c>
      <c r="CA4" s="9">
        <f>IF(BZ4=0,"-",IF(BZ4=1,SUM(BZ$1:BZ3)+1,SUM(BZ$1:BZ3)+1 &amp; "-" &amp; SUM(BZ$1:BZ4)))</f>
        <v>12</v>
      </c>
      <c r="CB4" s="15" t="str">
        <f>"!import-table-item --" &amp; BX$1 &amp; " --" &amp; BX4 &amp; " --" &amp; BZ4</f>
        <v>!import-table-item --Arms-A --Veteran's Cane --1</v>
      </c>
      <c r="CC4" s="11" t="s">
        <v>1022</v>
      </c>
      <c r="CD4" s="6" t="s">
        <v>1493</v>
      </c>
      <c r="CE4" s="6">
        <v>2</v>
      </c>
      <c r="CF4" s="9" t="str">
        <f>IF(CE4=0,"-",IF(CE4=1,SUM(CE$1:CE3)+1,SUM(CE$1:CE3)+1 &amp; "-" &amp; SUM(CE$1:CE4)))</f>
        <v>5-6</v>
      </c>
      <c r="CG4" s="15" t="str">
        <f>"!import-table-item --" &amp; CC$1 &amp; " --" &amp; CC4 &amp; " --" &amp; CE4</f>
        <v>!import-table-item --Jewelry-A --Orb of Time --2</v>
      </c>
      <c r="CH4" s="22" t="s">
        <v>1496</v>
      </c>
      <c r="CI4" s="6" t="s">
        <v>1483</v>
      </c>
      <c r="CJ4" s="6">
        <v>3</v>
      </c>
      <c r="CK4" s="9" t="str">
        <f>IF(CJ4=0,"-",IF(CJ4=1,SUM(CJ$1:CJ3)+1,SUM(CJ$1:CJ3)+1 &amp; "-" &amp; SUM(CJ$1:CJ4)))</f>
        <v>7-9</v>
      </c>
      <c r="CL4" s="15" t="str">
        <f t="shared" si="6"/>
        <v>!import-table-item --Misc-A --Lantern of Tracking [[ 1t[Creature-Type-A] ]] --3</v>
      </c>
      <c r="CM4" s="11" t="s">
        <v>1102</v>
      </c>
      <c r="CO4" s="6">
        <v>1</v>
      </c>
      <c r="CP4" s="9">
        <f>IF(CO4=0,"-",IF(CO4=1,SUM(CO$1:CO3)+1,SUM(CO$1:CO3)+1 &amp; "-" &amp; SUM(CO$1:CO4)))</f>
        <v>3</v>
      </c>
      <c r="CQ4" s="15" t="str">
        <f t="shared" si="7"/>
        <v>!import-table-item --Creature-Type-A --Constructs --1</v>
      </c>
      <c r="CR4" s="11" t="s">
        <v>1852</v>
      </c>
      <c r="CS4" s="6" t="s">
        <v>1853</v>
      </c>
      <c r="CT4" s="6">
        <v>2</v>
      </c>
      <c r="CU4" s="9" t="str">
        <f>IF(CT4=0,"-",IF(CT4=1,SUM(CT$1:CT3)+1,SUM(CT$1:CT3)+1 &amp; "-" &amp; SUM(CT$1:CT4)))</f>
        <v>9-10</v>
      </c>
      <c r="CV4" s="15" t="str">
        <f t="shared" si="15"/>
        <v>!import-table-item --Spellcaster-A --Battle Rod --2</v>
      </c>
      <c r="CZ4" s="9"/>
      <c r="DB4" s="11" t="s">
        <v>1223</v>
      </c>
      <c r="DC4" s="6" t="s">
        <v>1398</v>
      </c>
      <c r="DD4" s="6">
        <v>1</v>
      </c>
      <c r="DE4" s="9">
        <f>IF(DD4=0,"-",IF(DD4=1,SUM(DD$1:DD3)+1,SUM(DD$1:DD3)+1 &amp; "-" &amp; SUM(DD$1:DD4)))</f>
        <v>3</v>
      </c>
      <c r="DF4" s="15" t="str">
        <f t="shared" si="8"/>
        <v>!import-table-item --Planar-Stone --Kythrian Skarn - Acid and Poison --1</v>
      </c>
      <c r="DG4" s="11" t="s">
        <v>1207</v>
      </c>
      <c r="DI4" s="6">
        <v>2</v>
      </c>
      <c r="DJ4" s="9" t="str">
        <f>IF(DI4=0,"-",IF(DI4=1,SUM(DI$1:DI3)+1,SUM(DI$1:DI3)+1 &amp; "-" &amp; SUM(DI$1:DI4)))</f>
        <v>5-6</v>
      </c>
      <c r="DK4" s="15" t="str">
        <f>"!import-table-item --" &amp; DG$1 &amp; " --" &amp; DG4 &amp; " --" &amp; DI4</f>
        <v>!import-table-item --Imbued-Wood --Wand --2</v>
      </c>
      <c r="DL4" s="11" t="s">
        <v>1215</v>
      </c>
      <c r="DM4" s="6" t="s">
        <v>1398</v>
      </c>
      <c r="DN4" s="6">
        <v>1</v>
      </c>
      <c r="DO4" s="9">
        <f>IF(DN4=0,"-",IF(DN4=1,SUM(DN$1:DN3)+1,SUM(DN$1:DN3)+1 &amp; "-" &amp; SUM(DN$1:DN4)))</f>
        <v>3</v>
      </c>
      <c r="DP4" s="15" t="str">
        <f t="shared" si="9"/>
        <v>!import-table-item --Planar-Wood --Kythrian Manchineel - Acid and Poison --1</v>
      </c>
      <c r="DQ4" s="11" t="s">
        <v>1744</v>
      </c>
      <c r="DR4" s="6" t="s">
        <v>1402</v>
      </c>
      <c r="DS4" s="6">
        <v>1</v>
      </c>
      <c r="DT4" s="9">
        <f>IF(DS4=0,"-",IF(DS4=1,SUM(DS$1:DS3)+1,SUM(DS$1:DS3)+1 &amp; "-" &amp; SUM(DS$1:DS4)))</f>
        <v>4</v>
      </c>
      <c r="DU4" s="15" t="str">
        <f t="shared" si="10"/>
        <v>!import-table-item --Prosthesis --Prosthetic Right Hand --1</v>
      </c>
      <c r="DV4" s="22" t="s">
        <v>2016</v>
      </c>
      <c r="DW4" s="6" t="s">
        <v>1853</v>
      </c>
      <c r="DX4" s="6">
        <v>1</v>
      </c>
      <c r="DY4" s="9">
        <f>IF(DX4=0,"-",IF(DX4=1,SUM(DX$1:DX3)+1,SUM(DX$1:DX3)+1 &amp; "-" &amp; SUM(DX$1:DX4)))</f>
        <v>10</v>
      </c>
      <c r="DZ4" s="15" t="str">
        <f>"!import-table-item --" &amp; DV$1 &amp; " --" &amp; DV4 &amp; " --" &amp; DX4</f>
        <v>!import-table-item --Warforged-A --Integrated [[ 1t[Tools] ]] --1</v>
      </c>
      <c r="ED4" s="9"/>
      <c r="EF4" s="11" t="s">
        <v>960</v>
      </c>
      <c r="EH4" s="6">
        <v>2</v>
      </c>
      <c r="EI4" s="9" t="str">
        <f>IF(EH4=0,"-",IF(EH4=1,SUM(EH$1:EH3)+1,SUM(EH$1:EH3)+1 &amp; "-" &amp; SUM(EH$1:EH4)))</f>
        <v>8-9</v>
      </c>
      <c r="EJ4" s="15" t="str">
        <f t="shared" si="11"/>
        <v>!import-table-item --Armblades-Simple --Mace --2</v>
      </c>
      <c r="EK4" s="11" t="s">
        <v>968</v>
      </c>
      <c r="EM4" s="6">
        <v>2</v>
      </c>
      <c r="EN4" s="9" t="str">
        <f>IF(EM4=0,"-",IF(EM4=1,SUM(EM$1:EM3)+1,SUM(EM$1:EM3)+1 &amp; "-" &amp; SUM(EM$1:EM4)))</f>
        <v>9-10</v>
      </c>
      <c r="EO4" s="15" t="str">
        <f t="shared" si="12"/>
        <v>!import-table-item --Armblades-Martial --Battleaxe --2</v>
      </c>
      <c r="EP4" s="11" t="s">
        <v>1112</v>
      </c>
      <c r="EQ4" s="6" t="s">
        <v>1479</v>
      </c>
      <c r="ER4" s="6">
        <v>3</v>
      </c>
      <c r="ES4" s="9" t="str">
        <f>IF(ER4=0,"-",IF(ER4=1,SUM(ER$1:ER3)+1,SUM(ER$1:ER3)+1 &amp; "-" &amp; SUM(ER$1:ER4)))</f>
        <v>11-13</v>
      </c>
      <c r="ET4" s="15" t="str">
        <f t="shared" si="13"/>
        <v>!import-table-item --Wands-A --Wand of Entangle --3</v>
      </c>
    </row>
    <row r="5" spans="1:150" x14ac:dyDescent="0.25">
      <c r="D5" s="9"/>
      <c r="F5" s="22" t="s">
        <v>1981</v>
      </c>
      <c r="H5" s="6">
        <v>2</v>
      </c>
      <c r="I5" s="9" t="str">
        <f>IF(H5=0,"-",IF(H5=1,SUM(H$1:H4)+1,SUM(H$1:H4)+1 &amp; "-" &amp; SUM(H$1:H5)))</f>
        <v>12-13</v>
      </c>
      <c r="J5" s="15" t="str">
        <f t="shared" si="0"/>
        <v>!import-table-item --Magic-Item-Table-A --[[ 1t[Arms-A] ]] --2</v>
      </c>
      <c r="N5" s="9"/>
      <c r="S5" s="9"/>
      <c r="U5" s="22" t="s">
        <v>1736</v>
      </c>
      <c r="V5" s="6" t="s">
        <v>1494</v>
      </c>
      <c r="W5" s="6">
        <v>1</v>
      </c>
      <c r="X5" s="9">
        <f>IF(W5=0,"-",IF(W5=1,SUM(W$1:W4)+1,SUM(W$1:W4)+1 &amp; "-" &amp; SUM(W$1:W5)))</f>
        <v>9</v>
      </c>
      <c r="Y5" s="15" t="str">
        <f>"!import-table-item --" &amp; U$1 &amp; " --" &amp; U5 &amp; " --" &amp; W5</f>
        <v>!import-table-item --Food-A --Bottle of Boundless [[ 1t[Beverages-A] ]] --1</v>
      </c>
      <c r="AC5" s="9"/>
      <c r="AE5" s="11" t="s">
        <v>1187</v>
      </c>
      <c r="AG5" s="6">
        <v>1</v>
      </c>
      <c r="AH5" s="9">
        <f>IF(AG5=0,"-",IF(AG5=1,SUM(AG$1:AG4)+1,SUM(AG$1:AG4)+1 &amp; "-" &amp; SUM(AG$1:AG5)))</f>
        <v>6</v>
      </c>
      <c r="AI5" s="15" t="str">
        <f t="shared" si="1"/>
        <v>!import-table-item --Beverages-A --Herbal Tea --1</v>
      </c>
      <c r="AJ5" s="11" t="s">
        <v>1741</v>
      </c>
      <c r="AL5" s="6">
        <v>2</v>
      </c>
      <c r="AM5" s="9" t="str">
        <f>IF(AL5=0,"-",IF(AL5=1,SUM(AL$1:AL4)+1,SUM(AL$1:AL4)+1 &amp; "-" &amp; SUM(AL$1:AL5)))</f>
        <v>7-8</v>
      </c>
      <c r="AN5" s="15" t="str">
        <f>"!import-table-item --" &amp; AJ$1 &amp; " --" &amp; AJ5 &amp; " --" &amp; AL5</f>
        <v>!import-table-item --Alcohols-A --Red Wine --2</v>
      </c>
      <c r="AO5" s="11" t="s">
        <v>1854</v>
      </c>
      <c r="AP5" s="6" t="s">
        <v>1853</v>
      </c>
      <c r="AQ5" s="6">
        <v>5</v>
      </c>
      <c r="AR5" s="9" t="str">
        <f>IF(AQ5=0,"-",IF(AQ5=1,SUM(AQ$1:AQ4)+1,SUM(AQ$1:AQ4)+1 &amp; "-" &amp; SUM(AQ$1:AQ5)))</f>
        <v>26-30</v>
      </c>
      <c r="AS5" s="15" t="str">
        <f t="shared" si="2"/>
        <v>!import-table-item --Items-A --Charlatan's Gloves --5</v>
      </c>
      <c r="AT5" s="11" t="s">
        <v>1030</v>
      </c>
      <c r="AU5" s="6" t="s">
        <v>1411</v>
      </c>
      <c r="AV5" s="6">
        <v>2</v>
      </c>
      <c r="AW5" s="9" t="str">
        <f>IF(AV5=0,"-",IF(AV5=1,SUM(AV$1:AV4)+1,SUM(AV$1:AV4)+1 &amp; "-" &amp; SUM(AV$1:AV5)))</f>
        <v>18-19</v>
      </c>
      <c r="AX5" s="15" t="str">
        <f>"!import-table-item --" &amp; AT$1 &amp; " --" &amp; AT5 &amp; " --" &amp; AV5</f>
        <v>!import-table-item --Potions-A --Potion of Watchful Rest --2</v>
      </c>
      <c r="AY5" s="22" t="s">
        <v>1167</v>
      </c>
      <c r="AZ5" s="6" t="s">
        <v>1402</v>
      </c>
      <c r="BA5" s="6">
        <v>2</v>
      </c>
      <c r="BB5" s="9" t="str">
        <f>IF(BA5=0,"-",IF(BA5=1,SUM(BA$1:BA4)+1,SUM(BA$1:BA4)+1 &amp; "-" &amp; SUM(BA$1:BA5)))</f>
        <v>15-16</v>
      </c>
      <c r="BC5" s="15" t="str">
        <f t="shared" si="3"/>
        <v>!import-table-item --Spells-A --Spellwrought Tattoo ([[ 1t[Spells-Cantrip] ]]) --2</v>
      </c>
      <c r="BD5" s="38"/>
      <c r="BI5" s="22" t="s">
        <v>1108</v>
      </c>
      <c r="BJ5" s="6" t="s">
        <v>1493</v>
      </c>
      <c r="BK5" s="6">
        <v>2</v>
      </c>
      <c r="BL5" s="9" t="str">
        <f>IF(BK5=0,"-",IF(BK5=1,SUM(BK$1:BK4)+1,SUM(BK$1:BK4)+1 &amp; "-" &amp; SUM(BK$1:BK5)))</f>
        <v>9-10</v>
      </c>
      <c r="BM5" s="15" t="str">
        <f t="shared" si="5"/>
        <v>!import-table-item --Armor-A --Smoldering [[ 1t[Smoldering-Armor] ]] Armor --2</v>
      </c>
      <c r="BQ5" s="9"/>
      <c r="BV5" s="9"/>
      <c r="CA5" s="9"/>
      <c r="CC5" s="22" t="s">
        <v>1229</v>
      </c>
      <c r="CE5" s="6">
        <v>1</v>
      </c>
      <c r="CF5" s="9">
        <f>IF(CE5=0,"-",IF(CE5=1,SUM(CE$1:CE4)+1,SUM(CE$1:CE4)+1 &amp; "-" &amp; SUM(CE$1:CE5)))</f>
        <v>7</v>
      </c>
      <c r="CG5" s="15" t="str">
        <f>"!import-table-item --" &amp; CC$1 &amp; " --" &amp; CC5 &amp; " --" &amp; CE5</f>
        <v>!import-table-item --Jewelry-A --[[ 1t[Items-A] ]] --1</v>
      </c>
      <c r="CH5" s="22" t="s">
        <v>1229</v>
      </c>
      <c r="CJ5" s="6">
        <v>2</v>
      </c>
      <c r="CK5" s="9" t="str">
        <f>IF(CJ5=0,"-",IF(CJ5=1,SUM(CJ$1:CJ4)+1,SUM(CJ$1:CJ4)+1 &amp; "-" &amp; SUM(CJ$1:CJ5)))</f>
        <v>10-11</v>
      </c>
      <c r="CL5" s="15" t="str">
        <f t="shared" si="6"/>
        <v>!import-table-item --Misc-A --[[ 1t[Items-A] ]] --2</v>
      </c>
      <c r="CM5" s="11" t="s">
        <v>1103</v>
      </c>
      <c r="CO5" s="6">
        <v>1</v>
      </c>
      <c r="CP5" s="9">
        <f>IF(CO5=0,"-",IF(CO5=1,SUM(CO$1:CO4)+1,SUM(CO$1:CO4)+1 &amp; "-" &amp; SUM(CO$1:CO5)))</f>
        <v>4</v>
      </c>
      <c r="CQ5" s="15" t="str">
        <f t="shared" si="7"/>
        <v>!import-table-item --Creature-Type-A --Dragons --1</v>
      </c>
      <c r="CR5" s="11" t="s">
        <v>1002</v>
      </c>
      <c r="CS5" s="6" t="s">
        <v>1493</v>
      </c>
      <c r="CT5" s="6">
        <v>2</v>
      </c>
      <c r="CU5" s="9" t="str">
        <f>IF(CT5=0,"-",IF(CT5=1,SUM(CT$1:CT4)+1,SUM(CT$1:CT4)+1 &amp; "-" &amp; SUM(CT$1:CT5)))</f>
        <v>11-12</v>
      </c>
      <c r="CV5" s="15" t="str">
        <f t="shared" si="15"/>
        <v>!import-table-item --Spellcaster-A --Dark Shard Amulet --2</v>
      </c>
      <c r="CZ5" s="9"/>
      <c r="DB5" s="11" t="s">
        <v>1224</v>
      </c>
      <c r="DC5" s="6" t="s">
        <v>1398</v>
      </c>
      <c r="DD5" s="6">
        <v>1</v>
      </c>
      <c r="DE5" s="9">
        <f>IF(DD5=0,"-",IF(DD5=1,SUM(DD$1:DD4)+1,SUM(DD$1:DD4)+1 &amp; "-" &amp; SUM(DD$1:DD5)))</f>
        <v>4</v>
      </c>
      <c r="DF5" s="15" t="str">
        <f t="shared" si="8"/>
        <v>!import-table-item --Planar-Stone --Lamannian Flint - Lightning and Thunder --1</v>
      </c>
      <c r="DJ5" s="9"/>
      <c r="DL5" s="11" t="s">
        <v>1218</v>
      </c>
      <c r="DM5" s="6" t="s">
        <v>1398</v>
      </c>
      <c r="DN5" s="6">
        <v>1</v>
      </c>
      <c r="DO5" s="9">
        <f>IF(DN5=0,"-",IF(DN5=1,SUM(DN$1:DN4)+1,SUM(DN$1:DN4)+1 &amp; "-" &amp; SUM(DN$1:DN5)))</f>
        <v>4</v>
      </c>
      <c r="DP5" s="15" t="str">
        <f t="shared" si="9"/>
        <v>!import-table-item --Planar-Wood --Lamannian Oak - Lightning and Thunder --1</v>
      </c>
      <c r="DQ5" s="11" t="s">
        <v>1745</v>
      </c>
      <c r="DR5" s="6" t="s">
        <v>1402</v>
      </c>
      <c r="DS5" s="6">
        <v>1</v>
      </c>
      <c r="DT5" s="9">
        <f>IF(DS5=0,"-",IF(DS5=1,SUM(DS$1:DS4)+1,SUM(DS$1:DS4)+1 &amp; "-" &amp; SUM(DS$1:DS5)))</f>
        <v>5</v>
      </c>
      <c r="DU5" s="15" t="str">
        <f t="shared" si="10"/>
        <v>!import-table-item --Prosthesis --Prosthetic Left Arm --1</v>
      </c>
      <c r="ED5" s="9"/>
      <c r="EF5" s="11" t="s">
        <v>954</v>
      </c>
      <c r="EH5" s="6">
        <v>1</v>
      </c>
      <c r="EI5" s="9">
        <f>IF(EH5=0,"-",IF(EH5=1,SUM(EH$1:EH4)+1,SUM(EH$1:EH4)+1 &amp; "-" &amp; SUM(EH$1:EH5)))</f>
        <v>10</v>
      </c>
      <c r="EJ5" s="15" t="str">
        <f t="shared" si="11"/>
        <v>!import-table-item --Armblades-Simple --Club --1</v>
      </c>
      <c r="EK5" s="11" t="s">
        <v>969</v>
      </c>
      <c r="EM5" s="6">
        <v>2</v>
      </c>
      <c r="EN5" s="9" t="str">
        <f>IF(EM5=0,"-",IF(EM5=1,SUM(EM$1:EM4)+1,SUM(EM$1:EM4)+1 &amp; "-" &amp; SUM(EM$1:EM5)))</f>
        <v>11-12</v>
      </c>
      <c r="EO5" s="15" t="str">
        <f t="shared" si="12"/>
        <v>!import-table-item --Armblades-Martial --Flail --2</v>
      </c>
      <c r="EP5" s="11" t="s">
        <v>118</v>
      </c>
      <c r="EQ5" s="6" t="s">
        <v>1397</v>
      </c>
      <c r="ER5" s="6">
        <v>2</v>
      </c>
      <c r="ES5" s="9" t="str">
        <f>IF(ER5=0,"-",IF(ER5=1,SUM(ER$1:ER4)+1,SUM(ER$1:ER4)+1 &amp; "-" &amp; SUM(ER$1:ER5)))</f>
        <v>14-15</v>
      </c>
      <c r="ET5" s="15" t="str">
        <f t="shared" si="13"/>
        <v>!import-table-item --Wands-A --Wand of Magic Missiles --2</v>
      </c>
    </row>
    <row r="6" spans="1:150" x14ac:dyDescent="0.25">
      <c r="D6" s="9"/>
      <c r="F6" s="22" t="s">
        <v>1971</v>
      </c>
      <c r="H6" s="6">
        <v>1</v>
      </c>
      <c r="I6" s="9">
        <f>IF(H6=0,"-",IF(H6=1,SUM(H$1:H5)+1,SUM(H$1:H5)+1 &amp; "-" &amp; SUM(H$1:H6)))</f>
        <v>14</v>
      </c>
      <c r="J6" s="15" t="str">
        <f t="shared" si="0"/>
        <v>!import-table-item --Magic-Item-Table-A --[[ 1t[Ammunition-A] ]] --1</v>
      </c>
      <c r="N6" s="9"/>
      <c r="S6" s="9"/>
      <c r="U6" s="22" t="s">
        <v>1737</v>
      </c>
      <c r="V6" s="6" t="s">
        <v>1482</v>
      </c>
      <c r="W6" s="6">
        <v>1</v>
      </c>
      <c r="X6" s="9">
        <f>IF(W6=0,"-",IF(W6=1,SUM(W$1:W5)+1,SUM(W$1:W5)+1 &amp; "-" &amp; SUM(W$1:W6)))</f>
        <v>10</v>
      </c>
      <c r="Y6" s="15" t="str">
        <f>"!import-table-item --" &amp; U$1 &amp; " --" &amp; U6 &amp; " --" &amp; W6</f>
        <v>!import-table-item --Food-A --Tankard of Plenty of [[ 1t[Alcohols-A] ]] --1</v>
      </c>
      <c r="AC6" s="9"/>
      <c r="AE6" s="11" t="s">
        <v>1186</v>
      </c>
      <c r="AG6" s="6">
        <v>3</v>
      </c>
      <c r="AH6" s="9" t="str">
        <f>IF(AG6=0,"-",IF(AG6=1,SUM(AG$1:AG5)+1,SUM(AG$1:AG5)+1 &amp; "-" &amp; SUM(AG$1:AG6)))</f>
        <v>7-9</v>
      </c>
      <c r="AI6" s="15" t="str">
        <f t="shared" si="1"/>
        <v>!import-table-item --Beverages-A --Sparkling Water --3</v>
      </c>
      <c r="AJ6" s="11" t="s">
        <v>1742</v>
      </c>
      <c r="AL6" s="6">
        <v>2</v>
      </c>
      <c r="AM6" s="9" t="str">
        <f>IF(AL6=0,"-",IF(AL6=1,SUM(AL$1:AL5)+1,SUM(AL$1:AL5)+1 &amp; "-" &amp; SUM(AL$1:AL6)))</f>
        <v>9-10</v>
      </c>
      <c r="AN6" s="15" t="str">
        <f>"!import-table-item --" &amp; AJ$1 &amp; " --" &amp; AJ6 &amp; " --" &amp; AL6</f>
        <v>!import-table-item --Alcohols-A --Cocktail --2</v>
      </c>
      <c r="AO6" s="11" t="s">
        <v>1855</v>
      </c>
      <c r="AP6" s="6" t="s">
        <v>1853</v>
      </c>
      <c r="AQ6" s="6">
        <v>5</v>
      </c>
      <c r="AR6" s="9" t="str">
        <f>IF(AQ6=0,"-",IF(AQ6=1,SUM(AQ$1:AQ5)+1,SUM(AQ$1:AQ5)+1 &amp; "-" &amp; SUM(AQ$1:AQ6)))</f>
        <v>31-35</v>
      </c>
      <c r="AS6" s="15" t="str">
        <f t="shared" si="2"/>
        <v>!import-table-item --Items-A --Drybrooch --5</v>
      </c>
      <c r="AT6" s="11" t="s">
        <v>16</v>
      </c>
      <c r="AU6" s="6" t="s">
        <v>1397</v>
      </c>
      <c r="AV6" s="6">
        <v>1</v>
      </c>
      <c r="AW6" s="9">
        <f>IF(AV6=0,"-",IF(AV6=1,SUM(AV$1:AV5)+1,SUM(AV$1:AV5)+1 &amp; "-" &amp; SUM(AV$1:AV6)))</f>
        <v>20</v>
      </c>
      <c r="AX6" s="15" t="str">
        <f>"!import-table-item --" &amp; AT$1 &amp; " --" &amp; AT6 &amp; " --" &amp; AV6</f>
        <v>!import-table-item --Potions-A --Potion of Greater Healing --1</v>
      </c>
      <c r="AY6" s="22" t="s">
        <v>1168</v>
      </c>
      <c r="AZ6" s="6" t="s">
        <v>1402</v>
      </c>
      <c r="BA6" s="6">
        <v>3</v>
      </c>
      <c r="BB6" s="9" t="str">
        <f>IF(BA6=0,"-",IF(BA6=1,SUM(BA$1:BA5)+1,SUM(BA$1:BA5)+1 &amp; "-" &amp; SUM(BA$1:BA6)))</f>
        <v>17-19</v>
      </c>
      <c r="BC6" s="15" t="str">
        <f t="shared" si="3"/>
        <v>!import-table-item --Spells-A --Spellwrought Tattoo ([[ 1t[Spells-Level-1] ]]) --3</v>
      </c>
      <c r="BI6" s="11" t="s">
        <v>508</v>
      </c>
      <c r="BK6" s="6">
        <v>1</v>
      </c>
      <c r="BL6" s="9">
        <f>IF(BK6=0,"-",IF(BK6=1,SUM(BK$1:BK5)+1,SUM(BK$1:BK5)+1 &amp; "-" &amp; SUM(BK$1:BK6)))</f>
        <v>11</v>
      </c>
      <c r="BM6" s="15" t="str">
        <f t="shared" si="5"/>
        <v>!import-table-item --Armor-A --Shield --1</v>
      </c>
      <c r="BQ6" s="9"/>
      <c r="BV6" s="9"/>
      <c r="CA6" s="9"/>
      <c r="CC6" s="11" t="s">
        <v>1018</v>
      </c>
      <c r="CD6" s="6" t="s">
        <v>1494</v>
      </c>
      <c r="CE6" s="6">
        <v>1</v>
      </c>
      <c r="CF6" s="9">
        <f>IF(CE6=0,"-",IF(CE6=1,SUM(CE$1:CE5)+1,SUM(CE$1:CE5)+1 &amp; "-" &amp; SUM(CE$1:CE6)))</f>
        <v>8</v>
      </c>
      <c r="CG6" s="15" t="str">
        <f>"!import-table-item --" &amp; CC$1 &amp; " --" &amp; CC6 &amp; " --" &amp; CE6</f>
        <v>!import-table-item --Jewelry-A --Masque Charm --1</v>
      </c>
      <c r="CH6" s="11" t="s">
        <v>991</v>
      </c>
      <c r="CI6" s="6" t="s">
        <v>1409</v>
      </c>
      <c r="CJ6" s="6">
        <v>1</v>
      </c>
      <c r="CK6" s="9">
        <f>IF(CJ6=0,"-",IF(CJ6=1,SUM(CJ$1:CJ5)+1,SUM(CJ$1:CJ5)+1 &amp; "-" &amp; SUM(CJ$1:CJ6)))</f>
        <v>12</v>
      </c>
      <c r="CL6" s="15" t="str">
        <f t="shared" si="6"/>
        <v>!import-table-item --Misc-A --Breathing Bubble --1</v>
      </c>
      <c r="CM6" s="11" t="s">
        <v>431</v>
      </c>
      <c r="CO6" s="6">
        <v>1</v>
      </c>
      <c r="CP6" s="9">
        <f>IF(CO6=0,"-",IF(CO6=1,SUM(CO$1:CO5)+1,SUM(CO$1:CO5)+1 &amp; "-" &amp; SUM(CO$1:CO6)))</f>
        <v>5</v>
      </c>
      <c r="CQ6" s="15" t="str">
        <f t="shared" si="7"/>
        <v>!import-table-item --Creature-Type-A --Elementals --1</v>
      </c>
      <c r="CR6" s="11" t="s">
        <v>1032</v>
      </c>
      <c r="CS6" s="6" t="s">
        <v>1493</v>
      </c>
      <c r="CT6" s="6">
        <v>2</v>
      </c>
      <c r="CU6" s="9" t="str">
        <f>IF(CT6=0,"-",IF(CT6=1,SUM(CT$1:CT5)+1,SUM(CT$1:CT5)+1 &amp; "-" &amp; SUM(CT$1:CT6)))</f>
        <v>13-14</v>
      </c>
      <c r="CV6" s="15" t="str">
        <f t="shared" si="15"/>
        <v>!import-table-item --Spellcaster-A --Ruby of the War Mage --2</v>
      </c>
      <c r="CZ6" s="9"/>
      <c r="DB6" s="11" t="s">
        <v>1225</v>
      </c>
      <c r="DC6" s="6" t="s">
        <v>1398</v>
      </c>
      <c r="DD6" s="6">
        <v>1</v>
      </c>
      <c r="DE6" s="9">
        <f>IF(DD6=0,"-",IF(DD6=1,SUM(DD$1:DD5)+1,SUM(DD$1:DD5)+1 &amp; "-" &amp; SUM(DD$1:DD6)))</f>
        <v>5</v>
      </c>
      <c r="DF6" s="15" t="str">
        <f t="shared" si="8"/>
        <v>!import-table-item --Planar-Stone --Mabaran Obsidian - Necrotic --1</v>
      </c>
      <c r="DJ6" s="9"/>
      <c r="DL6" s="11" t="s">
        <v>1217</v>
      </c>
      <c r="DM6" s="6" t="s">
        <v>1398</v>
      </c>
      <c r="DN6" s="6">
        <v>1</v>
      </c>
      <c r="DO6" s="9">
        <f>IF(DN6=0,"-",IF(DN6=1,SUM(DN$1:DN5)+1,SUM(DN$1:DN5)+1 &amp; "-" &amp; SUM(DN$1:DN6)))</f>
        <v>5</v>
      </c>
      <c r="DP6" s="15" t="str">
        <f t="shared" si="9"/>
        <v>!import-table-item --Planar-Wood --Mabaran Ebony - Necrotic --1</v>
      </c>
      <c r="DQ6" s="11" t="s">
        <v>1746</v>
      </c>
      <c r="DR6" s="6" t="s">
        <v>1402</v>
      </c>
      <c r="DS6" s="6">
        <v>1</v>
      </c>
      <c r="DT6" s="9">
        <f>IF(DS6=0,"-",IF(DS6=1,SUM(DS$1:DS5)+1,SUM(DS$1:DS5)+1 &amp; "-" &amp; SUM(DS$1:DS6)))</f>
        <v>6</v>
      </c>
      <c r="DU6" s="15" t="str">
        <f t="shared" si="10"/>
        <v>!import-table-item --Prosthesis --Prosthetic Right Arm --1</v>
      </c>
      <c r="ED6" s="9"/>
      <c r="EF6" s="11" t="s">
        <v>957</v>
      </c>
      <c r="EH6" s="6">
        <v>1</v>
      </c>
      <c r="EI6" s="9">
        <f>IF(EH6=0,"-",IF(EH6=1,SUM(EH$1:EH5)+1,SUM(EH$1:EH5)+1 &amp; "-" &amp; SUM(EH$1:EH6)))</f>
        <v>11</v>
      </c>
      <c r="EJ6" s="15" t="str">
        <f t="shared" si="11"/>
        <v>!import-table-item --Armblades-Simple --Handaxe --1</v>
      </c>
      <c r="EK6" s="11" t="s">
        <v>979</v>
      </c>
      <c r="EM6" s="6">
        <v>2</v>
      </c>
      <c r="EN6" s="9" t="str">
        <f>IF(EM6=0,"-",IF(EM6=1,SUM(EM$1:EM5)+1,SUM(EM$1:EM5)+1 &amp; "-" &amp; SUM(EM$1:EM6)))</f>
        <v>13-14</v>
      </c>
      <c r="EO6" s="15" t="str">
        <f t="shared" si="12"/>
        <v>!import-table-item --Armblades-Martial --Rapier --2</v>
      </c>
      <c r="EP6" s="11" t="s">
        <v>1043</v>
      </c>
      <c r="EQ6" s="6" t="s">
        <v>1493</v>
      </c>
      <c r="ER6" s="6">
        <v>1</v>
      </c>
      <c r="ES6" s="9">
        <f>IF(ER6=0,"-",IF(ER6=1,SUM(ER$1:ER5)+1,SUM(ER$1:ER5)+1 &amp; "-" &amp; SUM(ER$1:ER6)))</f>
        <v>16</v>
      </c>
      <c r="ET6" s="15" t="str">
        <f t="shared" si="13"/>
        <v>!import-table-item --Wands-A --Wand of Conducting --1</v>
      </c>
    </row>
    <row r="7" spans="1:150" x14ac:dyDescent="0.25">
      <c r="D7" s="9"/>
      <c r="F7" s="22" t="s">
        <v>1822</v>
      </c>
      <c r="H7" s="6">
        <v>1</v>
      </c>
      <c r="I7" s="9">
        <f>IF(H7=0,"-",IF(H7=1,SUM(H$1:H6)+1,SUM(H$1:H6)+1 &amp; "-" &amp; SUM(H$1:H7)))</f>
        <v>15</v>
      </c>
      <c r="J7" s="15" t="str">
        <f t="shared" si="0"/>
        <v>!import-table-item --Magic-Item-Table-A --[[ 1t[Apparel-A] ]] --1</v>
      </c>
      <c r="N7" s="9"/>
      <c r="S7" s="9"/>
      <c r="AC7" s="9"/>
      <c r="AE7" s="11" t="s">
        <v>1185</v>
      </c>
      <c r="AG7" s="6">
        <v>3</v>
      </c>
      <c r="AH7" s="9" t="str">
        <f>IF(AG7=0,"-",IF(AG7=1,SUM(AG$1:AG6)+1,SUM(AG$1:AG6)+1 &amp; "-" &amp; SUM(AG$1:AG7)))</f>
        <v>10-12</v>
      </c>
      <c r="AI7" s="15" t="str">
        <f t="shared" si="1"/>
        <v>!import-table-item --Beverages-A --Still Water --3</v>
      </c>
      <c r="AM7" s="9"/>
      <c r="AO7" s="11" t="s">
        <v>1856</v>
      </c>
      <c r="AP7" s="6" t="s">
        <v>1853</v>
      </c>
      <c r="AQ7" s="6">
        <v>5</v>
      </c>
      <c r="AR7" s="9" t="str">
        <f>IF(AQ7=0,"-",IF(AQ7=1,SUM(AQ$1:AQ6)+1,SUM(AQ$1:AQ6)+1 &amp; "-" &amp; SUM(AQ$1:AQ7)))</f>
        <v>36-40</v>
      </c>
      <c r="AS7" s="15" t="str">
        <f t="shared" si="2"/>
        <v>!import-table-item --Items-A --Duster --5</v>
      </c>
      <c r="AW7" s="9"/>
      <c r="AY7" s="22" t="s">
        <v>1133</v>
      </c>
      <c r="AZ7" s="6" t="s">
        <v>1402</v>
      </c>
      <c r="BA7" s="6">
        <v>1</v>
      </c>
      <c r="BB7" s="9">
        <f>IF(BA7=0,"-",IF(BA7=1,SUM(BA$1:BA6)+1,SUM(BA$1:BA6)+1 &amp; "-" &amp; SUM(BA$1:BA7)))</f>
        <v>20</v>
      </c>
      <c r="BC7" s="15" t="str">
        <f t="shared" si="3"/>
        <v>!import-table-item --Spells-A --Spellwrought Tattoo ([[ 1t[Spells-Level-2] ]]) --1</v>
      </c>
      <c r="BI7" s="11" t="s">
        <v>1033</v>
      </c>
      <c r="BJ7" s="6" t="s">
        <v>1493</v>
      </c>
      <c r="BK7" s="6">
        <v>1</v>
      </c>
      <c r="BL7" s="9">
        <f>IF(BK7=0,"-",IF(BK7=1,SUM(BK$1:BK6)+1,SUM(BK$1:BK6)+1 &amp; "-" &amp; SUM(BK$1:BK7)))</f>
        <v>12</v>
      </c>
      <c r="BM7" s="15" t="str">
        <f t="shared" si="5"/>
        <v>!import-table-item --Armor-A --Shield of Expression --1</v>
      </c>
      <c r="BQ7" s="9"/>
      <c r="BV7" s="9"/>
      <c r="CA7" s="9"/>
      <c r="CH7" s="11" t="s">
        <v>994</v>
      </c>
      <c r="CI7" s="6" t="s">
        <v>1411</v>
      </c>
      <c r="CJ7" s="6">
        <v>1</v>
      </c>
      <c r="CK7" s="9">
        <f>IF(CJ7=0,"-",IF(CJ7=1,SUM(CJ$1:CJ6)+1,SUM(CJ$1:CJ6)+1 &amp; "-" &amp; SUM(CJ$1:CJ7)))</f>
        <v>13</v>
      </c>
      <c r="CL7" s="15" t="str">
        <f t="shared" si="6"/>
        <v>!import-table-item --Misc-A --Chest of Preserving --1</v>
      </c>
      <c r="CM7" s="11" t="s">
        <v>432</v>
      </c>
      <c r="CO7" s="6">
        <v>1</v>
      </c>
      <c r="CP7" s="9">
        <f>IF(CO7=0,"-",IF(CO7=1,SUM(CO$1:CO6)+1,SUM(CO$1:CO6)+1 &amp; "-" &amp; SUM(CO$1:CO7)))</f>
        <v>6</v>
      </c>
      <c r="CQ7" s="15" t="str">
        <f t="shared" si="7"/>
        <v>!import-table-item --Creature-Type-A --Fey --1</v>
      </c>
      <c r="CR7" s="11" t="s">
        <v>1861</v>
      </c>
      <c r="CS7" s="6" t="s">
        <v>1853</v>
      </c>
      <c r="CT7" s="6">
        <v>2</v>
      </c>
      <c r="CU7" s="9" t="str">
        <f>IF(CT7=0,"-",IF(CT7=1,SUM(CT$1:CT6)+1,SUM(CT$1:CT6)+1 &amp; "-" &amp; SUM(CT$1:CT7)))</f>
        <v>15-16</v>
      </c>
      <c r="CV7" s="15" t="str">
        <f t="shared" si="15"/>
        <v>!import-table-item --Spellcaster-A --War Staff --2</v>
      </c>
      <c r="CZ7" s="9"/>
      <c r="DB7" s="11" t="s">
        <v>1226</v>
      </c>
      <c r="DC7" s="6" t="s">
        <v>1398</v>
      </c>
      <c r="DD7" s="6">
        <v>1</v>
      </c>
      <c r="DE7" s="9">
        <f>IF(DD7=0,"-",IF(DD7=1,SUM(DD$1:DD6)+1,SUM(DD$1:DD6)+1 &amp; "-" &amp; SUM(DD$1:DD7)))</f>
        <v>6</v>
      </c>
      <c r="DF7" s="15" t="str">
        <f t="shared" si="8"/>
        <v>!import-table-item --Planar-Stone --Risian Shale - Cold --1</v>
      </c>
      <c r="DJ7" s="9"/>
      <c r="DL7" s="11" t="s">
        <v>1216</v>
      </c>
      <c r="DM7" s="6" t="s">
        <v>1398</v>
      </c>
      <c r="DN7" s="6">
        <v>1</v>
      </c>
      <c r="DO7" s="9">
        <f>IF(DN7=0,"-",IF(DN7=1,SUM(DN$1:DN6)+1,SUM(DN$1:DN6)+1 &amp; "-" &amp; SUM(DN$1:DN7)))</f>
        <v>6</v>
      </c>
      <c r="DP7" s="15" t="str">
        <f t="shared" si="9"/>
        <v>!import-table-item --Planar-Wood --Risian Pine - Cold --1</v>
      </c>
      <c r="DQ7" s="11" t="s">
        <v>1747</v>
      </c>
      <c r="DR7" s="6" t="s">
        <v>1402</v>
      </c>
      <c r="DS7" s="6">
        <v>1</v>
      </c>
      <c r="DT7" s="9">
        <f>IF(DS7=0,"-",IF(DS7=1,SUM(DS$1:DS6)+1,SUM(DS$1:DS6)+1 &amp; "-" &amp; SUM(DS$1:DS7)))</f>
        <v>7</v>
      </c>
      <c r="DU7" s="15" t="str">
        <f t="shared" si="10"/>
        <v>!import-table-item --Prosthesis --Prosthetic Left Foot --1</v>
      </c>
      <c r="ED7" s="9"/>
      <c r="EF7" s="11" t="s">
        <v>962</v>
      </c>
      <c r="EH7" s="6">
        <v>1</v>
      </c>
      <c r="EI7" s="9">
        <f>IF(EH7=0,"-",IF(EH7=1,SUM(EH$1:EH6)+1,SUM(EH$1:EH6)+1 &amp; "-" &amp; SUM(EH$1:EH7)))</f>
        <v>12</v>
      </c>
      <c r="EJ7" s="15" t="str">
        <f t="shared" si="11"/>
        <v>!import-table-item --Armblades-Simple --Sickle --1</v>
      </c>
      <c r="EK7" s="11" t="s">
        <v>984</v>
      </c>
      <c r="EM7" s="6">
        <v>2</v>
      </c>
      <c r="EN7" s="9" t="str">
        <f>IF(EM7=0,"-",IF(EM7=1,SUM(EM$1:EM6)+1,SUM(EM$1:EM6)+1 &amp; "-" &amp; SUM(EM$1:EM7)))</f>
        <v>15-16</v>
      </c>
      <c r="EO7" s="15" t="str">
        <f t="shared" si="12"/>
        <v>!import-table-item --Armblades-Martial --Warhammer --2</v>
      </c>
      <c r="EP7" s="11" t="s">
        <v>1044</v>
      </c>
      <c r="EQ7" s="6" t="s">
        <v>1493</v>
      </c>
      <c r="ER7" s="6">
        <v>1</v>
      </c>
      <c r="ES7" s="9">
        <f>IF(ER7=0,"-",IF(ER7=1,SUM(ER$1:ER6)+1,SUM(ER$1:ER6)+1 &amp; "-" &amp; SUM(ER$1:ER7)))</f>
        <v>17</v>
      </c>
      <c r="ET7" s="15" t="str">
        <f t="shared" si="13"/>
        <v>!import-table-item --Wands-A --Wand of Pyrotechnics --1</v>
      </c>
    </row>
    <row r="8" spans="1:150" x14ac:dyDescent="0.25">
      <c r="D8" s="9"/>
      <c r="F8" s="22" t="s">
        <v>1979</v>
      </c>
      <c r="H8" s="6">
        <v>1</v>
      </c>
      <c r="I8" s="9">
        <f>IF(H8=0,"-",IF(H8=1,SUM(H$1:H7)+1,SUM(H$1:H7)+1 &amp; "-" &amp; SUM(H$1:H8)))</f>
        <v>16</v>
      </c>
      <c r="J8" s="15" t="str">
        <f t="shared" si="0"/>
        <v>!import-table-item --Magic-Item-Table-A --[[ 1t[Consumables-A] ]] --1</v>
      </c>
      <c r="N8" s="9"/>
      <c r="S8" s="9"/>
      <c r="X8" s="9"/>
      <c r="AC8" s="9"/>
      <c r="AH8" s="9"/>
      <c r="AM8" s="9"/>
      <c r="AO8" s="11" t="s">
        <v>1857</v>
      </c>
      <c r="AP8" s="6" t="s">
        <v>1853</v>
      </c>
      <c r="AQ8" s="6">
        <v>5</v>
      </c>
      <c r="AR8" s="9" t="str">
        <f>IF(AQ8=0,"-",IF(AQ8=1,SUM(AQ$1:AQ7)+1,SUM(AQ$1:AQ7)+1 &amp; "-" &amp; SUM(AQ$1:AQ8)))</f>
        <v>41-45</v>
      </c>
      <c r="AS8" s="15" t="str">
        <f t="shared" si="2"/>
        <v>!import-table-item --Items-A --Lamplighter --5</v>
      </c>
      <c r="AW8" s="9"/>
      <c r="BB8" s="9"/>
      <c r="BL8" s="9"/>
      <c r="BQ8" s="9"/>
      <c r="BV8" s="9"/>
      <c r="CA8" s="9"/>
      <c r="CH8" s="11" t="s">
        <v>1000</v>
      </c>
      <c r="CI8" s="6" t="s">
        <v>1409</v>
      </c>
      <c r="CJ8" s="6">
        <v>1</v>
      </c>
      <c r="CK8" s="9">
        <f>IF(CJ8=0,"-",IF(CJ8=1,SUM(CJ$1:CJ7)+1,SUM(CJ$1:CJ7)+1 &amp; "-" &amp; SUM(CJ$1:CJ8)))</f>
        <v>14</v>
      </c>
      <c r="CL8" s="15" t="str">
        <f t="shared" si="6"/>
        <v>!import-table-item --Misc-A --Coin of Delving --1</v>
      </c>
      <c r="CM8" s="11" t="s">
        <v>433</v>
      </c>
      <c r="CO8" s="6">
        <v>1</v>
      </c>
      <c r="CP8" s="9">
        <f>IF(CO8=0,"-",IF(CO8=1,SUM(CO$1:CO7)+1,SUM(CO$1:CO7)+1 &amp; "-" &amp; SUM(CO$1:CO8)))</f>
        <v>7</v>
      </c>
      <c r="CQ8" s="15" t="str">
        <f t="shared" si="7"/>
        <v>!import-table-item --Creature-Type-A --Fiends --1</v>
      </c>
      <c r="CR8" s="11" t="s">
        <v>1006</v>
      </c>
      <c r="CS8" s="6" t="s">
        <v>1493</v>
      </c>
      <c r="CT8" s="6">
        <v>1</v>
      </c>
      <c r="CU8" s="9">
        <f>IF(CT8=0,"-",IF(CT8=1,SUM(CT$1:CT7)+1,SUM(CT$1:CT7)+1 &amp; "-" &amp; SUM(CT$1:CT8)))</f>
        <v>17</v>
      </c>
      <c r="CV8" s="15" t="str">
        <f t="shared" si="15"/>
        <v>!import-table-item --Spellcaster-A --Enduring Spellbook --1</v>
      </c>
      <c r="CZ8" s="9"/>
      <c r="DB8" s="11" t="s">
        <v>1227</v>
      </c>
      <c r="DC8" s="6" t="s">
        <v>1398</v>
      </c>
      <c r="DD8" s="6">
        <v>1</v>
      </c>
      <c r="DE8" s="9">
        <f>IF(DD8=0,"-",IF(DD8=1,SUM(DD$1:DD7)+1,SUM(DD$1:DD7)+1 &amp; "-" &amp; SUM(DD$1:DD8)))</f>
        <v>7</v>
      </c>
      <c r="DF8" s="15" t="str">
        <f t="shared" si="8"/>
        <v>!import-table-item --Planar-Stone --Shavarran Chert - Force --1</v>
      </c>
      <c r="DJ8" s="9"/>
      <c r="DL8" s="11" t="s">
        <v>1219</v>
      </c>
      <c r="DM8" s="6" t="s">
        <v>1398</v>
      </c>
      <c r="DN8" s="6">
        <v>1</v>
      </c>
      <c r="DO8" s="9">
        <f>IF(DN8=0,"-",IF(DN8=1,SUM(DN$1:DN7)+1,SUM(DN$1:DN7)+1 &amp; "-" &amp; SUM(DN$1:DN8)))</f>
        <v>7</v>
      </c>
      <c r="DP8" s="15" t="str">
        <f t="shared" si="9"/>
        <v>!import-table-item --Planar-Wood --Shavarran Birch - Force --1</v>
      </c>
      <c r="DQ8" s="11" t="s">
        <v>1748</v>
      </c>
      <c r="DR8" s="6" t="s">
        <v>1402</v>
      </c>
      <c r="DS8" s="6">
        <v>1</v>
      </c>
      <c r="DT8" s="9">
        <f>IF(DS8=0,"-",IF(DS8=1,SUM(DS$1:DS7)+1,SUM(DS$1:DS7)+1 &amp; "-" &amp; SUM(DS$1:DS8)))</f>
        <v>8</v>
      </c>
      <c r="DU8" s="15" t="str">
        <f t="shared" si="10"/>
        <v>!import-table-item --Prosthesis --Prosthetic Right Foot --1</v>
      </c>
      <c r="ED8" s="9"/>
      <c r="EI8" s="9"/>
      <c r="EK8" s="11" t="s">
        <v>977</v>
      </c>
      <c r="EM8" s="6">
        <v>1</v>
      </c>
      <c r="EN8" s="9">
        <f>IF(EM8=0,"-",IF(EM8=1,SUM(EM$1:EM7)+1,SUM(EM$1:EM7)+1 &amp; "-" &amp; SUM(EM$1:EM8)))</f>
        <v>17</v>
      </c>
      <c r="EO8" s="15" t="str">
        <f t="shared" si="12"/>
        <v>!import-table-item --Armblades-Martial --Morningstar --1</v>
      </c>
      <c r="EP8" s="11" t="s">
        <v>1045</v>
      </c>
      <c r="EQ8" s="6" t="s">
        <v>1493</v>
      </c>
      <c r="ER8" s="6">
        <v>1</v>
      </c>
      <c r="ES8" s="9">
        <f>IF(ER8=0,"-",IF(ER8=1,SUM(ER$1:ER7)+1,SUM(ER$1:ER7)+1 &amp; "-" &amp; SUM(ER$1:ER8)))</f>
        <v>18</v>
      </c>
      <c r="ET8" s="15" t="str">
        <f t="shared" si="13"/>
        <v>!import-table-item --Wands-A --Wand of Scowls --1</v>
      </c>
    </row>
    <row r="9" spans="1:150" x14ac:dyDescent="0.25">
      <c r="D9" s="9"/>
      <c r="F9" s="22" t="s">
        <v>1229</v>
      </c>
      <c r="H9" s="6">
        <v>1</v>
      </c>
      <c r="I9" s="9">
        <f>IF(H9=0,"-",IF(H9=1,SUM(H$1:H8)+1,SUM(H$1:H8)+1 &amp; "-" &amp; SUM(H$1:H9)))</f>
        <v>17</v>
      </c>
      <c r="J9" s="15" t="str">
        <f t="shared" si="0"/>
        <v>!import-table-item --Magic-Item-Table-A --[[ 1t[Items-A] ]] --1</v>
      </c>
      <c r="N9" s="9"/>
      <c r="S9" s="9"/>
      <c r="X9" s="9"/>
      <c r="AC9" s="9"/>
      <c r="AH9" s="9"/>
      <c r="AM9" s="9"/>
      <c r="AO9" s="11" t="s">
        <v>1858</v>
      </c>
      <c r="AP9" s="6" t="s">
        <v>1853</v>
      </c>
      <c r="AQ9" s="6">
        <v>5</v>
      </c>
      <c r="AR9" s="9" t="str">
        <f>IF(AQ9=0,"-",IF(AQ9=1,SUM(AQ$1:AQ8)+1,SUM(AQ$1:AQ8)+1 &amp; "-" &amp; SUM(AQ$1:AQ9)))</f>
        <v>46-50</v>
      </c>
      <c r="AS9" s="15" t="str">
        <f t="shared" si="2"/>
        <v>!import-table-item --Items-A --Spark --5</v>
      </c>
      <c r="AW9" s="9"/>
      <c r="BB9" s="9"/>
      <c r="BL9" s="9"/>
      <c r="BQ9" s="9"/>
      <c r="BV9" s="9"/>
      <c r="CA9" s="9"/>
      <c r="CH9" s="11" t="s">
        <v>18</v>
      </c>
      <c r="CI9" s="6" t="s">
        <v>1397</v>
      </c>
      <c r="CJ9" s="6">
        <v>1</v>
      </c>
      <c r="CK9" s="9">
        <f>IF(CJ9=0,"-",IF(CJ9=1,SUM(CJ$1:CJ8)+1,SUM(CJ$1:CJ8)+1 &amp; "-" &amp; SUM(CJ$1:CJ9)))</f>
        <v>15</v>
      </c>
      <c r="CL9" s="15" t="str">
        <f t="shared" si="6"/>
        <v>!import-table-item --Misc-A --Driftglobe --1</v>
      </c>
      <c r="CM9" s="11" t="s">
        <v>1104</v>
      </c>
      <c r="CO9" s="6">
        <v>1</v>
      </c>
      <c r="CP9" s="9">
        <f>IF(CO9=0,"-",IF(CO9=1,SUM(CO$1:CO8)+1,SUM(CO$1:CO8)+1 &amp; "-" &amp; SUM(CO$1:CO9)))</f>
        <v>8</v>
      </c>
      <c r="CQ9" s="15" t="str">
        <f t="shared" si="7"/>
        <v>!import-table-item --Creature-Type-A --Giants --1</v>
      </c>
      <c r="CR9" s="11" t="s">
        <v>1011</v>
      </c>
      <c r="CS9" s="6" t="s">
        <v>1493</v>
      </c>
      <c r="CT9" s="6">
        <v>1</v>
      </c>
      <c r="CU9" s="9">
        <f>IF(CT9=0,"-",IF(CT9=1,SUM(CT$1:CT8)+1,SUM(CT$1:CT8)+1 &amp; "-" &amp; SUM(CT$1:CT9)))</f>
        <v>18</v>
      </c>
      <c r="CV9" s="15" t="str">
        <f t="shared" si="15"/>
        <v>!import-table-item --Spellcaster-A --Hat of Wizardry --1</v>
      </c>
      <c r="CZ9" s="9"/>
      <c r="DB9" s="11" t="s">
        <v>1228</v>
      </c>
      <c r="DC9" s="6" t="s">
        <v>1398</v>
      </c>
      <c r="DD9" s="6">
        <v>1</v>
      </c>
      <c r="DE9" s="9">
        <f>IF(DD9=0,"-",IF(DD9=1,SUM(DD$1:DD8)+1,SUM(DD$1:DD8)+1 &amp; "-" &amp; SUM(DD$1:DD9)))</f>
        <v>8</v>
      </c>
      <c r="DF9" s="15" t="str">
        <f t="shared" si="8"/>
        <v>!import-table-item --Planar-Stone --Xorian Marble - Psychic --1</v>
      </c>
      <c r="DJ9" s="9"/>
      <c r="DL9" s="11" t="s">
        <v>1220</v>
      </c>
      <c r="DM9" s="6" t="s">
        <v>1398</v>
      </c>
      <c r="DN9" s="6">
        <v>1</v>
      </c>
      <c r="DO9" s="9">
        <f>IF(DN9=0,"-",IF(DN9=1,SUM(DN$1:DN8)+1,SUM(DN$1:DN8)+1 &amp; "-" &amp; SUM(DN$1:DN9)))</f>
        <v>8</v>
      </c>
      <c r="DP9" s="15" t="str">
        <f t="shared" si="9"/>
        <v>!import-table-item --Planar-Wood --Xorian Wenge - Psychic --1</v>
      </c>
      <c r="DQ9" s="11" t="s">
        <v>1749</v>
      </c>
      <c r="DR9" s="6" t="s">
        <v>1402</v>
      </c>
      <c r="DS9" s="6">
        <v>1</v>
      </c>
      <c r="DT9" s="9">
        <f>IF(DS9=0,"-",IF(DS9=1,SUM(DS$1:DS8)+1,SUM(DS$1:DS8)+1 &amp; "-" &amp; SUM(DS$1:DS9)))</f>
        <v>9</v>
      </c>
      <c r="DU9" s="15" t="str">
        <f t="shared" si="10"/>
        <v>!import-table-item --Prosthesis --Prosthetic Left Leg --1</v>
      </c>
      <c r="ED9" s="9"/>
      <c r="EI9" s="9"/>
      <c r="EK9" s="11" t="s">
        <v>980</v>
      </c>
      <c r="EM9" s="6">
        <v>1</v>
      </c>
      <c r="EN9" s="9">
        <f>IF(EM9=0,"-",IF(EM9=1,SUM(EM$1:EM8)+1,SUM(EM$1:EM8)+1 &amp; "-" &amp; SUM(EM$1:EM9)))</f>
        <v>18</v>
      </c>
      <c r="EO9" s="15" t="str">
        <f t="shared" si="12"/>
        <v>!import-table-item --Armblades-Martial --Scimitar --1</v>
      </c>
      <c r="EP9" s="11" t="s">
        <v>1046</v>
      </c>
      <c r="EQ9" s="6" t="s">
        <v>1493</v>
      </c>
      <c r="ER9" s="6">
        <v>1</v>
      </c>
      <c r="ES9" s="9">
        <f>IF(ER9=0,"-",IF(ER9=1,SUM(ER$1:ER8)+1,SUM(ER$1:ER8)+1 &amp; "-" &amp; SUM(ER$1:ER9)))</f>
        <v>19</v>
      </c>
      <c r="ET9" s="15" t="str">
        <f t="shared" si="13"/>
        <v>!import-table-item --Wands-A --Wand of Smiles --1</v>
      </c>
    </row>
    <row r="10" spans="1:150" x14ac:dyDescent="0.25">
      <c r="D10" s="9"/>
      <c r="F10" s="22" t="s">
        <v>1982</v>
      </c>
      <c r="H10" s="6">
        <v>1</v>
      </c>
      <c r="I10" s="9">
        <f>IF(H10=0,"-",IF(H10=1,SUM(H$1:H9)+1,SUM(H$1:H9)+1 &amp; "-" &amp; SUM(H$1:H10)))</f>
        <v>18</v>
      </c>
      <c r="J10" s="15" t="str">
        <f t="shared" si="0"/>
        <v>!import-table-item --Magic-Item-Table-A --[[ 1t[Jewelry-A] ]] --1</v>
      </c>
      <c r="N10" s="9"/>
      <c r="S10" s="9"/>
      <c r="X10" s="9"/>
      <c r="AC10" s="9"/>
      <c r="AH10" s="9"/>
      <c r="AM10" s="9"/>
      <c r="AO10" s="11" t="s">
        <v>1859</v>
      </c>
      <c r="AP10" s="6" t="s">
        <v>1853</v>
      </c>
      <c r="AQ10" s="6">
        <v>5</v>
      </c>
      <c r="AR10" s="9" t="str">
        <f>IF(AQ10=0,"-",IF(AQ10=1,SUM(AQ$1:AQ9)+1,SUM(AQ$1:AQ9)+1 &amp; "-" &amp; SUM(AQ$1:AQ10)))</f>
        <v>51-55</v>
      </c>
      <c r="AS10" s="15" t="str">
        <f t="shared" si="2"/>
        <v>!import-table-item --Items-A --Talking Wand --5</v>
      </c>
      <c r="AW10" s="9"/>
      <c r="BB10" s="9"/>
      <c r="BG10" s="9"/>
      <c r="BL10" s="9"/>
      <c r="BQ10" s="9"/>
      <c r="BV10" s="9"/>
      <c r="CA10" s="9"/>
      <c r="CH10" s="11" t="s">
        <v>1012</v>
      </c>
      <c r="CI10" s="6" t="s">
        <v>1493</v>
      </c>
      <c r="CJ10" s="6">
        <v>1</v>
      </c>
      <c r="CK10" s="9">
        <f>IF(CJ10=0,"-",IF(CJ10=1,SUM(CJ$1:CJ9)+1,SUM(CJ$1:CJ9)+1 &amp; "-" &amp; SUM(CJ$1:CJ10)))</f>
        <v>16</v>
      </c>
      <c r="CL10" s="15" t="str">
        <f t="shared" si="6"/>
        <v>!import-table-item --Misc-A --Heward's Handy Spice Pouch --1</v>
      </c>
      <c r="CM10" s="11" t="s">
        <v>1105</v>
      </c>
      <c r="CO10" s="6">
        <v>1</v>
      </c>
      <c r="CP10" s="9">
        <f>IF(CO10=0,"-",IF(CO10=1,SUM(CO$1:CO9)+1,SUM(CO$1:CO9)+1 &amp; "-" &amp; SUM(CO$1:CO10)))</f>
        <v>9</v>
      </c>
      <c r="CQ10" s="15" t="str">
        <f t="shared" si="7"/>
        <v>!import-table-item --Creature-Type-A --Monstrosities --1</v>
      </c>
      <c r="CR10" s="11" t="s">
        <v>1015</v>
      </c>
      <c r="CS10" s="6" t="s">
        <v>1493</v>
      </c>
      <c r="CT10" s="6">
        <v>1</v>
      </c>
      <c r="CU10" s="9">
        <f>IF(CT10=0,"-",IF(CT10=1,SUM(CT$1:CT9)+1,SUM(CT$1:CT9)+1 &amp; "-" &amp; SUM(CT$1:CT10)))</f>
        <v>19</v>
      </c>
      <c r="CV10" s="15" t="str">
        <f t="shared" si="15"/>
        <v>!import-table-item --Spellcaster-A --Instrument of Illusions --1</v>
      </c>
      <c r="CZ10" s="9"/>
      <c r="DE10" s="9"/>
      <c r="DJ10" s="9"/>
      <c r="DO10" s="9"/>
      <c r="DQ10" s="11" t="s">
        <v>1750</v>
      </c>
      <c r="DR10" s="6" t="s">
        <v>1402</v>
      </c>
      <c r="DS10" s="6">
        <v>1</v>
      </c>
      <c r="DT10" s="9">
        <f>IF(DS10=0,"-",IF(DS10=1,SUM(DS$1:DS9)+1,SUM(DS$1:DS9)+1 &amp; "-" &amp; SUM(DS$1:DS10)))</f>
        <v>10</v>
      </c>
      <c r="DU10" s="15" t="str">
        <f t="shared" si="10"/>
        <v>!import-table-item --Prosthesis --Prosthetic Right Leg --1</v>
      </c>
      <c r="ED10" s="9"/>
      <c r="EI10" s="9"/>
      <c r="EK10" s="11" t="s">
        <v>983</v>
      </c>
      <c r="EM10" s="6">
        <v>1</v>
      </c>
      <c r="EN10" s="9">
        <f>IF(EM10=0,"-",IF(EM10=1,SUM(EM$1:EM9)+1,SUM(EM$1:EM9)+1 &amp; "-" &amp; SUM(EM$1:EM10)))</f>
        <v>19</v>
      </c>
      <c r="EO10" s="15" t="str">
        <f t="shared" si="12"/>
        <v>!import-table-item --Armblades-Martial --War Pick --1</v>
      </c>
      <c r="EP10" s="11" t="s">
        <v>120</v>
      </c>
      <c r="EQ10" s="6" t="s">
        <v>1397</v>
      </c>
      <c r="ER10" s="6">
        <v>1</v>
      </c>
      <c r="ES10" s="9">
        <f>IF(ER10=0,"-",IF(ER10=1,SUM(ER$1:ER9)+1,SUM(ER$1:ER9)+1 &amp; "-" &amp; SUM(ER$1:ER10)))</f>
        <v>20</v>
      </c>
      <c r="ET10" s="15" t="str">
        <f t="shared" si="13"/>
        <v>!import-table-item --Wands-A --Wand of Web --1</v>
      </c>
    </row>
    <row r="11" spans="1:150" x14ac:dyDescent="0.25">
      <c r="D11" s="9"/>
      <c r="F11" s="22" t="s">
        <v>1978</v>
      </c>
      <c r="H11" s="6">
        <v>1</v>
      </c>
      <c r="I11" s="9">
        <f>IF(H11=0,"-",IF(H11=1,SUM(H$1:H10)+1,SUM(H$1:H10)+1 &amp; "-" &amp; SUM(H$1:H11)))</f>
        <v>19</v>
      </c>
      <c r="J11" s="15" t="str">
        <f t="shared" si="0"/>
        <v>!import-table-item --Magic-Item-Table-A --[[ 1t[Misc-A] ]] --1</v>
      </c>
      <c r="N11" s="9"/>
      <c r="S11" s="9"/>
      <c r="X11" s="9"/>
      <c r="AC11" s="9"/>
      <c r="AH11" s="9"/>
      <c r="AM11" s="9"/>
      <c r="AO11" s="11" t="s">
        <v>1860</v>
      </c>
      <c r="AP11" s="6" t="s">
        <v>1853</v>
      </c>
      <c r="AQ11" s="6">
        <v>5</v>
      </c>
      <c r="AR11" s="9" t="str">
        <f>IF(AQ11=0,"-",IF(AQ11=1,SUM(AQ$1:AQ10)+1,SUM(AQ$1:AQ10)+1 &amp; "-" &amp; SUM(AQ$1:AQ11)))</f>
        <v>56-60</v>
      </c>
      <c r="AS11" s="15" t="str">
        <f t="shared" si="2"/>
        <v>!import-table-item --Items-A --Thurimbar Rod --5</v>
      </c>
      <c r="AW11" s="9"/>
      <c r="BB11" s="9"/>
      <c r="BG11" s="9"/>
      <c r="BL11" s="9"/>
      <c r="BQ11" s="9"/>
      <c r="BV11" s="9"/>
      <c r="CA11" s="9"/>
      <c r="CH11" s="11" t="s">
        <v>1031</v>
      </c>
      <c r="CI11" s="6" t="s">
        <v>1493</v>
      </c>
      <c r="CJ11" s="6">
        <v>1</v>
      </c>
      <c r="CK11" s="9">
        <f>IF(CJ11=0,"-",IF(CJ11=1,SUM(CJ$1:CJ10)+1,SUM(CJ$1:CJ10)+1 &amp; "-" &amp; SUM(CJ$1:CJ11)))</f>
        <v>17</v>
      </c>
      <c r="CL11" s="15" t="str">
        <f t="shared" si="6"/>
        <v>!import-table-item --Misc-A --Rope of Mending --1</v>
      </c>
      <c r="CM11" s="11" t="s">
        <v>435</v>
      </c>
      <c r="CO11" s="6">
        <v>1</v>
      </c>
      <c r="CP11" s="9">
        <f>IF(CO11=0,"-",IF(CO11=1,SUM(CO$1:CO10)+1,SUM(CO$1:CO10)+1 &amp; "-" &amp; SUM(CO$1:CO11)))</f>
        <v>10</v>
      </c>
      <c r="CQ11" s="15" t="str">
        <f t="shared" si="7"/>
        <v>!import-table-item --Creature-Type-A --Undead --1</v>
      </c>
      <c r="CR11" s="11" t="s">
        <v>1016</v>
      </c>
      <c r="CS11" s="6" t="s">
        <v>1493</v>
      </c>
      <c r="CT11" s="6">
        <v>1</v>
      </c>
      <c r="CU11" s="9">
        <f>IF(CT11=0,"-",IF(CT11=1,SUM(CT$1:CT10)+1,SUM(CT$1:CT10)+1 &amp; "-" &amp; SUM(CT$1:CT11)))</f>
        <v>20</v>
      </c>
      <c r="CV11" s="15" t="str">
        <f t="shared" si="15"/>
        <v>!import-table-item --Spellcaster-A --Instrument of Scribing --1</v>
      </c>
      <c r="CZ11" s="9"/>
      <c r="DE11" s="9"/>
      <c r="DJ11" s="9"/>
      <c r="DO11" s="9"/>
      <c r="DT11" s="9"/>
      <c r="ED11" s="9"/>
      <c r="EI11" s="9"/>
      <c r="EK11" s="11" t="s">
        <v>444</v>
      </c>
      <c r="EM11" s="6">
        <v>1</v>
      </c>
      <c r="EN11" s="9">
        <f>IF(EM11=0,"-",IF(EM11=1,SUM(EM$1:EM10)+1,SUM(EM$1:EM10)+1 &amp; "-" &amp; SUM(EM$1:EM11)))</f>
        <v>20</v>
      </c>
      <c r="EO11" s="15" t="str">
        <f t="shared" si="12"/>
        <v>!import-table-item --Armblades-Martial --Whip --1</v>
      </c>
      <c r="ES11" s="9"/>
    </row>
    <row r="12" spans="1:150" x14ac:dyDescent="0.25">
      <c r="D12" s="9"/>
      <c r="F12" s="22" t="s">
        <v>1976</v>
      </c>
      <c r="H12" s="6">
        <v>1</v>
      </c>
      <c r="I12" s="9">
        <f>IF(H12=0,"-",IF(H12=1,SUM(H$1:H11)+1,SUM(H$1:H11)+1 &amp; "-" &amp; SUM(H$1:H12)))</f>
        <v>20</v>
      </c>
      <c r="J12" s="15" t="str">
        <f t="shared" si="0"/>
        <v>!import-table-item --Magic-Item-Table-A --[[ 1t[Spellcaster-A] ]] --1</v>
      </c>
      <c r="N12" s="9"/>
      <c r="S12" s="9"/>
      <c r="X12" s="9"/>
      <c r="AC12" s="9"/>
      <c r="AH12" s="9"/>
      <c r="AM12" s="9"/>
      <c r="AO12" s="11" t="s">
        <v>995</v>
      </c>
      <c r="AP12" s="6" t="s">
        <v>1398</v>
      </c>
      <c r="AQ12" s="6">
        <v>4</v>
      </c>
      <c r="AR12" s="9" t="str">
        <f>IF(AQ12=0,"-",IF(AQ12=1,SUM(AQ$1:AQ11)+1,SUM(AQ$1:AQ11)+1 &amp; "-" &amp; SUM(AQ$1:AQ12)))</f>
        <v>61-64</v>
      </c>
      <c r="AS12" s="15" t="str">
        <f t="shared" si="2"/>
        <v>!import-table-item --Items-A --Cleansing Stone --4</v>
      </c>
      <c r="AW12" s="9"/>
      <c r="BB12" s="9"/>
      <c r="BG12" s="9"/>
      <c r="BL12" s="9"/>
      <c r="BQ12" s="9"/>
      <c r="BV12" s="9"/>
      <c r="CA12" s="9"/>
      <c r="CH12" s="11" t="s">
        <v>1040</v>
      </c>
      <c r="CI12" s="6" t="s">
        <v>1493</v>
      </c>
      <c r="CJ12" s="6">
        <v>1</v>
      </c>
      <c r="CK12" s="9">
        <f>IF(CJ12=0,"-",IF(CJ12=1,SUM(CJ$1:CJ11)+1,SUM(CJ$1:CJ11)+1 &amp; "-" &amp; SUM(CJ$1:CJ12)))</f>
        <v>18</v>
      </c>
      <c r="CL12" s="15" t="str">
        <f t="shared" si="6"/>
        <v>!import-table-item --Misc-A --Tankard of Sobriety --1</v>
      </c>
      <c r="CP12" s="9"/>
      <c r="CU12" s="9"/>
      <c r="CZ12" s="9"/>
      <c r="DE12" s="9"/>
      <c r="DJ12" s="9"/>
      <c r="DO12" s="9"/>
      <c r="DT12" s="9"/>
      <c r="ED12" s="9"/>
      <c r="EI12" s="9"/>
      <c r="EN12" s="9"/>
      <c r="ES12" s="9"/>
    </row>
    <row r="13" spans="1:150" x14ac:dyDescent="0.25">
      <c r="D13" s="9"/>
      <c r="I13" s="9"/>
      <c r="N13" s="9"/>
      <c r="S13" s="9"/>
      <c r="X13" s="9"/>
      <c r="AC13" s="9"/>
      <c r="AH13" s="9"/>
      <c r="AM13" s="9"/>
      <c r="AO13" s="11" t="s">
        <v>1034</v>
      </c>
      <c r="AP13" s="6" t="s">
        <v>1398</v>
      </c>
      <c r="AQ13" s="6">
        <v>4</v>
      </c>
      <c r="AR13" s="9" t="str">
        <f>IF(AQ13=0,"-",IF(AQ13=1,SUM(AQ$1:AQ12)+1,SUM(AQ$1:AQ12)+1 &amp; "-" &amp; SUM(AQ$1:AQ13)))</f>
        <v>65-68</v>
      </c>
      <c r="AS13" s="15" t="str">
        <f t="shared" si="2"/>
        <v>!import-table-item --Items-A --Shiftweave --4</v>
      </c>
      <c r="AW13" s="9"/>
      <c r="BB13" s="9"/>
      <c r="BG13" s="9"/>
      <c r="BL13" s="9"/>
      <c r="BQ13" s="9"/>
      <c r="BV13" s="9"/>
      <c r="CA13" s="9"/>
      <c r="CH13" s="11" t="s">
        <v>1495</v>
      </c>
      <c r="CI13" s="6" t="s">
        <v>1483</v>
      </c>
      <c r="CJ13" s="6">
        <v>1</v>
      </c>
      <c r="CK13" s="9">
        <f>IF(CJ13=0,"-",IF(CJ13=1,SUM(CJ$1:CJ12)+1,SUM(CJ$1:CJ12)+1 &amp; "-" &amp; SUM(CJ$1:CJ13)))</f>
        <v>19</v>
      </c>
      <c r="CL13" s="15" t="str">
        <f t="shared" si="6"/>
        <v>!import-table-item --Misc-A --Thermal Cube --1</v>
      </c>
      <c r="CP13" s="9"/>
      <c r="CU13" s="9"/>
      <c r="CZ13" s="9"/>
      <c r="DE13" s="9"/>
      <c r="DJ13" s="9"/>
      <c r="DO13" s="9"/>
      <c r="DT13" s="9"/>
      <c r="ED13" s="9"/>
      <c r="EI13" s="9"/>
      <c r="EN13" s="9"/>
      <c r="ES13" s="9"/>
    </row>
    <row r="14" spans="1:150" x14ac:dyDescent="0.25">
      <c r="D14" s="9"/>
      <c r="I14" s="9"/>
      <c r="N14" s="9"/>
      <c r="S14" s="9"/>
      <c r="X14" s="9"/>
      <c r="AC14" s="9"/>
      <c r="AH14" s="9"/>
      <c r="AM14" s="9"/>
      <c r="AO14" s="11" t="s">
        <v>1035</v>
      </c>
      <c r="AP14" s="6" t="s">
        <v>1398</v>
      </c>
      <c r="AQ14" s="6">
        <v>4</v>
      </c>
      <c r="AR14" s="9" t="str">
        <f>IF(AQ14=0,"-",IF(AQ14=1,SUM(AQ$1:AQ13)+1,SUM(AQ$1:AQ13)+1 &amp; "-" &amp; SUM(AQ$1:AQ14)))</f>
        <v>69-72</v>
      </c>
      <c r="AS14" s="15" t="str">
        <f t="shared" si="2"/>
        <v>!import-table-item --Items-A --Spellshard --4</v>
      </c>
      <c r="AW14" s="9"/>
      <c r="BB14" s="9"/>
      <c r="BG14" s="9"/>
      <c r="BL14" s="9"/>
      <c r="BQ14" s="9"/>
      <c r="BV14" s="9"/>
      <c r="CA14" s="9"/>
      <c r="CH14" s="11" t="s">
        <v>1042</v>
      </c>
      <c r="CI14" s="6" t="s">
        <v>1409</v>
      </c>
      <c r="CJ14" s="6">
        <v>1</v>
      </c>
      <c r="CK14" s="9">
        <f>IF(CJ14=0,"-",IF(CJ14=1,SUM(CJ$1:CJ13)+1,SUM(CJ$1:CJ13)+1 &amp; "-" &amp; SUM(CJ$1:CJ14)))</f>
        <v>20</v>
      </c>
      <c r="CL14" s="15" t="str">
        <f t="shared" si="6"/>
        <v>!import-table-item --Misc-A --Vox Seeker --1</v>
      </c>
      <c r="CP14" s="9"/>
      <c r="CU14" s="9"/>
      <c r="CZ14" s="9"/>
      <c r="DE14" s="9"/>
      <c r="DJ14" s="9"/>
      <c r="DO14" s="9"/>
      <c r="DT14" s="9"/>
      <c r="ED14" s="9"/>
      <c r="EI14" s="9"/>
      <c r="EN14" s="9"/>
      <c r="ES14" s="9"/>
    </row>
    <row r="15" spans="1:150" x14ac:dyDescent="0.25">
      <c r="D15" s="9"/>
      <c r="I15" s="9"/>
      <c r="N15" s="9"/>
      <c r="S15" s="9"/>
      <c r="X15" s="9"/>
      <c r="AC15" s="9"/>
      <c r="AH15" s="9"/>
      <c r="AM15" s="9"/>
      <c r="AO15" s="11" t="s">
        <v>990</v>
      </c>
      <c r="AP15" s="6" t="s">
        <v>1493</v>
      </c>
      <c r="AQ15" s="6">
        <v>1</v>
      </c>
      <c r="AR15" s="9">
        <f>IF(AQ15=0,"-",IF(AQ15=1,SUM(AQ$1:AQ14)+1,SUM(AQ$1:AQ14)+1 &amp; "-" &amp; SUM(AQ$1:AQ15)))</f>
        <v>73</v>
      </c>
      <c r="AS15" s="15" t="str">
        <f t="shared" si="2"/>
        <v>!import-table-item --Items-A --Boots of False Tracks --1</v>
      </c>
      <c r="AW15" s="9"/>
      <c r="BB15" s="9"/>
      <c r="BG15" s="9"/>
      <c r="BL15" s="9"/>
      <c r="BQ15" s="9"/>
      <c r="BV15" s="9"/>
      <c r="CA15" s="9"/>
      <c r="CP15" s="9"/>
      <c r="CU15" s="9"/>
      <c r="CZ15" s="9"/>
      <c r="DE15" s="9"/>
      <c r="DJ15" s="9"/>
      <c r="DO15" s="9"/>
      <c r="DT15" s="9"/>
      <c r="ED15" s="9"/>
      <c r="EI15" s="9"/>
      <c r="EN15" s="9"/>
      <c r="ES15" s="9"/>
    </row>
    <row r="16" spans="1:150" x14ac:dyDescent="0.25">
      <c r="D16" s="9"/>
      <c r="I16" s="9"/>
      <c r="N16" s="9"/>
      <c r="S16" s="9"/>
      <c r="X16" s="9"/>
      <c r="AC16" s="9"/>
      <c r="AH16" s="9"/>
      <c r="AM16" s="9"/>
      <c r="AO16" s="11" t="s">
        <v>992</v>
      </c>
      <c r="AP16" s="6" t="s">
        <v>1493</v>
      </c>
      <c r="AQ16" s="6">
        <v>1</v>
      </c>
      <c r="AR16" s="9">
        <f>IF(AQ16=0,"-",IF(AQ16=1,SUM(AQ$1:AQ15)+1,SUM(AQ$1:AQ15)+1 &amp; "-" &amp; SUM(AQ$1:AQ16)))</f>
        <v>74</v>
      </c>
      <c r="AS16" s="15" t="str">
        <f t="shared" si="2"/>
        <v>!import-table-item --Items-A --Candle of the Deep --1</v>
      </c>
      <c r="AW16" s="9"/>
      <c r="BB16" s="9"/>
      <c r="BG16" s="9"/>
      <c r="BL16" s="9"/>
      <c r="BQ16" s="9"/>
      <c r="BV16" s="9"/>
      <c r="CA16" s="9"/>
      <c r="CP16" s="9"/>
      <c r="CU16" s="9"/>
      <c r="CZ16" s="9"/>
      <c r="DE16" s="9"/>
      <c r="DJ16" s="9"/>
      <c r="DO16" s="9"/>
      <c r="DT16" s="9"/>
      <c r="ED16" s="9"/>
      <c r="EI16" s="9"/>
      <c r="EN16" s="9"/>
      <c r="ES16" s="9"/>
    </row>
    <row r="17" spans="4:149" x14ac:dyDescent="0.25">
      <c r="D17" s="9"/>
      <c r="I17" s="9"/>
      <c r="N17" s="9"/>
      <c r="S17" s="9"/>
      <c r="X17" s="9"/>
      <c r="AC17" s="9"/>
      <c r="AH17" s="9"/>
      <c r="AM17" s="9"/>
      <c r="AO17" s="11" t="s">
        <v>993</v>
      </c>
      <c r="AP17" s="6" t="s">
        <v>1493</v>
      </c>
      <c r="AQ17" s="6">
        <v>1</v>
      </c>
      <c r="AR17" s="9">
        <f>IF(AQ17=0,"-",IF(AQ17=1,SUM(AQ$1:AQ16)+1,SUM(AQ$1:AQ16)+1 &amp; "-" &amp; SUM(AQ$1:AQ17)))</f>
        <v>75</v>
      </c>
      <c r="AS17" s="15" t="str">
        <f t="shared" si="2"/>
        <v>!import-table-item --Items-A --Charlatan's Die --1</v>
      </c>
      <c r="AW17" s="9"/>
      <c r="BB17" s="9"/>
      <c r="BG17" s="9"/>
      <c r="BL17" s="9"/>
      <c r="BQ17" s="9"/>
      <c r="BV17" s="9"/>
      <c r="CA17" s="9"/>
      <c r="CP17" s="9"/>
      <c r="CU17" s="9"/>
      <c r="CZ17" s="9"/>
      <c r="DE17" s="9"/>
      <c r="DJ17" s="9"/>
      <c r="DO17" s="9"/>
      <c r="DT17" s="9"/>
      <c r="ED17" s="9"/>
      <c r="EI17" s="9"/>
      <c r="EN17" s="9"/>
      <c r="ES17" s="9"/>
    </row>
    <row r="18" spans="4:149" x14ac:dyDescent="0.25">
      <c r="D18" s="9"/>
      <c r="I18" s="9"/>
      <c r="N18" s="9"/>
      <c r="S18" s="9"/>
      <c r="X18" s="9"/>
      <c r="AC18" s="9"/>
      <c r="AH18" s="9"/>
      <c r="AM18" s="9"/>
      <c r="AO18" s="11" t="s">
        <v>996</v>
      </c>
      <c r="AP18" s="6" t="s">
        <v>1493</v>
      </c>
      <c r="AQ18" s="6">
        <v>1</v>
      </c>
      <c r="AR18" s="9">
        <f>IF(AQ18=0,"-",IF(AQ18=1,SUM(AQ$1:AQ17)+1,SUM(AQ$1:AQ17)+1 &amp; "-" &amp; SUM(AQ$1:AQ18)))</f>
        <v>76</v>
      </c>
      <c r="AS18" s="15" t="str">
        <f t="shared" si="2"/>
        <v>!import-table-item --Items-A --Cloak of Billowing --1</v>
      </c>
      <c r="AW18" s="9"/>
      <c r="BB18" s="9"/>
      <c r="BG18" s="9"/>
      <c r="BL18" s="9"/>
      <c r="BQ18" s="9"/>
      <c r="BV18" s="9"/>
      <c r="CA18" s="9"/>
      <c r="CP18" s="9"/>
      <c r="CU18" s="9"/>
      <c r="CZ18" s="9"/>
      <c r="DE18" s="9"/>
      <c r="DJ18" s="9"/>
      <c r="DO18" s="9"/>
      <c r="DT18" s="9"/>
      <c r="ED18" s="9"/>
      <c r="EI18" s="9"/>
      <c r="EN18" s="9"/>
      <c r="ES18" s="9"/>
    </row>
    <row r="19" spans="4:149" x14ac:dyDescent="0.25">
      <c r="I19" s="9"/>
      <c r="N19" s="9"/>
      <c r="S19" s="9"/>
      <c r="X19" s="9"/>
      <c r="AC19" s="9"/>
      <c r="AH19" s="9"/>
      <c r="AM19" s="9"/>
      <c r="AO19" s="11" t="s">
        <v>997</v>
      </c>
      <c r="AP19" s="6" t="s">
        <v>1493</v>
      </c>
      <c r="AQ19" s="6">
        <v>1</v>
      </c>
      <c r="AR19" s="9">
        <f>IF(AQ19=0,"-",IF(AQ19=1,SUM(AQ$1:AQ18)+1,SUM(AQ$1:AQ18)+1 &amp; "-" &amp; SUM(AQ$1:AQ19)))</f>
        <v>77</v>
      </c>
      <c r="AS19" s="15" t="str">
        <f t="shared" si="2"/>
        <v>!import-table-item --Items-A --Cloak of Many Fashions --1</v>
      </c>
      <c r="AW19" s="9"/>
      <c r="BB19" s="9"/>
      <c r="BG19" s="9"/>
      <c r="BL19" s="9"/>
      <c r="BQ19" s="9"/>
      <c r="BV19" s="9"/>
      <c r="CA19" s="9"/>
      <c r="CP19" s="9"/>
      <c r="CU19" s="9"/>
      <c r="CZ19" s="9"/>
      <c r="DE19" s="9"/>
      <c r="DJ19" s="9"/>
      <c r="DO19" s="9"/>
      <c r="DT19" s="9"/>
      <c r="ED19" s="9"/>
      <c r="EI19" s="9"/>
      <c r="EN19" s="9"/>
      <c r="ES19" s="9"/>
    </row>
    <row r="20" spans="4:149" x14ac:dyDescent="0.25">
      <c r="I20" s="9"/>
      <c r="N20" s="9"/>
      <c r="S20" s="9"/>
      <c r="X20" s="9"/>
      <c r="AC20" s="9"/>
      <c r="AH20" s="9"/>
      <c r="AM20" s="9"/>
      <c r="AO20" s="11" t="s">
        <v>998</v>
      </c>
      <c r="AP20" s="6" t="s">
        <v>1493</v>
      </c>
      <c r="AQ20" s="6">
        <v>1</v>
      </c>
      <c r="AR20" s="9">
        <f>IF(AQ20=0,"-",IF(AQ20=1,SUM(AQ$1:AQ19)+1,SUM(AQ$1:AQ19)+1 &amp; "-" &amp; SUM(AQ$1:AQ20)))</f>
        <v>78</v>
      </c>
      <c r="AS20" s="15" t="str">
        <f t="shared" si="2"/>
        <v>!import-table-item --Items-A --Clockwork Amulet --1</v>
      </c>
      <c r="AW20" s="9"/>
      <c r="BB20" s="9"/>
      <c r="BG20" s="9"/>
      <c r="BL20" s="9"/>
      <c r="BQ20" s="9"/>
      <c r="BV20" s="9"/>
      <c r="CA20" s="9"/>
      <c r="CP20" s="9"/>
      <c r="CU20" s="9"/>
      <c r="CZ20" s="9"/>
      <c r="DE20" s="9"/>
      <c r="DJ20" s="9"/>
      <c r="DO20" s="9"/>
      <c r="DT20" s="9"/>
      <c r="ED20" s="9"/>
      <c r="EI20" s="9"/>
      <c r="EN20" s="9"/>
      <c r="ES20" s="9"/>
    </row>
    <row r="21" spans="4:149" x14ac:dyDescent="0.25">
      <c r="I21" s="9"/>
      <c r="N21" s="9"/>
      <c r="S21" s="9"/>
      <c r="X21" s="9"/>
      <c r="AC21" s="9"/>
      <c r="AH21" s="9"/>
      <c r="AM21" s="9"/>
      <c r="AO21" s="11" t="s">
        <v>1003</v>
      </c>
      <c r="AP21" s="6" t="s">
        <v>1679</v>
      </c>
      <c r="AQ21" s="6">
        <v>1</v>
      </c>
      <c r="AR21" s="9">
        <f>IF(AQ21=0,"-",IF(AQ21=1,SUM(AQ$1:AQ20)+1,SUM(AQ$1:AQ20)+1 &amp; "-" &amp; SUM(AQ$1:AQ21)))</f>
        <v>79</v>
      </c>
      <c r="AS21" s="15" t="str">
        <f t="shared" si="2"/>
        <v>!import-table-item --Items-A --Doublet of Dramatic Demise --1</v>
      </c>
      <c r="AW21" s="9"/>
      <c r="BB21" s="9"/>
      <c r="BG21" s="9"/>
      <c r="BL21" s="9"/>
      <c r="BQ21" s="9"/>
      <c r="BV21" s="9"/>
      <c r="CA21" s="9"/>
      <c r="CP21" s="9"/>
      <c r="CU21" s="9"/>
      <c r="CZ21" s="9"/>
      <c r="DE21" s="9"/>
      <c r="DJ21" s="9"/>
      <c r="DO21" s="9"/>
      <c r="DT21" s="9"/>
      <c r="ED21" s="9"/>
      <c r="EI21" s="9"/>
      <c r="EN21" s="9"/>
      <c r="ES21" s="9"/>
    </row>
    <row r="22" spans="4:149" x14ac:dyDescent="0.25">
      <c r="I22" s="9"/>
      <c r="N22" s="9"/>
      <c r="S22" s="9"/>
      <c r="X22" s="9"/>
      <c r="AC22" s="9"/>
      <c r="AH22" s="9"/>
      <c r="AM22" s="9"/>
      <c r="AO22" s="11" t="s">
        <v>1004</v>
      </c>
      <c r="AP22" s="6" t="s">
        <v>1493</v>
      </c>
      <c r="AQ22" s="6">
        <v>1</v>
      </c>
      <c r="AR22" s="9">
        <f>IF(AQ22=0,"-",IF(AQ22=1,SUM(AQ$1:AQ21)+1,SUM(AQ$1:AQ21)+1 &amp; "-" &amp; SUM(AQ$1:AQ22)))</f>
        <v>80</v>
      </c>
      <c r="AS22" s="15" t="str">
        <f t="shared" si="2"/>
        <v>!import-table-item --Items-A --Dread Helm --1</v>
      </c>
      <c r="AW22" s="9"/>
      <c r="BB22" s="9"/>
      <c r="BG22" s="9"/>
      <c r="BL22" s="9"/>
      <c r="BQ22" s="9"/>
      <c r="BV22" s="9"/>
      <c r="CA22" s="9"/>
      <c r="CP22" s="9"/>
      <c r="CU22" s="9"/>
      <c r="CZ22" s="9"/>
      <c r="DE22" s="9"/>
      <c r="DJ22" s="9"/>
      <c r="DO22" s="9"/>
      <c r="DT22" s="9"/>
      <c r="ED22" s="9"/>
      <c r="EI22" s="9"/>
      <c r="EN22" s="9"/>
      <c r="ES22" s="9"/>
    </row>
    <row r="23" spans="4:149" x14ac:dyDescent="0.25">
      <c r="I23" s="9"/>
      <c r="N23" s="9"/>
      <c r="S23" s="9"/>
      <c r="X23" s="9"/>
      <c r="AC23" s="9"/>
      <c r="AH23" s="9"/>
      <c r="AM23" s="9"/>
      <c r="AO23" s="11" t="s">
        <v>1005</v>
      </c>
      <c r="AP23" s="6" t="s">
        <v>1493</v>
      </c>
      <c r="AQ23" s="6">
        <v>1</v>
      </c>
      <c r="AR23" s="9">
        <f>IF(AQ23=0,"-",IF(AQ23=1,SUM(AQ$1:AQ22)+1,SUM(AQ$1:AQ22)+1 &amp; "-" &amp; SUM(AQ$1:AQ23)))</f>
        <v>81</v>
      </c>
      <c r="AS23" s="15" t="str">
        <f t="shared" si="2"/>
        <v>!import-table-item --Items-A --Ear Horn of Hearing --1</v>
      </c>
      <c r="AW23" s="9"/>
      <c r="BB23" s="9"/>
      <c r="BG23" s="9"/>
      <c r="BL23" s="9"/>
      <c r="BQ23" s="9"/>
      <c r="BV23" s="9"/>
      <c r="CA23" s="9"/>
      <c r="CP23" s="9"/>
      <c r="CU23" s="9"/>
      <c r="CZ23" s="9"/>
      <c r="DE23" s="9"/>
      <c r="DJ23" s="9"/>
      <c r="DO23" s="9"/>
      <c r="DT23" s="9"/>
      <c r="ED23" s="9"/>
      <c r="EI23" s="9"/>
      <c r="EN23" s="9"/>
      <c r="ES23" s="9"/>
    </row>
    <row r="24" spans="4:149" x14ac:dyDescent="0.25">
      <c r="I24" s="9"/>
      <c r="N24" s="9"/>
      <c r="S24" s="9"/>
      <c r="X24" s="9"/>
      <c r="AC24" s="9"/>
      <c r="AH24" s="9"/>
      <c r="AM24" s="9"/>
      <c r="AO24" s="11" t="s">
        <v>1010</v>
      </c>
      <c r="AP24" s="6" t="s">
        <v>1493</v>
      </c>
      <c r="AQ24" s="6">
        <v>1</v>
      </c>
      <c r="AR24" s="9">
        <f>IF(AQ24=0,"-",IF(AQ24=1,SUM(AQ$1:AQ23)+1,SUM(AQ$1:AQ23)+1 &amp; "-" &amp; SUM(AQ$1:AQ24)))</f>
        <v>82</v>
      </c>
      <c r="AS24" s="15" t="str">
        <f t="shared" si="2"/>
        <v>!import-table-item --Items-A --Hat of Vermin --1</v>
      </c>
      <c r="AW24" s="9"/>
      <c r="BB24" s="9"/>
      <c r="BG24" s="9"/>
      <c r="BL24" s="9"/>
      <c r="BQ24" s="9"/>
      <c r="BV24" s="9"/>
      <c r="CA24" s="9"/>
      <c r="CP24" s="9"/>
      <c r="CU24" s="9"/>
      <c r="CZ24" s="9"/>
      <c r="DE24" s="9"/>
      <c r="DJ24" s="9"/>
      <c r="DO24" s="9"/>
      <c r="DT24" s="9"/>
      <c r="ED24" s="9"/>
      <c r="EI24" s="9"/>
      <c r="EN24" s="9"/>
      <c r="ES24" s="9"/>
    </row>
    <row r="25" spans="4:149" x14ac:dyDescent="0.25">
      <c r="I25" s="9"/>
      <c r="N25" s="9"/>
      <c r="S25" s="9"/>
      <c r="X25" s="9"/>
      <c r="AC25" s="9"/>
      <c r="AH25" s="9"/>
      <c r="AM25" s="9"/>
      <c r="AO25" s="11" t="s">
        <v>1013</v>
      </c>
      <c r="AP25" s="6" t="s">
        <v>1493</v>
      </c>
      <c r="AQ25" s="6">
        <v>1</v>
      </c>
      <c r="AR25" s="9">
        <f>IF(AQ25=0,"-",IF(AQ25=1,SUM(AQ$1:AQ24)+1,SUM(AQ$1:AQ24)+1 &amp; "-" &amp; SUM(AQ$1:AQ25)))</f>
        <v>83</v>
      </c>
      <c r="AS25" s="15" t="str">
        <f t="shared" si="2"/>
        <v>!import-table-item --Items-A --Horn of Silent Alarm --1</v>
      </c>
      <c r="AW25" s="9"/>
      <c r="BB25" s="9"/>
      <c r="BG25" s="9"/>
      <c r="BL25" s="9"/>
      <c r="BQ25" s="9"/>
      <c r="BV25" s="9"/>
      <c r="CA25" s="9"/>
      <c r="CP25" s="9"/>
      <c r="CU25" s="9"/>
      <c r="CZ25" s="9"/>
      <c r="DE25" s="9"/>
      <c r="DJ25" s="9"/>
      <c r="DO25" s="9"/>
      <c r="DT25" s="9"/>
      <c r="ED25" s="9"/>
      <c r="EI25" s="9"/>
      <c r="EN25" s="9"/>
      <c r="ES25" s="9"/>
    </row>
    <row r="26" spans="4:149" x14ac:dyDescent="0.25">
      <c r="I26" s="9"/>
      <c r="N26" s="9"/>
      <c r="S26" s="9"/>
      <c r="X26" s="9"/>
      <c r="AC26" s="9"/>
      <c r="AH26" s="9"/>
      <c r="AM26" s="9"/>
      <c r="AO26" s="11" t="s">
        <v>1014</v>
      </c>
      <c r="AP26" s="6" t="s">
        <v>1402</v>
      </c>
      <c r="AQ26" s="6">
        <v>1</v>
      </c>
      <c r="AR26" s="9">
        <f>IF(AQ26=0,"-",IF(AQ26=1,SUM(AQ$1:AQ25)+1,SUM(AQ$1:AQ25)+1 &amp; "-" &amp; SUM(AQ$1:AQ26)))</f>
        <v>84</v>
      </c>
      <c r="AS26" s="15" t="str">
        <f t="shared" si="2"/>
        <v>!import-table-item --Items-A --Illuminator's Tattoo --1</v>
      </c>
      <c r="AW26" s="9"/>
      <c r="BB26" s="9"/>
      <c r="BG26" s="9"/>
      <c r="BL26" s="9"/>
      <c r="BQ26" s="9"/>
      <c r="BV26" s="9"/>
      <c r="CA26" s="9"/>
      <c r="CP26" s="9"/>
      <c r="CU26" s="9"/>
      <c r="CZ26" s="9"/>
      <c r="DE26" s="9"/>
      <c r="DJ26" s="9"/>
      <c r="DO26" s="9"/>
      <c r="DT26" s="9"/>
      <c r="ED26" s="9"/>
      <c r="EI26" s="9"/>
      <c r="EN26" s="9"/>
      <c r="ES26" s="9"/>
    </row>
    <row r="27" spans="4:149" x14ac:dyDescent="0.25">
      <c r="I27" s="9"/>
      <c r="N27" s="9"/>
      <c r="S27" s="9"/>
      <c r="X27" s="9"/>
      <c r="AC27" s="9"/>
      <c r="AH27" s="9"/>
      <c r="AM27" s="9"/>
      <c r="AO27" s="11" t="s">
        <v>1017</v>
      </c>
      <c r="AP27" s="6" t="s">
        <v>1493</v>
      </c>
      <c r="AQ27" s="6">
        <v>1</v>
      </c>
      <c r="AR27" s="9">
        <f>IF(AQ27=0,"-",IF(AQ27=1,SUM(AQ$1:AQ26)+1,SUM(AQ$1:AQ26)+1 &amp; "-" &amp; SUM(AQ$1:AQ27)))</f>
        <v>85</v>
      </c>
      <c r="AS27" s="15" t="str">
        <f t="shared" si="2"/>
        <v>!import-table-item --Items-A --Lock of Trickery --1</v>
      </c>
      <c r="AW27" s="9"/>
      <c r="BB27" s="9"/>
      <c r="BG27" s="9"/>
      <c r="BL27" s="9"/>
      <c r="BQ27" s="9"/>
      <c r="BV27" s="9"/>
      <c r="CA27" s="9"/>
      <c r="CP27" s="9"/>
      <c r="CU27" s="9"/>
      <c r="CZ27" s="9"/>
      <c r="DE27" s="9"/>
      <c r="DJ27" s="9"/>
      <c r="DO27" s="9"/>
      <c r="DT27" s="9"/>
      <c r="ED27" s="9"/>
      <c r="EI27" s="9"/>
      <c r="EN27" s="9"/>
      <c r="ES27" s="9"/>
    </row>
    <row r="28" spans="4:149" x14ac:dyDescent="0.25">
      <c r="E28" s="17"/>
      <c r="N28" s="9"/>
      <c r="S28" s="9"/>
      <c r="X28" s="9"/>
      <c r="AH28" s="9"/>
      <c r="AM28" s="9"/>
      <c r="AO28" s="11" t="s">
        <v>1020</v>
      </c>
      <c r="AP28" s="6" t="s">
        <v>1493</v>
      </c>
      <c r="AQ28" s="6">
        <v>1</v>
      </c>
      <c r="AR28" s="9">
        <f>IF(AQ28=0,"-",IF(AQ28=1,SUM(AQ$1:AQ27)+1,SUM(AQ$1:AQ27)+1 &amp; "-" &amp; SUM(AQ$1:AQ28)))</f>
        <v>86</v>
      </c>
      <c r="AS28" s="15" t="str">
        <f t="shared" si="2"/>
        <v>!import-table-item --Items-A --Mystery Key --1</v>
      </c>
      <c r="AW28" s="9"/>
      <c r="BB28" s="9"/>
      <c r="BL28" s="9"/>
      <c r="BQ28" s="9"/>
      <c r="BV28" s="9"/>
      <c r="CA28" s="9"/>
      <c r="CP28" s="9"/>
      <c r="CU28" s="9"/>
      <c r="CZ28" s="9"/>
      <c r="DE28" s="9"/>
      <c r="DJ28" s="9"/>
      <c r="DO28" s="9"/>
      <c r="DT28" s="9"/>
      <c r="ED28" s="9"/>
      <c r="EI28" s="9"/>
      <c r="EN28" s="9"/>
      <c r="ES28" s="9"/>
    </row>
    <row r="29" spans="4:149" x14ac:dyDescent="0.25">
      <c r="N29" s="9"/>
      <c r="X29" s="9"/>
      <c r="AH29" s="9"/>
      <c r="AM29" s="9"/>
      <c r="AO29" s="11" t="s">
        <v>1023</v>
      </c>
      <c r="AP29" s="6" t="s">
        <v>1493</v>
      </c>
      <c r="AQ29" s="6">
        <v>1</v>
      </c>
      <c r="AR29" s="9">
        <f>IF(AQ29=0,"-",IF(AQ29=1,SUM(AQ$1:AQ28)+1,SUM(AQ$1:AQ28)+1 &amp; "-" &amp; SUM(AQ$1:AQ29)))</f>
        <v>87</v>
      </c>
      <c r="AS29" s="15" t="str">
        <f t="shared" si="2"/>
        <v>!import-table-item --Items-A --Perfume of Bewitching --1</v>
      </c>
      <c r="AW29" s="9"/>
      <c r="BB29" s="9"/>
      <c r="BL29" s="9"/>
      <c r="BQ29" s="9"/>
      <c r="BV29" s="9"/>
      <c r="CP29" s="9"/>
      <c r="CU29" s="9"/>
      <c r="CZ29" s="9"/>
      <c r="DE29" s="9"/>
      <c r="DJ29" s="9"/>
      <c r="DO29" s="9"/>
      <c r="DT29" s="9"/>
      <c r="ED29" s="9"/>
      <c r="EI29" s="9"/>
      <c r="EN29" s="9"/>
      <c r="ES29" s="9"/>
    </row>
    <row r="30" spans="4:149" x14ac:dyDescent="0.25">
      <c r="N30" s="9"/>
      <c r="AH30" s="9"/>
      <c r="AM30" s="9"/>
      <c r="AO30" s="11" t="s">
        <v>1024</v>
      </c>
      <c r="AP30" s="6" t="s">
        <v>1481</v>
      </c>
      <c r="AQ30" s="6">
        <v>1</v>
      </c>
      <c r="AR30" s="9">
        <f>IF(AQ30=0,"-",IF(AQ30=1,SUM(AQ$1:AQ29)+1,SUM(AQ$1:AQ29)+1 &amp; "-" &amp; SUM(AQ$1:AQ30)))</f>
        <v>88</v>
      </c>
      <c r="AS30" s="15" t="str">
        <f t="shared" si="2"/>
        <v>!import-table-item --Items-A --Pipe of Remembrance --1</v>
      </c>
      <c r="AW30" s="9"/>
      <c r="BB30" s="9"/>
      <c r="BQ30" s="9"/>
      <c r="BV30" s="9"/>
      <c r="CP30" s="9"/>
      <c r="CU30" s="9"/>
      <c r="CZ30" s="9"/>
      <c r="DE30" s="9"/>
      <c r="DJ30" s="9"/>
      <c r="DO30" s="9"/>
      <c r="DT30" s="9"/>
      <c r="ED30" s="9"/>
      <c r="EI30" s="9"/>
      <c r="EN30" s="9"/>
      <c r="ES30" s="9"/>
    </row>
    <row r="31" spans="4:149" x14ac:dyDescent="0.25">
      <c r="AH31" s="9"/>
      <c r="AO31" s="11" t="s">
        <v>1025</v>
      </c>
      <c r="AP31" s="6" t="s">
        <v>1493</v>
      </c>
      <c r="AQ31" s="6">
        <v>1</v>
      </c>
      <c r="AR31" s="9">
        <f>IF(AQ31=0,"-",IF(AQ31=1,SUM(AQ$1:AQ30)+1,SUM(AQ$1:AQ30)+1 &amp; "-" &amp; SUM(AQ$1:AQ31)))</f>
        <v>89</v>
      </c>
      <c r="AS31" s="15" t="str">
        <f t="shared" si="2"/>
        <v>!import-table-item --Items-A --Pipe of Smoke Monsters --1</v>
      </c>
      <c r="AW31" s="9"/>
      <c r="BB31" s="9"/>
      <c r="BQ31" s="9"/>
      <c r="BV31" s="9"/>
      <c r="CP31" s="9"/>
      <c r="CU31" s="9"/>
      <c r="CZ31" s="9"/>
      <c r="DE31" s="9"/>
      <c r="DJ31" s="9"/>
      <c r="DO31" s="9"/>
      <c r="DT31" s="9"/>
      <c r="ED31" s="9"/>
      <c r="EI31" s="9"/>
      <c r="EN31" s="9"/>
      <c r="ES31" s="9"/>
    </row>
    <row r="32" spans="4:149" x14ac:dyDescent="0.25">
      <c r="AO32" s="11" t="s">
        <v>1026</v>
      </c>
      <c r="AP32" s="6" t="s">
        <v>1493</v>
      </c>
      <c r="AQ32" s="6">
        <v>1</v>
      </c>
      <c r="AR32" s="9">
        <f>IF(AQ32=0,"-",IF(AQ32=1,SUM(AQ$1:AQ31)+1,SUM(AQ$1:AQ31)+1 &amp; "-" &amp; SUM(AQ$1:AQ32)))</f>
        <v>90</v>
      </c>
      <c r="AS32" s="15" t="str">
        <f t="shared" si="2"/>
        <v>!import-table-item --Items-A --Pole of Angling --1</v>
      </c>
    </row>
    <row r="33" spans="10:45" x14ac:dyDescent="0.25">
      <c r="AO33" s="11" t="s">
        <v>1027</v>
      </c>
      <c r="AP33" s="6" t="s">
        <v>1493</v>
      </c>
      <c r="AQ33" s="6">
        <v>1</v>
      </c>
      <c r="AR33" s="9">
        <f>IF(AQ33=0,"-",IF(AQ33=1,SUM(AQ$1:AQ32)+1,SUM(AQ$1:AQ32)+1 &amp; "-" &amp; SUM(AQ$1:AQ33)))</f>
        <v>91</v>
      </c>
      <c r="AS33" s="15" t="str">
        <f t="shared" si="2"/>
        <v>!import-table-item --Items-A --Pole of Collapsing --1</v>
      </c>
    </row>
    <row r="34" spans="10:45" x14ac:dyDescent="0.25">
      <c r="AO34" s="11" t="s">
        <v>1028</v>
      </c>
      <c r="AP34" s="6" t="s">
        <v>1493</v>
      </c>
      <c r="AQ34" s="6">
        <v>1</v>
      </c>
      <c r="AR34" s="9">
        <f>IF(AQ34=0,"-",IF(AQ34=1,SUM(AQ$1:AQ33)+1,SUM(AQ$1:AQ33)+1 &amp; "-" &amp; SUM(AQ$1:AQ34)))</f>
        <v>92</v>
      </c>
      <c r="AS34" s="15" t="str">
        <f t="shared" si="2"/>
        <v>!import-table-item --Items-A --Pot of Awakening --1</v>
      </c>
    </row>
    <row r="35" spans="10:45" x14ac:dyDescent="0.25">
      <c r="AO35" s="11" t="s">
        <v>1036</v>
      </c>
      <c r="AP35" s="6" t="s">
        <v>1493</v>
      </c>
      <c r="AQ35" s="6">
        <v>1</v>
      </c>
      <c r="AR35" s="9">
        <f>IF(AQ35=0,"-",IF(AQ35=1,SUM(AQ$1:AQ34)+1,SUM(AQ$1:AQ34)+1 &amp; "-" &amp; SUM(AQ$1:AQ35)))</f>
        <v>93</v>
      </c>
      <c r="AS35" s="15" t="str">
        <f t="shared" si="2"/>
        <v>!import-table-item --Items-A --Staff of Adornment --1</v>
      </c>
    </row>
    <row r="36" spans="10:45" x14ac:dyDescent="0.25">
      <c r="AO36" s="11" t="s">
        <v>1037</v>
      </c>
      <c r="AP36" s="6" t="s">
        <v>1493</v>
      </c>
      <c r="AQ36" s="6">
        <v>1</v>
      </c>
      <c r="AR36" s="9">
        <f>IF(AQ36=0,"-",IF(AQ36=1,SUM(AQ$1:AQ35)+1,SUM(AQ$1:AQ35)+1 &amp; "-" &amp; SUM(AQ$1:AQ36)))</f>
        <v>94</v>
      </c>
      <c r="AS36" s="15" t="str">
        <f t="shared" si="2"/>
        <v>!import-table-item --Items-A --Staff of Birdcalls --1</v>
      </c>
    </row>
    <row r="37" spans="10:45" x14ac:dyDescent="0.25">
      <c r="J37" s="17"/>
      <c r="AO37" s="11" t="s">
        <v>1038</v>
      </c>
      <c r="AP37" s="6" t="s">
        <v>1493</v>
      </c>
      <c r="AQ37" s="6">
        <v>1</v>
      </c>
      <c r="AR37" s="9">
        <f>IF(AQ37=0,"-",IF(AQ37=1,SUM(AQ$1:AQ36)+1,SUM(AQ$1:AQ36)+1 &amp; "-" &amp; SUM(AQ$1:AQ37)))</f>
        <v>95</v>
      </c>
      <c r="AS37" s="15" t="str">
        <f t="shared" si="2"/>
        <v>!import-table-item --Items-A --Staff of Flowers --1</v>
      </c>
    </row>
    <row r="38" spans="10:45" x14ac:dyDescent="0.25">
      <c r="AO38" s="11" t="s">
        <v>1039</v>
      </c>
      <c r="AP38" s="6" t="s">
        <v>1493</v>
      </c>
      <c r="AQ38" s="6">
        <v>1</v>
      </c>
      <c r="AR38" s="9">
        <f>IF(AQ38=0,"-",IF(AQ38=1,SUM(AQ$1:AQ37)+1,SUM(AQ$1:AQ37)+1 &amp; "-" &amp; SUM(AQ$1:AQ38)))</f>
        <v>96</v>
      </c>
      <c r="AS38" s="15" t="str">
        <f t="shared" si="2"/>
        <v>!import-table-item --Items-A --Talking Doll --1</v>
      </c>
    </row>
    <row r="39" spans="10:45" x14ac:dyDescent="0.25">
      <c r="AO39" s="11" t="s">
        <v>1043</v>
      </c>
      <c r="AP39" s="6" t="s">
        <v>1493</v>
      </c>
      <c r="AQ39" s="6">
        <v>1</v>
      </c>
      <c r="AR39" s="9">
        <f>IF(AQ39=0,"-",IF(AQ39=1,SUM(AQ$1:AQ38)+1,SUM(AQ$1:AQ38)+1 &amp; "-" &amp; SUM(AQ$1:AQ39)))</f>
        <v>97</v>
      </c>
      <c r="AS39" s="15" t="str">
        <f t="shared" si="2"/>
        <v>!import-table-item --Items-A --Wand of Conducting --1</v>
      </c>
    </row>
    <row r="40" spans="10:45" x14ac:dyDescent="0.25">
      <c r="AO40" s="11" t="s">
        <v>1044</v>
      </c>
      <c r="AP40" s="6" t="s">
        <v>1493</v>
      </c>
      <c r="AQ40" s="6">
        <v>1</v>
      </c>
      <c r="AR40" s="9">
        <f>IF(AQ40=0,"-",IF(AQ40=1,SUM(AQ$1:AQ39)+1,SUM(AQ$1:AQ39)+1 &amp; "-" &amp; SUM(AQ$1:AQ40)))</f>
        <v>98</v>
      </c>
      <c r="AS40" s="15" t="str">
        <f t="shared" si="2"/>
        <v>!import-table-item --Items-A --Wand of Pyrotechnics --1</v>
      </c>
    </row>
    <row r="41" spans="10:45" x14ac:dyDescent="0.25">
      <c r="AO41" s="11" t="s">
        <v>1045</v>
      </c>
      <c r="AP41" s="6" t="s">
        <v>1493</v>
      </c>
      <c r="AQ41" s="6">
        <v>1</v>
      </c>
      <c r="AR41" s="9">
        <f>IF(AQ41=0,"-",IF(AQ41=1,SUM(AQ$1:AQ40)+1,SUM(AQ$1:AQ40)+1 &amp; "-" &amp; SUM(AQ$1:AQ41)))</f>
        <v>99</v>
      </c>
      <c r="AS41" s="15" t="str">
        <f t="shared" si="2"/>
        <v>!import-table-item --Items-A --Wand of Scowls --1</v>
      </c>
    </row>
    <row r="42" spans="10:45" x14ac:dyDescent="0.25">
      <c r="AO42" s="11" t="s">
        <v>1046</v>
      </c>
      <c r="AP42" s="6" t="s">
        <v>1493</v>
      </c>
      <c r="AQ42" s="6">
        <v>1</v>
      </c>
      <c r="AR42" s="9">
        <f>IF(AQ42=0,"-",IF(AQ42=1,SUM(AQ$1:AQ41)+1,SUM(AQ$1:AQ41)+1 &amp; "-" &amp; SUM(AQ$1:AQ42)))</f>
        <v>100</v>
      </c>
      <c r="AS42" s="15" t="str">
        <f t="shared" si="2"/>
        <v>!import-table-item --Items-A --Wand of Smiles --1</v>
      </c>
    </row>
  </sheetData>
  <sortState xmlns:xlrd2="http://schemas.microsoft.com/office/spreadsheetml/2017/richdata2" ref="F2:J45">
    <sortCondition descending="1" ref="H2:H45"/>
  </sortState>
  <hyperlinks>
    <hyperlink ref="DV4" location="'Table A Common'!DC:DG" display="Integrated [[ 1t[Tools] ]]" xr:uid="{771ED43A-022A-4560-B69B-BBCC98D9AE48}"/>
    <hyperlink ref="BX2" location="'Supplemental Types'!AA:AE" display="[[ 1t[Weapons] ]]" xr:uid="{465A898B-2592-4674-8407-11E71D370FF9}"/>
    <hyperlink ref="BI2" location="'Supplemental Types'!B:F" display="[[ 1t[Armor] ]]" xr:uid="{25223F40-A9D9-4CC7-8708-8620355C7F26}"/>
    <hyperlink ref="AO4" location="'Table A Common'!DQ:DU" display="[[ 1t[Prosthesis] ]]" xr:uid="{0D6A484A-19BA-4AA6-973A-E2C72833237F}"/>
    <hyperlink ref="U2" location="'Table A Common'!Z:AD" display="Fresh [[ 1t[Ingredients-A] ]]" xr:uid="{B0BA83E6-B901-47FB-BB41-22370104ACB0}"/>
    <hyperlink ref="K2" location="'Supplemental Types'!AZ:BD" display="[[ 1t[Ammunition] ]]" xr:uid="{FC71D73D-EE67-4DC6-893C-5B33BD31E5A8}"/>
    <hyperlink ref="F12" location="'Table A Common'!CR:CV" display="[[ 1t[Spellcaster-A] ]]" xr:uid="{21B53C1A-EA88-4F09-A700-2849D57F5027}"/>
    <hyperlink ref="F11" location="'Table A Common'!CH:CL" display="[[ 1t[Misc-A] ]]" xr:uid="{ADBFAA95-AFF7-44FE-B929-60107168B059}"/>
    <hyperlink ref="F10" location="'Table A Common'!CC:CG" display="[[ 1t[Jewelry-A] ]]" xr:uid="{66FFA6C7-B3A5-4AB5-BBE0-7B04BE334481}"/>
    <hyperlink ref="F5" location="'Table A Common'!BX:CB" display="[[ 1t[Arms-A] ]]" xr:uid="{C8A24970-3ED7-4F4D-BA3A-C166F8548E16}"/>
    <hyperlink ref="F4" location="'Table A Common'!BI:BM" display="[[ 1t[Armor-A] ]]" xr:uid="{414C0D85-0418-4667-920B-96DB0640AD0C}"/>
    <hyperlink ref="F7" location="'Table A Common'!BD:BH" display="[[ 1t[Apparel-A] ]]" xr:uid="{28DE156A-2D47-48FD-9AEE-D6A97163D4A0}"/>
    <hyperlink ref="F8" location="'Table A Common'!P:T" display="[[ 1t[Consumables-A] ]]" xr:uid="{32A5BDA0-26D1-423E-A605-9138E4C45033}"/>
    <hyperlink ref="F6" location="'Table A Common'!K:O" display="[[ 1t[Ammunition-A] ]]" xr:uid="{1C8DEA80-AEC1-44ED-A90C-F32158A3BC43}"/>
    <hyperlink ref="CC5" location="'Table A Common'!AO:AS" display="[[ 1t[Items-A] ]]" xr:uid="{EF0C06AD-2244-4A83-9716-1D39EB52E241}"/>
    <hyperlink ref="CH5" location="'Table A Common'!AO:AS" display="[[ 1t[Items-A] ]]" xr:uid="{6CA06085-21EB-4B00-9FAD-1DE87277442F}"/>
    <hyperlink ref="BD2" location="'Table A Common'!AO:AS" display="[[ 1t[Items-A] ]]" xr:uid="{152528AC-E85B-48FE-BCC6-C49B99C8E1E6}"/>
    <hyperlink ref="A3" location="'Table A Common'!AY:BC" display="[[ 1t[Spells-A] ]]" xr:uid="{7D5C1486-CCDC-4E08-B83A-29FFA9D0319F}"/>
    <hyperlink ref="A2" location="'Table A Common'!AT:AX" display="[[ 1t[Potions-A] ]]" xr:uid="{DD6CD659-4C21-4626-9A68-082D2C0D45F7}"/>
    <hyperlink ref="DV2" location="'Table A Common'!EA:EE" display="Armblade ([[ 1t[Armblades] ]])" xr:uid="{35799E9D-4CF4-4A74-850A-AF8991A22720}"/>
    <hyperlink ref="DV3" location="'Table A Common'!EP:ET" display="Wand Sheath ([[ 1t[Wands-A] ]])" xr:uid="{C511F015-D7B8-43D2-BDF2-8D3183563DD0}"/>
    <hyperlink ref="K4" location="'Supplemental Types'!AZ:BD" display="[[1d4]] Unbreakable [[ 1t[Ammunition] ]]" xr:uid="{EA3A3AF5-ACF6-4276-9B3E-3FBB11FC6883}"/>
    <hyperlink ref="BS4" location="'Supplemental Types'!Q:U" display="[[ 1t[Heavy-Armor] ]]" xr:uid="{B548F6C9-E237-44AB-9EC8-7471FB292613}"/>
    <hyperlink ref="BS3" location="'Supplemental Types'!L:P" display="[[ 1t[Medium-Armor] ]]" xr:uid="{65CC0B19-22EF-4C46-B7F3-6681BA28FD35}"/>
    <hyperlink ref="BS2" location="'Supplemental Types'!G:K" display="[[ 1t[Light-Armor] ]]" xr:uid="{D59DEDAA-050F-4A24-A028-AC25D873122A}"/>
    <hyperlink ref="BN4" location="'Supplemental Types'!Q:U" display="[[ 1t[Heavy-Armor] ]]" xr:uid="{72F4DBE1-5E71-4F76-A273-FA0149DE1776}"/>
    <hyperlink ref="BN3" location="'Supplemental Types'!L:P" display="[[ 1t[Medium-Armor] ]]" xr:uid="{39882C00-C25B-409A-AA8E-178E95D18EA3}"/>
    <hyperlink ref="BN2" location="'Supplemental Types'!G:K" display="[[ 1t[Light-Armor] ]]" xr:uid="{94AB5152-0990-4F1F-96D7-B85C4DD1132C}"/>
    <hyperlink ref="BI4" location="'Supplemental Types'!V:Z" display="[[ 1t[Metal-Armor] ]] of Gleaming" xr:uid="{E67AA548-8B77-4E96-BB4D-35792A62B25A}"/>
    <hyperlink ref="BX3" location="'Supplemental Types'!BE:BI" display="Moon-Touched [[ 1t[Swords] ]]" xr:uid="{8CD5ECF7-D2B6-4E71-8CDC-6CBD8F50287B}"/>
    <hyperlink ref="AY7" location="'All Spells'!K:O" display="Spellwrought Tattoo ([[ 1t[Spells-Level-2] ]])" xr:uid="{84532385-26B6-4C5B-B611-890AB181E268}"/>
    <hyperlink ref="AY4" location="'All Spells'!K:O" display="Spell Scroll ([[ 1t[Spells-Level-2] ]])" xr:uid="{90D0E446-D6A9-4EF5-98D0-D9C0B529DC33}"/>
    <hyperlink ref="AY6" location="'All Spells'!F:J" display="Spellwrought Tattoo ([[ 1t[Spells-Level-1] ]])" xr:uid="{A6CC3125-423A-4642-AFCF-4C2D2BAB8B77}"/>
    <hyperlink ref="AY3" location="'All Spells'!F:J" display="Spell Scroll ([[ 1t[Spells-Level-1] ]])" xr:uid="{2AFAE86E-1865-473D-940F-E3219885A759}"/>
    <hyperlink ref="AY5" location="'All Spells'!A:E" display="Spellwrought Tattoo ([[ 1t[Spells-Cantrip] ]])" xr:uid="{94F57806-F6CC-4958-808C-E7271A11E266}"/>
    <hyperlink ref="AY2" location="'All Spells'!A:E" display="Spell Scroll ([[ 1t[Spells-Cantrip] ]])" xr:uid="{EA9657F2-BBD0-4328-8E04-FF49E2CC42E9}"/>
    <hyperlink ref="CH4" location="'Table A Common'!CM:CQ" display="Lantern of Tracking [[ 1t[Creature-Type-A] ]]" xr:uid="{E3C80156-E083-4800-917C-1B80F1956C9A}"/>
    <hyperlink ref="EA3" location="'Table A Common'!EK:EO" display="[[ 1t[Armblades-Martial] ]]" xr:uid="{039CA510-0442-470D-B513-8DEDF0925893}"/>
    <hyperlink ref="EA2" location="'Table A Common'!EF:EJ" display="[[ 1t[Armblades-Simple] ]]" xr:uid="{8D243C48-F776-4360-8CFC-887F82D39DA4}"/>
    <hyperlink ref="CR3" location="'Table A Common'!DG:DP" display="Imbued [[ 1t[Imbued-Wood] ]] ([[ 1t[Planar-Wood] ]])" xr:uid="{615C94BB-4FF6-4AF2-A28A-9E0F13A9BACC}"/>
    <hyperlink ref="CR2" location="'Table A Common'!CW:DF" display="[[ 1t[Orb-of-Shielding] ]] of Shielding ([[ 1t[Planar-Stone] ]])" xr:uid="{97C41299-53EA-5046-9FFC-0798B986F349}"/>
    <hyperlink ref="BI5" location="'Table A Common'!BS:BW" display="Smoldering [[ 1t[Smoldering-Armor] ]] Armor" xr:uid="{CDBC3B70-7443-9A4B-A598-BDC4CE12EC20}"/>
    <hyperlink ref="BI3" location="'Table A Common'!BN:BR" display="Cast-Off Armor ([[ 1t[Cast-Off-Armor] ]])" xr:uid="{0D3A72D3-133B-AC47-8EED-88F33679EC4A}"/>
    <hyperlink ref="U6" location="'Table A Common'!AJ:AN" display="Tankard of Plenty of [[ 1t[Alcohols-A] ]]" xr:uid="{1D5CF788-6704-3846-9B57-9DBB9C4D84B6}"/>
    <hyperlink ref="U5" location="'Table A Common'!AE:AI" display="Bottle of Boundless [[ 1t[Beverages-A] ]]" xr:uid="{64561F13-F32F-7342-94F6-2FE94BDEAEED}"/>
    <hyperlink ref="F9" location="'Table A Common'!AO:AS" display="[[ 1t[Items-A] ]]" xr:uid="{F4CD7309-050C-F342-A688-D6D7504A1713}"/>
    <hyperlink ref="F3" location="'Table A Common'!AY:BC" display="[[ 1t[Spells-A] ]]" xr:uid="{0CB6054B-BD58-F549-A02B-A33ABBACDA4D}"/>
    <hyperlink ref="P2" location="'Table A Common'!K:O" display="[[ 1t[Food-A] ]]" xr:uid="{7EC8BF82-F0C5-A440-A94D-DDF32745BA6A}"/>
    <hyperlink ref="F2" location="'Table A Common'!AT:AX" display="[[ 1t[Potions-A] ]]" xr:uid="{26BCC52A-962E-B742-9A2E-96CBE763BC1F}"/>
    <hyperlink ref="K3" location="'Supplemental Types'!AZ:BD" display="Walloping [[ 1t[Ammunition] ]]" xr:uid="{7AE2FD76-1BA4-F444-A293-748792AEA96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8340-C8FB-BC41-B64E-666539DFAE52}">
  <dimension ref="A1:AI31"/>
  <sheetViews>
    <sheetView topLeftCell="H1" workbookViewId="0">
      <selection activeCell="P32" sqref="P32"/>
    </sheetView>
  </sheetViews>
  <sheetFormatPr defaultColWidth="11.43359375" defaultRowHeight="18.75" x14ac:dyDescent="0.25"/>
  <cols>
    <col min="1" max="1" width="27.98046875" style="6" bestFit="1" customWidth="1"/>
    <col min="2" max="2" width="8.875" style="6" bestFit="1" customWidth="1"/>
    <col min="3" max="3" width="9.14453125" style="6" bestFit="1" customWidth="1"/>
    <col min="4" max="4" width="9.28125" style="6" bestFit="1" customWidth="1"/>
    <col min="5" max="5" width="80.0390625" style="15" bestFit="1" customWidth="1"/>
    <col min="6" max="6" width="36.9921875" style="6" bestFit="1" customWidth="1"/>
    <col min="7" max="7" width="8.875" style="6" bestFit="1" customWidth="1"/>
    <col min="8" max="8" width="9.14453125" style="6" bestFit="1" customWidth="1"/>
    <col min="9" max="9" width="7.80078125" style="6" bestFit="1" customWidth="1"/>
    <col min="10" max="10" width="83" style="15" bestFit="1" customWidth="1"/>
    <col min="11" max="11" width="19.234375" style="6" bestFit="1" customWidth="1"/>
    <col min="12" max="12" width="8.875" style="6" bestFit="1" customWidth="1"/>
    <col min="13" max="13" width="9.14453125" style="6" bestFit="1" customWidth="1"/>
    <col min="14" max="14" width="4.16796875" style="6" bestFit="1" customWidth="1"/>
    <col min="15" max="15" width="57.7109375" style="15" bestFit="1" customWidth="1"/>
    <col min="16" max="16" width="41.1640625" style="6" bestFit="1" customWidth="1"/>
    <col min="17" max="17" width="9.953125" style="6" bestFit="1" customWidth="1"/>
    <col min="18" max="18" width="9.14453125" style="6" bestFit="1" customWidth="1"/>
    <col min="19" max="19" width="9.28125" style="6" bestFit="1" customWidth="1"/>
    <col min="20" max="20" width="79.76953125" style="15" bestFit="1" customWidth="1"/>
    <col min="21" max="21" width="48.96484375" style="6" bestFit="1" customWidth="1"/>
    <col min="22" max="22" width="8.875" style="6" bestFit="1" customWidth="1"/>
    <col min="23" max="23" width="9.14453125" style="6" bestFit="1" customWidth="1"/>
    <col min="24" max="24" width="5.37890625" style="6" bestFit="1" customWidth="1"/>
    <col min="25" max="25" width="89.45703125" style="15" bestFit="1" customWidth="1"/>
    <col min="26" max="26" width="50.84765625" style="6" bestFit="1" customWidth="1"/>
    <col min="27" max="27" width="8.875" style="6" bestFit="1" customWidth="1"/>
    <col min="28" max="28" width="9.14453125" style="6" bestFit="1" customWidth="1"/>
    <col min="29" max="29" width="5.37890625" style="6" bestFit="1" customWidth="1"/>
    <col min="30" max="30" width="89.32421875" style="15" bestFit="1" customWidth="1"/>
    <col min="31" max="31" width="50.84765625" style="6" bestFit="1" customWidth="1"/>
    <col min="32" max="32" width="8.875" style="6" bestFit="1" customWidth="1"/>
    <col min="33" max="33" width="9.14453125" style="6" bestFit="1" customWidth="1"/>
    <col min="34" max="34" width="5.37890625" style="6" bestFit="1" customWidth="1"/>
    <col min="35" max="35" width="89.32421875" style="15" bestFit="1" customWidth="1"/>
    <col min="36" max="16384" width="11.43359375" style="6"/>
  </cols>
  <sheetData>
    <row r="1" spans="1:35" s="4" customFormat="1" x14ac:dyDescent="0.25">
      <c r="A1" s="4" t="s">
        <v>1</v>
      </c>
      <c r="B1" s="4" t="s">
        <v>1396</v>
      </c>
      <c r="C1" s="4" t="s">
        <v>9</v>
      </c>
      <c r="D1" s="4" t="str">
        <f>"d" &amp; SUM(C:C)</f>
        <v>d100</v>
      </c>
      <c r="E1" s="14" t="str">
        <f>"!import-table --" &amp; A1 &amp; " --show"</f>
        <v>!import-table --Magic-Item-Table-B --show</v>
      </c>
      <c r="F1" s="4" t="s">
        <v>1951</v>
      </c>
      <c r="G1" s="4" t="s">
        <v>1396</v>
      </c>
      <c r="H1" s="4" t="s">
        <v>9</v>
      </c>
      <c r="I1" s="4" t="str">
        <f>"d" &amp; SUM(H:H)</f>
        <v>d20</v>
      </c>
      <c r="J1" s="14" t="str">
        <f>"!import-table --" &amp; F1 &amp; " --show"</f>
        <v>!import-table --Consumables-B --show</v>
      </c>
      <c r="K1" s="4" t="s">
        <v>1487</v>
      </c>
      <c r="L1" s="4" t="s">
        <v>1396</v>
      </c>
      <c r="M1" s="4" t="s">
        <v>9</v>
      </c>
      <c r="N1" s="4" t="str">
        <f>"d" &amp; SUM(M:M)</f>
        <v>d4</v>
      </c>
      <c r="O1" s="12" t="str">
        <f>"!import-table --" &amp; K1 &amp; " --show"</f>
        <v>!import-table --Gems-B --show</v>
      </c>
      <c r="P1" s="4" t="s">
        <v>1142</v>
      </c>
      <c r="Q1" s="4" t="s">
        <v>1396</v>
      </c>
      <c r="R1" s="4" t="s">
        <v>9</v>
      </c>
      <c r="S1" s="4" t="str">
        <f>"d" &amp; SUM(R:R)</f>
        <v>d100</v>
      </c>
      <c r="T1" s="14" t="str">
        <f>"!import-table --" &amp; P1 &amp; " --show"</f>
        <v>!import-table --Items-B --show</v>
      </c>
      <c r="U1" s="4" t="s">
        <v>1143</v>
      </c>
      <c r="V1" s="4" t="s">
        <v>1396</v>
      </c>
      <c r="W1" s="4" t="s">
        <v>9</v>
      </c>
      <c r="X1" s="4" t="str">
        <f>"d" &amp; SUM(W:W)</f>
        <v>d12</v>
      </c>
      <c r="Y1" s="14" t="str">
        <f>"!import-table --" &amp; U1 &amp; " --show"</f>
        <v>!import-table --Potions-B --show</v>
      </c>
      <c r="Z1" s="4" t="s">
        <v>1128</v>
      </c>
      <c r="AA1" s="4" t="s">
        <v>1396</v>
      </c>
      <c r="AB1" s="4" t="s">
        <v>9</v>
      </c>
      <c r="AC1" s="4" t="str">
        <f>"d" &amp; SUM(AB:AB)</f>
        <v>d10</v>
      </c>
      <c r="AD1" s="14" t="str">
        <f>"!import-table --" &amp; Z1 &amp; " --show"</f>
        <v>!import-table --Spells-B --show</v>
      </c>
      <c r="AE1" s="4" t="s">
        <v>1884</v>
      </c>
      <c r="AF1" s="4" t="s">
        <v>1396</v>
      </c>
      <c r="AG1" s="4" t="s">
        <v>9</v>
      </c>
      <c r="AH1" s="4" t="str">
        <f>"d" &amp; SUM(AG:AG)</f>
        <v>d6</v>
      </c>
      <c r="AI1" s="14" t="str">
        <f>"!import-table --" &amp; AE1 &amp; " --show"</f>
        <v>!import-table --Ammunition-B --show</v>
      </c>
    </row>
    <row r="2" spans="1:35" x14ac:dyDescent="0.25">
      <c r="A2" s="26" t="s">
        <v>1886</v>
      </c>
      <c r="C2" s="6">
        <v>5</v>
      </c>
      <c r="D2" s="9" t="str">
        <f>IF(C2=0,"-",IF(C2=1,SUM(C$1:C1)+1,SUM(C$1:C1)+1 &amp; "-" &amp; SUM(C$1:C2)))</f>
        <v>1-5</v>
      </c>
      <c r="E2" s="15" t="str">
        <f>"!import-table-item --" &amp; A$1 &amp; " --" &amp; A2 &amp; " --" &amp; C2</f>
        <v>!import-table-item --Magic-Item-Table-B --[[ 1t[Ammunition-B] ]] --5</v>
      </c>
      <c r="F2" s="6" t="s">
        <v>27</v>
      </c>
      <c r="G2" s="6" t="s">
        <v>1397</v>
      </c>
      <c r="H2" s="6">
        <v>4</v>
      </c>
      <c r="I2" s="9" t="str">
        <f>IF(H2=0,"-",IF(H2=1,SUM(H$1:H1)+1,SUM(H$1:H1)+1 &amp; "-" &amp; SUM(H$1:H2)))</f>
        <v>1-4</v>
      </c>
      <c r="J2" s="15" t="str">
        <f t="shared" ref="J2:J11" si="0">"!import-table-item --" &amp; F$1 &amp; " --" &amp; F2 &amp; " --" &amp; H2</f>
        <v>!import-table-item --Consumables-B --Keoghtom's Ointment --4</v>
      </c>
      <c r="K2" s="6" t="s">
        <v>1489</v>
      </c>
      <c r="L2" s="6" t="s">
        <v>1397</v>
      </c>
      <c r="M2" s="6">
        <v>1</v>
      </c>
      <c r="N2" s="9">
        <f>IF(M2=0,"-",IF(M2=1,SUM(M$1:M1)+1,SUM(M$1:M1)+1 &amp; "-" &amp; SUM(M$1:M2)))</f>
        <v>1</v>
      </c>
      <c r="O2" s="15" t="str">
        <f>"!import-table-item --" &amp; K$1 &amp; " --" &amp; K2 &amp; " --" &amp; M2</f>
        <v>!import-table-item --Gems-B --Blue Sapphire --1</v>
      </c>
      <c r="P2" s="6" t="s">
        <v>1100</v>
      </c>
      <c r="Q2" s="6" t="s">
        <v>1398</v>
      </c>
      <c r="R2" s="6">
        <v>10</v>
      </c>
      <c r="S2" s="9" t="str">
        <f>IF(R2=0,"-",IF(R2=1,SUM(R$1:R1)+1,SUM(R$1:R1)+1 &amp; "-" &amp; SUM(R$1:R2)))</f>
        <v>1-10</v>
      </c>
      <c r="T2" s="15" t="str">
        <f t="shared" ref="T2:T31" si="1">"!import-table-item --" &amp; P$1 &amp; " --" &amp; P2 &amp; " --" &amp; R2</f>
        <v>!import-table-item --Items-B --Uncommon Glamerweave --10</v>
      </c>
      <c r="U2" s="6" t="s">
        <v>16</v>
      </c>
      <c r="V2" s="6" t="s">
        <v>1397</v>
      </c>
      <c r="W2" s="6">
        <v>3</v>
      </c>
      <c r="X2" s="9" t="str">
        <f>IF(W2=0,"-",IF(W2=1,SUM(W$1:W1)+1,SUM(W$1:W1)+1 &amp; "-" &amp; SUM(W$1:W2)))</f>
        <v>1-3</v>
      </c>
      <c r="Y2" s="15" t="str">
        <f t="shared" ref="Y2:Y9" si="2">"!import-table-item --" &amp; U$1 &amp; " --" &amp; U2 &amp; " --" &amp; W2</f>
        <v>!import-table-item --Potions-B --Potion of Greater Healing --3</v>
      </c>
      <c r="Z2" s="28" t="s">
        <v>391</v>
      </c>
      <c r="AA2" s="6" t="s">
        <v>1397</v>
      </c>
      <c r="AB2" s="6">
        <v>4</v>
      </c>
      <c r="AC2" s="9" t="str">
        <f>IF(AB2=0,"-",IF(AB2=1,SUM(AB$1:AB1)+1,SUM(AB$1:AB1)+1 &amp; "-" &amp; SUM(AB$1:AB2)))</f>
        <v>1-4</v>
      </c>
      <c r="AD2" s="15" t="str">
        <f>"!import-table-item --" &amp; Z$1 &amp; " --" &amp; Z2 &amp; " --" &amp; AB2</f>
        <v>!import-table-item --Spells-B --Spell Scroll ([[ 1t[Spells-Level-2] ]]) --4</v>
      </c>
      <c r="AE2" s="26" t="s">
        <v>1080</v>
      </c>
      <c r="AF2" s="6" t="s">
        <v>1397</v>
      </c>
      <c r="AG2" s="6">
        <v>3</v>
      </c>
      <c r="AH2" s="9" t="str">
        <f>IF(AG2=0,"-",IF(AG2=1,SUM(AG$1:AG1)+1,SUM(AG$1:AG1)+1 &amp; "-" &amp; SUM(AG$1:AG2)))</f>
        <v>1-3</v>
      </c>
      <c r="AI2" s="15" t="str">
        <f>"!import-table-item --" &amp; AE$1 &amp; " --" &amp; AE2 &amp; " --" &amp; AG2</f>
        <v>!import-table-item --Ammunition-B --[[ 1t[Ammunition] ]], +1 --3</v>
      </c>
    </row>
    <row r="3" spans="1:35" x14ac:dyDescent="0.25">
      <c r="A3" s="28" t="s">
        <v>1952</v>
      </c>
      <c r="C3" s="6">
        <v>15</v>
      </c>
      <c r="D3" s="9" t="str">
        <f>IF(C3=0,"-",IF(C3=1,SUM(C$1:C2)+1,SUM(C$1:C2)+1 &amp; "-" &amp; SUM(C$1:C3)))</f>
        <v>6-20</v>
      </c>
      <c r="E3" s="15" t="str">
        <f>"!import-table-item --" &amp; A$1 &amp; " --" &amp; A3 &amp; " --" &amp; C3</f>
        <v>!import-table-item --Magic-Item-Table-B --[[ 1t[Consumables-B] ]] --15</v>
      </c>
      <c r="F3" s="26" t="s">
        <v>1488</v>
      </c>
      <c r="G3" s="6" t="s">
        <v>1397</v>
      </c>
      <c r="H3" s="6">
        <v>3</v>
      </c>
      <c r="I3" s="9" t="str">
        <f>IF(H3=0,"-",IF(H3=1,SUM(H$1:H2)+1,SUM(H$1:H2)+1 &amp; "-" &amp; SUM(H$1:H3)))</f>
        <v>5-7</v>
      </c>
      <c r="J3" s="15" t="str">
        <f t="shared" si="0"/>
        <v>!import-table-item --Consumables-B --Elemental Gem, [[ 1t[Gems-B] ]] --3</v>
      </c>
      <c r="K3" s="9" t="s">
        <v>1490</v>
      </c>
      <c r="L3" s="6" t="s">
        <v>1397</v>
      </c>
      <c r="M3" s="6">
        <v>1</v>
      </c>
      <c r="N3" s="9">
        <f>IF(M3=0,"-",IF(M3=1,SUM(M$1:M2)+1,SUM(M$1:M2)+1 &amp; "-" &amp; SUM(M$1:M3)))</f>
        <v>2</v>
      </c>
      <c r="O3" s="15" t="str">
        <f>"!import-table-item --" &amp; K$1 &amp; " --" &amp; K3 &amp; " --" &amp; M3</f>
        <v>!import-table-item --Gems-B --Emerald --1</v>
      </c>
      <c r="P3" s="6" t="s">
        <v>17</v>
      </c>
      <c r="Q3" s="6" t="s">
        <v>1397</v>
      </c>
      <c r="R3" s="6">
        <v>6</v>
      </c>
      <c r="S3" s="9" t="str">
        <f>IF(R3=0,"-",IF(R3=1,SUM(R$1:R2)+1,SUM(R$1:R2)+1 &amp; "-" &amp; SUM(R$1:R3)))</f>
        <v>11-16</v>
      </c>
      <c r="T3" s="15" t="str">
        <f t="shared" si="1"/>
        <v>!import-table-item --Items-B --Bag of Holding --6</v>
      </c>
      <c r="U3" s="29" t="s">
        <v>1762</v>
      </c>
      <c r="V3" s="6" t="s">
        <v>1397</v>
      </c>
      <c r="W3" s="9">
        <v>2</v>
      </c>
      <c r="X3" s="9" t="str">
        <f>IF(W3=0,"-",IF(W3=1,SUM(W$1:W2)+1,SUM(W$1:W2)+1 &amp; "-" &amp; SUM(W$1:W3)))</f>
        <v>4-5</v>
      </c>
      <c r="Y3" s="15" t="str">
        <f t="shared" si="2"/>
        <v>!import-table-item --Potions-B --Potion of [[ 1t[MM-Breath] ]] Breath --2</v>
      </c>
      <c r="Z3" s="28" t="s">
        <v>392</v>
      </c>
      <c r="AA3" s="6" t="s">
        <v>1397</v>
      </c>
      <c r="AB3" s="6">
        <v>4</v>
      </c>
      <c r="AC3" s="9" t="str">
        <f>IF(AB3=0,"-",IF(AB3=1,SUM(AB$1:AB2)+1,SUM(AB$1:AB2)+1 &amp; "-" &amp; SUM(AB$1:AB3)))</f>
        <v>5-8</v>
      </c>
      <c r="AD3" s="15" t="str">
        <f t="shared" ref="AD3" si="3">"!import-table-item --" &amp; Z$1 &amp; " --" &amp; Z3 &amp; " --" &amp; AB3</f>
        <v>!import-table-item --Spells-B --Spell Scroll ([[ 1t[Spells-Level-3] ]]) --4</v>
      </c>
      <c r="AE3" s="28" t="s">
        <v>1885</v>
      </c>
      <c r="AF3" s="6" t="s">
        <v>1875</v>
      </c>
      <c r="AG3" s="6">
        <v>1</v>
      </c>
      <c r="AH3" s="9">
        <f>IF(AG3=0,"-",IF(AG3=1,SUM(AG$1:AG2)+1,SUM(AG$1:AG2)+1 &amp; "-" &amp; SUM(AG$1:AG3)))</f>
        <v>4</v>
      </c>
      <c r="AI3" s="15" t="str">
        <f>"!import-table-item --" &amp; AE$1 &amp; " --" &amp; AE3 &amp; " --" &amp; AG3</f>
        <v>!import-table-item --Ammunition-B --Dried Leech [[ 1t[Ammunition] ]] --1</v>
      </c>
    </row>
    <row r="4" spans="1:35" x14ac:dyDescent="0.25">
      <c r="A4" s="28" t="s">
        <v>1145</v>
      </c>
      <c r="C4" s="6">
        <v>20</v>
      </c>
      <c r="D4" s="9" t="str">
        <f>IF(C4=0,"-",IF(C4=1,SUM(C$1:C3)+1,SUM(C$1:C3)+1 &amp; "-" &amp; SUM(C$1:C4)))</f>
        <v>21-40</v>
      </c>
      <c r="E4" s="15" t="str">
        <f>"!import-table-item --" &amp; A$1 &amp; " --" &amp; A4 &amp; " --" &amp; C4</f>
        <v>!import-table-item --Magic-Item-Table-B --[[ 1t[Items-B] ]] --20</v>
      </c>
      <c r="F4" s="6" t="s">
        <v>28</v>
      </c>
      <c r="G4" s="6" t="s">
        <v>1397</v>
      </c>
      <c r="H4" s="6">
        <v>3</v>
      </c>
      <c r="I4" s="9" t="str">
        <f>IF(H4=0,"-",IF(H4=1,SUM(H$1:H3)+1,SUM(H$1:H3)+1 &amp; "-" &amp; SUM(H$1:H4)))</f>
        <v>8-10</v>
      </c>
      <c r="J4" s="15" t="str">
        <f t="shared" si="0"/>
        <v>!import-table-item --Consumables-B --Oil of Slipperiness --3</v>
      </c>
      <c r="K4" s="6" t="s">
        <v>1491</v>
      </c>
      <c r="L4" s="6" t="s">
        <v>1397</v>
      </c>
      <c r="M4" s="6">
        <v>1</v>
      </c>
      <c r="N4" s="9">
        <f>IF(M4=0,"-",IF(M4=1,SUM(M$1:M3)+1,SUM(M$1:M3)+1 &amp; "-" &amp; SUM(M$1:M4)))</f>
        <v>3</v>
      </c>
      <c r="O4" s="15" t="str">
        <f>"!import-table-item --" &amp; K$1 &amp; " --" &amp; K4 &amp; " --" &amp; M4</f>
        <v>!import-table-item --Gems-B --Red Corundum --1</v>
      </c>
      <c r="P4" s="6" t="s">
        <v>1872</v>
      </c>
      <c r="Q4" s="6" t="s">
        <v>1853</v>
      </c>
      <c r="R4" s="6">
        <v>6</v>
      </c>
      <c r="S4" s="9" t="str">
        <f>IF(R4=0,"-",IF(R4=1,SUM(R$1:R3)+1,SUM(R$1:R3)+1 &amp; "-" &amp; SUM(R$1:R4)))</f>
        <v>17-22</v>
      </c>
      <c r="T4" s="15" t="str">
        <f t="shared" si="1"/>
        <v>!import-table-item --Items-B --Gloves of Storing --6</v>
      </c>
      <c r="U4" s="28" t="s">
        <v>415</v>
      </c>
      <c r="V4" s="6" t="s">
        <v>1397</v>
      </c>
      <c r="W4" s="6">
        <v>2</v>
      </c>
      <c r="X4" s="9" t="str">
        <f>IF(W4=0,"-",IF(W4=1,SUM(W$1:W3)+1,SUM(W$1:W3)+1 &amp; "-" &amp; SUM(W$1:W4)))</f>
        <v>6-7</v>
      </c>
      <c r="Y4" s="15" t="str">
        <f t="shared" si="2"/>
        <v>!import-table-item --Potions-B --Potion of [[ 1t[Damage-Type] ]] Resistance --2</v>
      </c>
      <c r="Z4" s="28" t="s">
        <v>1133</v>
      </c>
      <c r="AA4" s="6" t="s">
        <v>1402</v>
      </c>
      <c r="AB4" s="6">
        <v>1</v>
      </c>
      <c r="AC4" s="9">
        <f>IF(AB4=0,"-",IF(AB4=1,SUM(AB$1:AB3)+1,SUM(AB$1:AB3)+1 &amp; "-" &amp; SUM(AB$1:AB4)))</f>
        <v>9</v>
      </c>
      <c r="AD4" s="15" t="str">
        <f t="shared" ref="AD4:AD5" si="4">"!import-table-item --" &amp; Z$1 &amp; " --" &amp; Z4 &amp; " --" &amp; AB4</f>
        <v>!import-table-item --Spells-B --Spellwrought Tattoo ([[ 1t[Spells-Level-2] ]]) --1</v>
      </c>
      <c r="AE4" s="24" t="s">
        <v>1893</v>
      </c>
      <c r="AF4" s="6" t="s">
        <v>1875</v>
      </c>
      <c r="AG4" s="6">
        <v>2</v>
      </c>
      <c r="AH4" s="9" t="str">
        <f>IF(AG4=0,"-",IF(AG4=1,SUM(AG$1:AG3)+1,SUM(AG$1:AG3)+1 &amp; "-" &amp; SUM(AG$1:AG4)))</f>
        <v>5-6</v>
      </c>
      <c r="AI4" s="15" t="str">
        <f>"!import-table-item --" &amp; AE$1 &amp; " --" &amp; AE4 &amp; " --" &amp; AG4</f>
        <v>!import-table-item --Ammunition-B --Winged [[ 1t[Ammunition] ]] --2</v>
      </c>
    </row>
    <row r="5" spans="1:35" x14ac:dyDescent="0.25">
      <c r="A5" s="28" t="s">
        <v>1144</v>
      </c>
      <c r="C5" s="6">
        <v>50</v>
      </c>
      <c r="D5" s="9" t="str">
        <f>IF(C5=0,"-",IF(C5=1,SUM(C$1:C4)+1,SUM(C$1:C4)+1 &amp; "-" &amp; SUM(C$1:C5)))</f>
        <v>41-90</v>
      </c>
      <c r="E5" s="15" t="str">
        <f>"!import-table-item --" &amp; A$1 &amp; " --" &amp; A5 &amp; " --" &amp; C5</f>
        <v>!import-table-item --Magic-Item-Table-B --[[ 1t[Potions-B] ]] --50</v>
      </c>
      <c r="F5" s="6" t="s">
        <v>1124</v>
      </c>
      <c r="G5" s="6" t="s">
        <v>1409</v>
      </c>
      <c r="H5" s="6">
        <v>2</v>
      </c>
      <c r="I5" s="9" t="str">
        <f>IF(H5=0,"-",IF(H5=1,SUM(H$1:H4)+1,SUM(H$1:H4)+1 &amp; "-" &amp; SUM(H$1:H5)))</f>
        <v>11-12</v>
      </c>
      <c r="J5" s="15" t="str">
        <f t="shared" si="0"/>
        <v>!import-table-item --Consumables-B --Dust of Deliciousness --2</v>
      </c>
      <c r="K5" s="6" t="s">
        <v>1492</v>
      </c>
      <c r="L5" s="6" t="s">
        <v>1397</v>
      </c>
      <c r="M5" s="6">
        <v>1</v>
      </c>
      <c r="N5" s="9">
        <f>IF(M5=0,"-",IF(M5=1,SUM(M$1:M4)+1,SUM(M$1:M4)+1 &amp; "-" &amp; SUM(M$1:M5)))</f>
        <v>4</v>
      </c>
      <c r="O5" s="15" t="str">
        <f>"!import-table-item --" &amp; K$1 &amp; " --" &amp; K5 &amp; " --" &amp; M5</f>
        <v>!import-table-item --Gems-B --Yellow Diamond --1</v>
      </c>
      <c r="P5" s="28" t="s">
        <v>1111</v>
      </c>
      <c r="Q5" s="6" t="s">
        <v>1397</v>
      </c>
      <c r="R5" s="6">
        <v>6</v>
      </c>
      <c r="S5" s="9" t="str">
        <f>IF(R5=0,"-",IF(R5=1,SUM(R$1:R4)+1,SUM(R$1:R4)+1 &amp; "-" &amp; SUM(R$1:R5)))</f>
        <v>23-28</v>
      </c>
      <c r="T5" s="15" t="str">
        <f t="shared" si="1"/>
        <v>!import-table-item --Items-B --Mithral [[ 1t[Metal-Armor] ]] --6</v>
      </c>
      <c r="U5" s="6" t="s">
        <v>22</v>
      </c>
      <c r="V5" s="6" t="s">
        <v>1397</v>
      </c>
      <c r="W5" s="6">
        <v>1</v>
      </c>
      <c r="X5" s="9">
        <f>IF(W5=0,"-",IF(W5=1,SUM(W$1:W4)+1,SUM(W$1:W4)+1 &amp; "-" &amp; SUM(W$1:W5)))</f>
        <v>8</v>
      </c>
      <c r="Y5" s="15" t="str">
        <f t="shared" si="2"/>
        <v>!import-table-item --Potions-B --Potion of Animal Friendship --1</v>
      </c>
      <c r="Z5" s="28" t="s">
        <v>1134</v>
      </c>
      <c r="AA5" s="6" t="s">
        <v>1402</v>
      </c>
      <c r="AB5" s="6">
        <v>1</v>
      </c>
      <c r="AC5" s="9">
        <f>IF(AB5=0,"-",IF(AB5=1,SUM(AB$1:AB4)+1,SUM(AB$1:AB4)+1 &amp; "-" &amp; SUM(AB$1:AB5)))</f>
        <v>10</v>
      </c>
      <c r="AD5" s="15" t="str">
        <f t="shared" si="4"/>
        <v>!import-table-item --Spells-B --Spellwrought Tattoo ([[ 1t[Spells-Level-3] ]]) --1</v>
      </c>
      <c r="AH5" s="9"/>
    </row>
    <row r="6" spans="1:35" x14ac:dyDescent="0.25">
      <c r="A6" s="28" t="s">
        <v>1141</v>
      </c>
      <c r="C6" s="6">
        <v>10</v>
      </c>
      <c r="D6" s="9" t="str">
        <f>IF(C6=0,"-",IF(C6=1,SUM(C$1:C5)+1,SUM(C$1:C5)+1 &amp; "-" &amp; SUM(C$1:C6)))</f>
        <v>91-100</v>
      </c>
      <c r="E6" s="15" t="str">
        <f>"!import-table-item --" &amp; A$1 &amp; " --" &amp; A6 &amp; " --" &amp; C6</f>
        <v>!import-table-item --Magic-Item-Table-B --[[ 1t[Spells-B] ]] --10</v>
      </c>
      <c r="F6" s="6" t="s">
        <v>29</v>
      </c>
      <c r="G6" s="6" t="s">
        <v>1397</v>
      </c>
      <c r="H6" s="6">
        <v>2</v>
      </c>
      <c r="I6" s="9" t="str">
        <f>IF(H6=0,"-",IF(H6=1,SUM(H$1:H5)+1,SUM(H$1:H5)+1 &amp; "-" &amp; SUM(H$1:H6)))</f>
        <v>13-14</v>
      </c>
      <c r="J6" s="15" t="str">
        <f t="shared" si="0"/>
        <v>!import-table-item --Consumables-B --Dust of Disappearance --2</v>
      </c>
      <c r="N6" s="9"/>
      <c r="P6" s="6" t="s">
        <v>1148</v>
      </c>
      <c r="Q6" s="6" t="s">
        <v>1423</v>
      </c>
      <c r="R6" s="6">
        <v>3</v>
      </c>
      <c r="S6" s="9" t="str">
        <f>IF(R6=0,"-",IF(R6=1,SUM(R$1:R5)+1,SUM(R$1:R5)+1 &amp; "-" &amp; SUM(R$1:R6)))</f>
        <v>29-31</v>
      </c>
      <c r="T6" s="15" t="str">
        <f t="shared" si="1"/>
        <v>!import-table-item --Items-B --Balloon Pack --3</v>
      </c>
      <c r="U6" s="6" t="s">
        <v>23</v>
      </c>
      <c r="V6" s="6" t="s">
        <v>1397</v>
      </c>
      <c r="W6" s="6">
        <v>1</v>
      </c>
      <c r="X6" s="9">
        <f>IF(W6=0,"-",IF(W6=1,SUM(W$1:W5)+1,SUM(W$1:W5)+1 &amp; "-" &amp; SUM(W$1:W6)))</f>
        <v>9</v>
      </c>
      <c r="Y6" s="15" t="str">
        <f t="shared" si="2"/>
        <v>!import-table-item --Potions-B --Potion of Hill Giant Strength --1</v>
      </c>
      <c r="AC6" s="9"/>
      <c r="AH6" s="9"/>
    </row>
    <row r="7" spans="1:35" x14ac:dyDescent="0.25">
      <c r="F7" s="6" t="s">
        <v>1163</v>
      </c>
      <c r="G7" s="6" t="s">
        <v>1414</v>
      </c>
      <c r="H7" s="6">
        <v>2</v>
      </c>
      <c r="I7" s="9" t="str">
        <f>IF(H7=0,"-",IF(H7=1,SUM(H$1:H6)+1,SUM(H$1:H6)+1 &amp; "-" &amp; SUM(H$1:H7)))</f>
        <v>15-16</v>
      </c>
      <c r="J7" s="15" t="str">
        <f t="shared" si="0"/>
        <v>!import-table-item --Consumables-B --Pixie Dust --2</v>
      </c>
      <c r="N7" s="9"/>
      <c r="P7" s="6" t="s">
        <v>35</v>
      </c>
      <c r="Q7" s="6" t="s">
        <v>1397</v>
      </c>
      <c r="R7" s="6">
        <v>3</v>
      </c>
      <c r="S7" s="9" t="str">
        <f>IF(R7=0,"-",IF(R7=1,SUM(R$1:R6)+1,SUM(R$1:R6)+1 &amp; "-" &amp; SUM(R$1:R7)))</f>
        <v>32-34</v>
      </c>
      <c r="T7" s="15" t="str">
        <f t="shared" si="1"/>
        <v>!import-table-item --Items-B --Cap of Water Breathing --3</v>
      </c>
      <c r="U7" s="6" t="s">
        <v>24</v>
      </c>
      <c r="V7" s="6" t="s">
        <v>1397</v>
      </c>
      <c r="W7" s="6">
        <v>1</v>
      </c>
      <c r="X7" s="9">
        <f>IF(W7=0,"-",IF(W7=1,SUM(W$1:W6)+1,SUM(W$1:W6)+1 &amp; "-" &amp; SUM(W$1:W7)))</f>
        <v>10</v>
      </c>
      <c r="Y7" s="15" t="str">
        <f t="shared" si="2"/>
        <v>!import-table-item --Potions-B --Potion of Growth --1</v>
      </c>
      <c r="AC7" s="9"/>
      <c r="AH7" s="9"/>
    </row>
    <row r="8" spans="1:35" x14ac:dyDescent="0.25">
      <c r="F8" s="6" t="s">
        <v>1147</v>
      </c>
      <c r="G8" s="6" t="s">
        <v>1486</v>
      </c>
      <c r="H8" s="6">
        <v>1</v>
      </c>
      <c r="I8" s="9">
        <f>IF(H8=0,"-",IF(H8=1,SUM(H$1:H7)+1,SUM(H$1:H7)+1 &amp; "-" &amp; SUM(H$1:H8)))</f>
        <v>17</v>
      </c>
      <c r="J8" s="15" t="str">
        <f t="shared" si="0"/>
        <v>!import-table-item --Consumables-B --Bottled Breath --1</v>
      </c>
      <c r="N8" s="9"/>
      <c r="P8" s="6" t="s">
        <v>36</v>
      </c>
      <c r="Q8" s="6" t="s">
        <v>1397</v>
      </c>
      <c r="R8" s="6">
        <v>3</v>
      </c>
      <c r="S8" s="9" t="str">
        <f>IF(R8=0,"-",IF(R8=1,SUM(R$1:R7)+1,SUM(R$1:R7)+1 &amp; "-" &amp; SUM(R$1:R8)))</f>
        <v>35-37</v>
      </c>
      <c r="T8" s="15" t="str">
        <f t="shared" si="1"/>
        <v>!import-table-item --Items-B --Cloak of the Manta Ray --3</v>
      </c>
      <c r="U8" s="6" t="s">
        <v>25</v>
      </c>
      <c r="V8" s="6" t="s">
        <v>1397</v>
      </c>
      <c r="W8" s="6">
        <v>1</v>
      </c>
      <c r="X8" s="9">
        <f>IF(W8=0,"-",IF(W8=1,SUM(W$1:W7)+1,SUM(W$1:W7)+1 &amp; "-" &amp; SUM(W$1:W8)))</f>
        <v>11</v>
      </c>
      <c r="Y8" s="15" t="str">
        <f t="shared" si="2"/>
        <v>!import-table-item --Potions-B --Potion of Water Breathing --1</v>
      </c>
      <c r="AC8" s="9"/>
      <c r="AH8" s="9"/>
    </row>
    <row r="9" spans="1:35" x14ac:dyDescent="0.25">
      <c r="F9" s="6" t="s">
        <v>1122</v>
      </c>
      <c r="G9" s="6" t="s">
        <v>1414</v>
      </c>
      <c r="H9" s="6">
        <v>1</v>
      </c>
      <c r="I9" s="9">
        <f>IF(H9=0,"-",IF(H9=1,SUM(H$1:H8)+1,SUM(H$1:H8)+1 &amp; "-" &amp; SUM(H$1:H9)))</f>
        <v>18</v>
      </c>
      <c r="J9" s="15" t="str">
        <f t="shared" si="0"/>
        <v>!import-table-item --Consumables-B --Dust of Corrosion --1</v>
      </c>
      <c r="N9" s="9"/>
      <c r="P9" s="6" t="s">
        <v>1162</v>
      </c>
      <c r="Q9" s="6" t="s">
        <v>1679</v>
      </c>
      <c r="R9" s="6">
        <v>3</v>
      </c>
      <c r="S9" s="9" t="str">
        <f>IF(R9=0,"-",IF(R9=1,SUM(R$1:R8)+1,SUM(R$1:R8)+1 &amp; "-" &amp; SUM(R$1:R9)))</f>
        <v>38-40</v>
      </c>
      <c r="T9" s="15" t="str">
        <f t="shared" si="1"/>
        <v>!import-table-item --Items-B --Echo Stone --3</v>
      </c>
      <c r="U9" s="6" t="s">
        <v>1164</v>
      </c>
      <c r="V9" s="6" t="s">
        <v>1414</v>
      </c>
      <c r="W9" s="6">
        <v>1</v>
      </c>
      <c r="X9" s="9">
        <f>IF(W9=0,"-",IF(W9=1,SUM(W$1:W8)+1,SUM(W$1:W8)+1 &amp; "-" &amp; SUM(W$1:W9)))</f>
        <v>12</v>
      </c>
      <c r="Y9" s="15" t="str">
        <f t="shared" si="2"/>
        <v>!import-table-item --Potions-B --Potion of Advantage --1</v>
      </c>
      <c r="AC9" s="9"/>
      <c r="AH9" s="9"/>
    </row>
    <row r="10" spans="1:35" x14ac:dyDescent="0.25">
      <c r="F10" s="6" t="s">
        <v>30</v>
      </c>
      <c r="G10" s="6" t="s">
        <v>1397</v>
      </c>
      <c r="H10" s="6">
        <v>1</v>
      </c>
      <c r="I10" s="9">
        <f>IF(H10=0,"-",IF(H10=1,SUM(H$1:H9)+1,SUM(H$1:H9)+1 &amp; "-" &amp; SUM(H$1:H10)))</f>
        <v>19</v>
      </c>
      <c r="J10" s="15" t="str">
        <f t="shared" si="0"/>
        <v>!import-table-item --Consumables-B --Dust of Dryness --1</v>
      </c>
      <c r="N10" s="9"/>
      <c r="P10" s="6" t="s">
        <v>1154</v>
      </c>
      <c r="Q10" s="6" t="s">
        <v>1403</v>
      </c>
      <c r="R10" s="6">
        <v>3</v>
      </c>
      <c r="S10" s="9" t="str">
        <f>IF(R10=0,"-",IF(R10=1,SUM(R$1:R9)+1,SUM(R$1:R9)+1 &amp; "-" &amp; SUM(R$1:R10)))</f>
        <v>41-43</v>
      </c>
      <c r="T10" s="15" t="str">
        <f t="shared" si="1"/>
        <v>!import-table-item --Items-B --Emerald Pen --3</v>
      </c>
      <c r="X10" s="9"/>
      <c r="AC10" s="9"/>
      <c r="AH10" s="9"/>
    </row>
    <row r="11" spans="1:35" x14ac:dyDescent="0.25">
      <c r="F11" s="6" t="s">
        <v>33</v>
      </c>
      <c r="G11" s="6" t="s">
        <v>1397</v>
      </c>
      <c r="H11" s="6">
        <v>1</v>
      </c>
      <c r="I11" s="9">
        <f>IF(H11=0,"-",IF(H11=1,SUM(H$1:H10)+1,SUM(H$1:H10)+1 &amp; "-" &amp; SUM(H$1:H11)))</f>
        <v>20</v>
      </c>
      <c r="J11" s="15" t="str">
        <f t="shared" si="0"/>
        <v>!import-table-item --Consumables-B --Philter of Love --1</v>
      </c>
      <c r="N11" s="9"/>
      <c r="P11" s="6" t="s">
        <v>37</v>
      </c>
      <c r="Q11" s="6" t="s">
        <v>1397</v>
      </c>
      <c r="R11" s="6">
        <v>3</v>
      </c>
      <c r="S11" s="9" t="str">
        <f>IF(R11=0,"-",IF(R11=1,SUM(R$1:R10)+1,SUM(R$1:R10)+1 &amp; "-" &amp; SUM(R$1:R11)))</f>
        <v>44-46</v>
      </c>
      <c r="T11" s="15" t="str">
        <f t="shared" si="1"/>
        <v>!import-table-item --Items-B --Goggles of Night --3</v>
      </c>
      <c r="X11" s="9"/>
      <c r="AC11" s="9"/>
      <c r="AH11" s="9"/>
    </row>
    <row r="12" spans="1:35" x14ac:dyDescent="0.25">
      <c r="I12" s="9"/>
      <c r="N12" s="9"/>
      <c r="P12" s="6" t="s">
        <v>38</v>
      </c>
      <c r="Q12" s="6" t="s">
        <v>1397</v>
      </c>
      <c r="R12" s="6">
        <v>3</v>
      </c>
      <c r="S12" s="9" t="str">
        <f>IF(R12=0,"-",IF(R12=1,SUM(R$1:R11)+1,SUM(R$1:R11)+1 &amp; "-" &amp; SUM(R$1:R12)))</f>
        <v>47-49</v>
      </c>
      <c r="T12" s="15" t="str">
        <f t="shared" si="1"/>
        <v>!import-table-item --Items-B --Helm of Comprehending Languages --3</v>
      </c>
      <c r="X12" s="9"/>
      <c r="AC12" s="9"/>
      <c r="AH12" s="9"/>
    </row>
    <row r="13" spans="1:35" x14ac:dyDescent="0.25">
      <c r="I13" s="9"/>
      <c r="N13" s="9"/>
      <c r="P13" s="6" t="s">
        <v>1888</v>
      </c>
      <c r="Q13" s="6" t="s">
        <v>1875</v>
      </c>
      <c r="R13" s="6">
        <v>3</v>
      </c>
      <c r="S13" s="9" t="str">
        <f>IF(R13=0,"-",IF(R13=1,SUM(R$1:R12)+1,SUM(R$1:R12)+1 &amp; "-" &amp; SUM(R$1:R13)))</f>
        <v>50-52</v>
      </c>
      <c r="T13" s="15" t="str">
        <f t="shared" si="1"/>
        <v>!import-table-item --Items-B --House of Cards --3</v>
      </c>
      <c r="X13" s="9"/>
      <c r="AC13" s="9"/>
      <c r="AH13" s="9"/>
    </row>
    <row r="14" spans="1:35" x14ac:dyDescent="0.25">
      <c r="I14" s="9"/>
      <c r="N14" s="9"/>
      <c r="P14" s="6" t="s">
        <v>39</v>
      </c>
      <c r="Q14" s="6" t="s">
        <v>1397</v>
      </c>
      <c r="R14" s="6">
        <v>3</v>
      </c>
      <c r="S14" s="9" t="str">
        <f>IF(R14=0,"-",IF(R14=1,SUM(R$1:R13)+1,SUM(R$1:R13)+1 &amp; "-" &amp; SUM(R$1:R14)))</f>
        <v>53-55</v>
      </c>
      <c r="T14" s="15" t="str">
        <f t="shared" si="1"/>
        <v>!import-table-item --Items-B --Immovable Rod --3</v>
      </c>
      <c r="X14" s="9"/>
      <c r="AC14" s="9"/>
      <c r="AH14" s="9"/>
    </row>
    <row r="15" spans="1:35" x14ac:dyDescent="0.25">
      <c r="I15" s="9"/>
      <c r="N15" s="9"/>
      <c r="P15" s="6" t="s">
        <v>40</v>
      </c>
      <c r="Q15" s="6" t="s">
        <v>1397</v>
      </c>
      <c r="R15" s="6">
        <v>3</v>
      </c>
      <c r="S15" s="9" t="str">
        <f>IF(R15=0,"-",IF(R15=1,SUM(R$1:R14)+1,SUM(R$1:R14)+1 &amp; "-" &amp; SUM(R$1:R15)))</f>
        <v>56-58</v>
      </c>
      <c r="T15" s="15" t="str">
        <f t="shared" si="1"/>
        <v>!import-table-item --Items-B --Lantern of Revealing --3</v>
      </c>
      <c r="X15" s="9"/>
      <c r="AC15" s="9"/>
      <c r="AH15" s="9"/>
    </row>
    <row r="16" spans="1:35" x14ac:dyDescent="0.25">
      <c r="I16" s="9"/>
      <c r="N16" s="9"/>
      <c r="P16" s="6" t="s">
        <v>2020</v>
      </c>
      <c r="Q16" s="6" t="s">
        <v>1397</v>
      </c>
      <c r="R16" s="6">
        <v>3</v>
      </c>
      <c r="S16" s="9" t="str">
        <f>IF(R16=0,"-",IF(R16=1,SUM(R$1:R15)+1,SUM(R$1:R15)+1 &amp; "-" &amp; SUM(R$1:R16)))</f>
        <v>59-61</v>
      </c>
      <c r="T16" s="15" t="str">
        <f t="shared" si="1"/>
        <v>!import-table-item --Items-B --Mariner's [[ 1t[Armor] ]] --3</v>
      </c>
      <c r="X16" s="9"/>
      <c r="AC16" s="9"/>
      <c r="AH16" s="9"/>
    </row>
    <row r="17" spans="9:34" x14ac:dyDescent="0.25">
      <c r="I17" s="9"/>
      <c r="N17" s="9"/>
      <c r="P17" s="6" t="s">
        <v>1165</v>
      </c>
      <c r="Q17" s="6" t="s">
        <v>1411</v>
      </c>
      <c r="R17" s="6">
        <v>3</v>
      </c>
      <c r="S17" s="9" t="str">
        <f>IF(R17=0,"-",IF(R17=1,SUM(R$1:R16)+1,SUM(R$1:R16)+1 &amp; "-" &amp; SUM(R$1:R17)))</f>
        <v>62-64</v>
      </c>
      <c r="T17" s="15" t="str">
        <f t="shared" si="1"/>
        <v>!import-table-item --Items-B --Propeller Helm --3</v>
      </c>
      <c r="X17" s="9"/>
      <c r="AC17" s="9"/>
      <c r="AH17" s="9"/>
    </row>
    <row r="18" spans="9:34" x14ac:dyDescent="0.25">
      <c r="I18" s="9"/>
      <c r="N18" s="9"/>
      <c r="P18" s="6" t="s">
        <v>44</v>
      </c>
      <c r="Q18" s="6" t="s">
        <v>1397</v>
      </c>
      <c r="R18" s="6">
        <v>3</v>
      </c>
      <c r="S18" s="9" t="str">
        <f>IF(R18=0,"-",IF(R18=1,SUM(R$1:R17)+1,SUM(R$1:R17)+1 &amp; "-" &amp; SUM(R$1:R18)))</f>
        <v>65-67</v>
      </c>
      <c r="T18" s="15" t="str">
        <f t="shared" si="1"/>
        <v>!import-table-item --Items-B --Ring of Swimming --3</v>
      </c>
      <c r="X18" s="9"/>
      <c r="AC18" s="9"/>
      <c r="AH18" s="9"/>
    </row>
    <row r="19" spans="9:34" x14ac:dyDescent="0.25">
      <c r="I19" s="9"/>
      <c r="N19" s="9"/>
      <c r="P19" s="6" t="s">
        <v>1140</v>
      </c>
      <c r="Q19" s="6" t="s">
        <v>1397</v>
      </c>
      <c r="R19" s="6">
        <v>3</v>
      </c>
      <c r="S19" s="9" t="str">
        <f>IF(R19=0,"-",IF(R19=1,SUM(R$1:R18)+1,SUM(R$1:R18)+1 &amp; "-" &amp; SUM(R$1:R19)))</f>
        <v>68-70</v>
      </c>
      <c r="T19" s="15" t="str">
        <f t="shared" si="1"/>
        <v>!import-table-item --Items-B --Robe of Serpents --3</v>
      </c>
      <c r="X19" s="9"/>
      <c r="AC19" s="9"/>
      <c r="AH19" s="9"/>
    </row>
    <row r="20" spans="9:34" x14ac:dyDescent="0.25">
      <c r="I20" s="9"/>
      <c r="N20" s="9"/>
      <c r="P20" s="6" t="s">
        <v>45</v>
      </c>
      <c r="Q20" s="6" t="s">
        <v>1397</v>
      </c>
      <c r="R20" s="6">
        <v>3</v>
      </c>
      <c r="S20" s="9" t="str">
        <f>IF(R20=0,"-",IF(R20=1,SUM(R$1:R19)+1,SUM(R$1:R19)+1 &amp; "-" &amp; SUM(R$1:R20)))</f>
        <v>71-73</v>
      </c>
      <c r="T20" s="15" t="str">
        <f t="shared" si="1"/>
        <v>!import-table-item --Items-B --Robe of Useful Items --3</v>
      </c>
      <c r="X20" s="9"/>
      <c r="AC20" s="9"/>
      <c r="AH20" s="9"/>
    </row>
    <row r="21" spans="9:34" x14ac:dyDescent="0.25">
      <c r="I21" s="9"/>
      <c r="N21" s="9"/>
      <c r="P21" s="6" t="s">
        <v>46</v>
      </c>
      <c r="Q21" s="6" t="s">
        <v>1397</v>
      </c>
      <c r="R21" s="6">
        <v>3</v>
      </c>
      <c r="S21" s="9" t="str">
        <f>IF(R21=0,"-",IF(R21=1,SUM(R$1:R20)+1,SUM(R$1:R20)+1 &amp; "-" &amp; SUM(R$1:R21)))</f>
        <v>74-76</v>
      </c>
      <c r="T21" s="15" t="str">
        <f t="shared" si="1"/>
        <v>!import-table-item --Items-B --Rope of Climbing --3</v>
      </c>
      <c r="X21" s="9"/>
      <c r="AC21" s="9"/>
      <c r="AH21" s="9"/>
    </row>
    <row r="22" spans="9:34" x14ac:dyDescent="0.25">
      <c r="I22" s="9"/>
      <c r="N22" s="9"/>
      <c r="P22" s="6" t="s">
        <v>47</v>
      </c>
      <c r="Q22" s="6" t="s">
        <v>1397</v>
      </c>
      <c r="R22" s="6">
        <v>3</v>
      </c>
      <c r="S22" s="9" t="str">
        <f>IF(R22=0,"-",IF(R22=1,SUM(R$1:R21)+1,SUM(R$1:R21)+1 &amp; "-" &amp; SUM(R$1:R22)))</f>
        <v>77-79</v>
      </c>
      <c r="T22" s="15" t="str">
        <f t="shared" si="1"/>
        <v>!import-table-item --Items-B --Saddle of the Cavalier --3</v>
      </c>
      <c r="X22" s="9"/>
      <c r="AC22" s="9"/>
      <c r="AH22" s="9"/>
    </row>
    <row r="23" spans="9:34" x14ac:dyDescent="0.25">
      <c r="I23" s="9"/>
      <c r="N23" s="9"/>
      <c r="P23" s="6" t="s">
        <v>1969</v>
      </c>
      <c r="Q23" s="6" t="s">
        <v>1423</v>
      </c>
      <c r="R23" s="6">
        <v>3</v>
      </c>
      <c r="S23" s="9" t="str">
        <f>IF(R23=0,"-",IF(R23=1,SUM(R$1:R22)+1,SUM(R$1:R22)+1 &amp; "-" &amp; SUM(R$1:R23)))</f>
        <v>80-82</v>
      </c>
      <c r="T23" s="15" t="str">
        <f t="shared" si="1"/>
        <v>!import-table-item --Items-B --[[1d4]] Seeker Dart --3</v>
      </c>
      <c r="X23" s="9"/>
      <c r="AC23" s="9"/>
      <c r="AH23" s="9"/>
    </row>
    <row r="24" spans="9:34" x14ac:dyDescent="0.25">
      <c r="I24" s="9"/>
      <c r="N24" s="9"/>
      <c r="P24" s="6" t="s">
        <v>1160</v>
      </c>
      <c r="Q24" s="6" t="s">
        <v>1466</v>
      </c>
      <c r="R24" s="6">
        <v>3</v>
      </c>
      <c r="S24" s="9" t="str">
        <f>IF(R24=0,"-",IF(R24=1,SUM(R$1:R23)+1,SUM(R$1:R23)+1 &amp; "-" &amp; SUM(R$1:R24)))</f>
        <v>83-85</v>
      </c>
      <c r="T24" s="15" t="str">
        <f t="shared" si="1"/>
        <v>!import-table-item --Items-B --Serpent Scale Armor --3</v>
      </c>
      <c r="X24" s="9"/>
      <c r="AC24" s="9"/>
      <c r="AH24" s="9"/>
    </row>
    <row r="25" spans="9:34" x14ac:dyDescent="0.25">
      <c r="I25" s="9"/>
      <c r="N25" s="9"/>
      <c r="P25" s="23" t="s">
        <v>1146</v>
      </c>
      <c r="Q25" s="6" t="s">
        <v>1423</v>
      </c>
      <c r="R25" s="6">
        <v>3</v>
      </c>
      <c r="S25" s="9" t="str">
        <f>IF(R25=0,"-",IF(R25=1,SUM(R$1:R24)+1,SUM(R$1:R24)+1 &amp; "-" &amp; SUM(R$1:R25)))</f>
        <v>86-88</v>
      </c>
      <c r="T25" s="15" t="str">
        <f t="shared" si="1"/>
        <v>!import-table-item --Items-B --Storm Boomerang --3</v>
      </c>
      <c r="X25" s="9"/>
      <c r="AC25" s="9"/>
      <c r="AH25" s="9"/>
    </row>
    <row r="26" spans="9:34" x14ac:dyDescent="0.25">
      <c r="I26" s="9"/>
      <c r="N26" s="9"/>
      <c r="P26" s="6" t="s">
        <v>1112</v>
      </c>
      <c r="Q26" s="6" t="s">
        <v>1479</v>
      </c>
      <c r="R26" s="6">
        <v>3</v>
      </c>
      <c r="S26" s="9" t="str">
        <f>IF(R26=0,"-",IF(R26=1,SUM(R$1:R25)+1,SUM(R$1:R25)+1 &amp; "-" &amp; SUM(R$1:R26)))</f>
        <v>89-91</v>
      </c>
      <c r="T26" s="15" t="str">
        <f t="shared" si="1"/>
        <v>!import-table-item --Items-B --Wand of Entangle --3</v>
      </c>
      <c r="X26" s="9"/>
      <c r="AC26" s="9"/>
    </row>
    <row r="27" spans="9:34" x14ac:dyDescent="0.25">
      <c r="I27" s="9"/>
      <c r="N27" s="9"/>
      <c r="P27" s="6" t="s">
        <v>48</v>
      </c>
      <c r="Q27" s="6" t="s">
        <v>1397</v>
      </c>
      <c r="R27" s="6">
        <v>3</v>
      </c>
      <c r="S27" s="9" t="str">
        <f>IF(R27=0,"-",IF(R27=1,SUM(R$1:R26)+1,SUM(R$1:R26)+1 &amp; "-" &amp; SUM(R$1:R27)))</f>
        <v>92-94</v>
      </c>
      <c r="T27" s="15" t="str">
        <f t="shared" si="1"/>
        <v>!import-table-item --Items-B --Wand of Magic Detection --3</v>
      </c>
      <c r="X27" s="9"/>
      <c r="AC27" s="9"/>
    </row>
    <row r="28" spans="9:34" x14ac:dyDescent="0.25">
      <c r="I28" s="9"/>
      <c r="N28" s="9"/>
      <c r="P28" s="6" t="s">
        <v>49</v>
      </c>
      <c r="Q28" s="6" t="s">
        <v>1397</v>
      </c>
      <c r="R28" s="6">
        <v>3</v>
      </c>
      <c r="S28" s="9" t="str">
        <f>IF(R28=0,"-",IF(R28=1,SUM(R$1:R27)+1,SUM(R$1:R27)+1 &amp; "-" &amp; SUM(R$1:R28)))</f>
        <v>95-97</v>
      </c>
      <c r="T28" s="15" t="str">
        <f t="shared" si="1"/>
        <v>!import-table-item --Items-B --Wand of Secrets --3</v>
      </c>
      <c r="X28" s="9"/>
      <c r="AC28" s="9"/>
    </row>
    <row r="29" spans="9:34" x14ac:dyDescent="0.25">
      <c r="I29" s="9"/>
      <c r="N29" s="9"/>
      <c r="P29" s="6" t="s">
        <v>34</v>
      </c>
      <c r="Q29" s="6" t="s">
        <v>1397</v>
      </c>
      <c r="R29" s="6">
        <v>1</v>
      </c>
      <c r="S29" s="9">
        <f>IF(R29=0,"-",IF(R29=1,SUM(R$1:R28)+1,SUM(R$1:R28)+1 &amp; "-" &amp; SUM(R$1:R29)))</f>
        <v>98</v>
      </c>
      <c r="T29" s="15" t="str">
        <f t="shared" si="1"/>
        <v>!import-table-item --Items-B --Alchemy Jug --1</v>
      </c>
      <c r="X29" s="9"/>
      <c r="AC29" s="9"/>
    </row>
    <row r="30" spans="9:34" x14ac:dyDescent="0.25">
      <c r="I30" s="9"/>
      <c r="N30" s="9"/>
      <c r="P30" s="6" t="s">
        <v>1159</v>
      </c>
      <c r="Q30" s="6" t="s">
        <v>1466</v>
      </c>
      <c r="R30" s="6">
        <v>1</v>
      </c>
      <c r="S30" s="9">
        <f>IF(R30=0,"-",IF(R30=1,SUM(R$1:R29)+1,SUM(R$1:R29)+1 &amp; "-" &amp; SUM(R$1:R30)))</f>
        <v>99</v>
      </c>
      <c r="T30" s="15" t="str">
        <f t="shared" si="1"/>
        <v>!import-table-item --Items-B --Alchemy Jug (Blue) --1</v>
      </c>
      <c r="X30" s="9"/>
      <c r="AC30" s="9"/>
    </row>
    <row r="31" spans="9:34" x14ac:dyDescent="0.25">
      <c r="I31" s="9"/>
      <c r="N31" s="9"/>
      <c r="P31" s="6" t="s">
        <v>1158</v>
      </c>
      <c r="Q31" s="6" t="s">
        <v>1466</v>
      </c>
      <c r="R31" s="6">
        <v>1</v>
      </c>
      <c r="S31" s="9">
        <f>IF(R31=0,"-",IF(R31=1,SUM(R$1:R30)+1,SUM(R$1:R30)+1 &amp; "-" &amp; SUM(R$1:R31)))</f>
        <v>100</v>
      </c>
      <c r="T31" s="15" t="str">
        <f t="shared" si="1"/>
        <v>!import-table-item --Items-B --Alchemy Jug (Orange) --1</v>
      </c>
      <c r="X31" s="9"/>
      <c r="AC31" s="9"/>
    </row>
  </sheetData>
  <sortState xmlns:xlrd2="http://schemas.microsoft.com/office/spreadsheetml/2017/richdata2" ref="P2:T33">
    <sortCondition descending="1" ref="R2:R33"/>
  </sortState>
  <hyperlinks>
    <hyperlink ref="A3" location="'Table B Minor Uncommon'!F:J" display="[[ 1t[Consumable-B] ]]" xr:uid="{22002B71-3C57-E647-B072-7F9185082D64}"/>
    <hyperlink ref="F3" location="'Table B Minor Uncommon'!K:O" display="Elemental Gem, [[ 1t[Gems-B] ]]" xr:uid="{26EF037A-B9D8-E24F-8A55-2A7F08A47CBE}"/>
    <hyperlink ref="A4" location="'Table B Minor Uncommon'!P:T" display="[[ 1t[Items-B] ]]" xr:uid="{AE66C22E-DDD0-F64B-A84F-2C90F41B4C1E}"/>
    <hyperlink ref="A5" location="'Table B Minor Uncommon'!U:Y" display="[[ 1t[Potions-B] ]]" xr:uid="{5C0FA546-B69F-EC49-961D-6932F6CACAFF}"/>
    <hyperlink ref="A6" location="'Table B Minor Uncommon'!Z:AD" display="[[ 1t[Spells-B] ]]" xr:uid="{BCFB105F-066E-BB46-B60D-8760CCBE617B}"/>
    <hyperlink ref="P5" location="'Supplemental Types'!V:Z" display="Mithral [[ 1t[Metal-Armor] ]]" xr:uid="{A7EDC0DD-EA76-3B4B-9565-7ED300EC7B60}"/>
    <hyperlink ref="Z2" location="'All Spells'!K:O" display="Spell Scroll ([[ 1t[Spells-Level-2] ]])" xr:uid="{9E0B32B3-A7A2-41CD-A375-9102A8C6F2C5}"/>
    <hyperlink ref="Z4" location="'All Spells'!K:O" display="Spellwrought Tattoo ([[ 1t[Spells-Level-2] ]])" xr:uid="{155EEFDD-141E-41D0-BEE4-CD58795459BF}"/>
    <hyperlink ref="Z3" location="'All Spells'!P:T" display="Spell Scroll ([[ 1t[Spells-Level-3] ]])" xr:uid="{57C0762D-B069-4809-83F0-B700DEBD8D16}"/>
    <hyperlink ref="Z5" location="'All Spells'!P:T" display="Spellwrought Tattoo ([[ 1t[Spells-Level-3] ]])" xr:uid="{B403F8D0-042B-45E8-9781-A07C1A1D388A}"/>
    <hyperlink ref="U4" location="'Supplemental Types'!CX:DB" display="Potion of [[ 1t[Damage-Type] ]] Resistance" xr:uid="{50315555-6DBE-4CD4-BCF5-290A96DAF945}"/>
    <hyperlink ref="U3" location="'Supplemental Types'!CD:CH" display="Potion of [[ 1t[MM-Breath] ]] Breath" xr:uid="{7A2B6A55-EAF8-4137-AC30-D0F8AF2B9150}"/>
    <hyperlink ref="A2" location="'Table B Minor Uncommon'!AE:AI" display="[[ 1t[Ammunition-B] ]]" xr:uid="{FA3E8088-3DA8-4AB5-9BE1-B7C423430833}"/>
    <hyperlink ref="AE3" location="'Supplemental Types'!AZ:BD" display="Dried Leech [[ 1t[Ammunition] ]]" xr:uid="{7C344376-690F-4295-9854-F72DC738A898}"/>
    <hyperlink ref="AE2" location="'Supplemental Types'!AZ:BD" display="[[ 1t[Ammunition] ]], +1" xr:uid="{BAF95B23-08C4-4742-AD27-11DFDEE569A0}"/>
    <hyperlink ref="AE4" location="'Supplemental Types'!AZ:BD" display="Winged [[ 1t[Ammunition] ]]" xr:uid="{ED566C16-3602-4753-999E-C753F755998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FE009-0ED0-E24E-A7D7-55127622F954}">
  <dimension ref="A1:AS36"/>
  <sheetViews>
    <sheetView topLeftCell="G1" workbookViewId="0">
      <selection activeCell="AE16" sqref="AE16"/>
    </sheetView>
  </sheetViews>
  <sheetFormatPr defaultColWidth="11.43359375" defaultRowHeight="18.75" x14ac:dyDescent="0.25"/>
  <cols>
    <col min="1" max="1" width="24.34765625" style="6" bestFit="1" customWidth="1"/>
    <col min="2" max="2" width="8.875" style="6" bestFit="1" customWidth="1"/>
    <col min="3" max="3" width="9.14453125" style="6" bestFit="1" customWidth="1"/>
    <col min="4" max="4" width="9.28125" style="6" bestFit="1" customWidth="1"/>
    <col min="5" max="5" width="77.484375" style="15" bestFit="1" customWidth="1"/>
    <col min="6" max="6" width="39.27734375" style="6" bestFit="1" customWidth="1"/>
    <col min="7" max="7" width="8.875" style="6" bestFit="1" customWidth="1"/>
    <col min="8" max="8" width="9.14453125" style="6" bestFit="1" customWidth="1"/>
    <col min="9" max="9" width="9.28125" style="6" bestFit="1" customWidth="1"/>
    <col min="10" max="10" width="80.0390625" style="15" bestFit="1" customWidth="1"/>
    <col min="11" max="11" width="50.4453125" style="6" bestFit="1" customWidth="1"/>
    <col min="12" max="12" width="8.875" style="6" bestFit="1" customWidth="1"/>
    <col min="13" max="13" width="9.14453125" style="6" bestFit="1" customWidth="1"/>
    <col min="14" max="14" width="7.80078125" style="6" bestFit="1" customWidth="1"/>
    <col min="15" max="15" width="89.7265625" style="15" bestFit="1" customWidth="1"/>
    <col min="16" max="16" width="78.96484375" style="6" bestFit="1" customWidth="1"/>
    <col min="17" max="17" width="9.953125" style="6" bestFit="1" customWidth="1"/>
    <col min="18" max="18" width="9.14453125" style="6" bestFit="1" customWidth="1"/>
    <col min="19" max="19" width="9.28125" style="6" bestFit="1" customWidth="1"/>
    <col min="20" max="20" width="117.03515625" style="15" bestFit="1" customWidth="1"/>
    <col min="21" max="21" width="54.34765625" style="6" bestFit="1" customWidth="1"/>
    <col min="22" max="22" width="8.875" style="6" bestFit="1" customWidth="1"/>
    <col min="23" max="23" width="9.14453125" style="6" bestFit="1" customWidth="1"/>
    <col min="24" max="24" width="5.37890625" style="6" bestFit="1" customWidth="1"/>
    <col min="25" max="25" width="94.703125" style="15" bestFit="1" customWidth="1"/>
    <col min="26" max="26" width="28.3828125" style="11" bestFit="1" customWidth="1"/>
    <col min="27" max="27" width="8.875" style="6" bestFit="1" customWidth="1"/>
    <col min="28" max="28" width="9.14453125" style="6" bestFit="1" customWidth="1"/>
    <col min="29" max="29" width="4.16796875" style="6" bestFit="1" customWidth="1"/>
    <col min="30" max="30" width="74.66015625" style="15" bestFit="1" customWidth="1"/>
    <col min="31" max="31" width="70.48828125" style="6" bestFit="1" customWidth="1"/>
    <col min="32" max="32" width="8.875" style="6" bestFit="1" customWidth="1"/>
    <col min="33" max="33" width="9.14453125" style="6" bestFit="1" customWidth="1"/>
    <col min="34" max="34" width="10.76171875" style="6" bestFit="1" customWidth="1"/>
    <col min="35" max="35" width="107.75390625" style="15" bestFit="1" customWidth="1"/>
    <col min="36" max="36" width="22.734375" style="6" bestFit="1" customWidth="1"/>
    <col min="37" max="37" width="8.875" style="6" bestFit="1" customWidth="1"/>
    <col min="38" max="38" width="9.14453125" style="6" bestFit="1" customWidth="1"/>
    <col min="39" max="39" width="4.9765625" style="6" bestFit="1" customWidth="1"/>
    <col min="40" max="40" width="69.4140625" style="15" bestFit="1" customWidth="1"/>
    <col min="41" max="41" width="53.671875" style="6" bestFit="1" customWidth="1"/>
    <col min="42" max="42" width="8.875" style="6" bestFit="1" customWidth="1"/>
    <col min="43" max="43" width="9.14453125" style="6" bestFit="1" customWidth="1"/>
    <col min="44" max="44" width="9.28125" style="6" bestFit="1" customWidth="1"/>
    <col min="45" max="45" width="97.796875" style="15" bestFit="1" customWidth="1"/>
    <col min="46" max="16384" width="11.43359375" style="6"/>
  </cols>
  <sheetData>
    <row r="1" spans="1:45" s="4" customFormat="1" x14ac:dyDescent="0.25">
      <c r="A1" s="4" t="s">
        <v>5</v>
      </c>
      <c r="B1" s="4" t="s">
        <v>1396</v>
      </c>
      <c r="C1" s="4" t="s">
        <v>9</v>
      </c>
      <c r="D1" s="4" t="str">
        <f>"d" &amp; SUM(C:C)</f>
        <v>d100</v>
      </c>
      <c r="E1" s="14" t="str">
        <f>"!import-table --" &amp; A1 &amp; " --show"</f>
        <v>!import-table --Magic-Item-Table-F --show</v>
      </c>
      <c r="F1" s="4" t="s">
        <v>1675</v>
      </c>
      <c r="G1" s="4" t="s">
        <v>1396</v>
      </c>
      <c r="H1" s="4" t="s">
        <v>9</v>
      </c>
      <c r="I1" s="4" t="str">
        <f>"d" &amp; SUM(H:H)</f>
        <v>d100</v>
      </c>
      <c r="J1" s="14" t="str">
        <f>"!import-table --" &amp; F1 &amp; " --show"</f>
        <v>!import-table --Apparel-F --show</v>
      </c>
      <c r="K1" s="4" t="s">
        <v>1525</v>
      </c>
      <c r="L1" s="4" t="s">
        <v>1396</v>
      </c>
      <c r="M1" s="4" t="s">
        <v>9</v>
      </c>
      <c r="N1" s="4" t="str">
        <f>"d" &amp; SUM(M:M)</f>
        <v>d20</v>
      </c>
      <c r="O1" s="14" t="str">
        <f>"!import-table --" &amp; K1 &amp; " --show"</f>
        <v>!import-table --Armor-F --show</v>
      </c>
      <c r="P1" s="4" t="s">
        <v>1196</v>
      </c>
      <c r="Q1" s="4" t="s">
        <v>1396</v>
      </c>
      <c r="R1" s="4" t="s">
        <v>9</v>
      </c>
      <c r="S1" s="4" t="str">
        <f>"d" &amp; SUM(R:R)</f>
        <v>d100</v>
      </c>
      <c r="T1" s="14" t="str">
        <f>"!import-table --" &amp; P1 &amp; " --show"</f>
        <v>!import-table --Arms-F --show</v>
      </c>
      <c r="U1" s="4" t="s">
        <v>1194</v>
      </c>
      <c r="V1" s="4" t="s">
        <v>1396</v>
      </c>
      <c r="W1" s="4" t="s">
        <v>9</v>
      </c>
      <c r="X1" s="4" t="str">
        <f>"d" &amp; SUM(W:W)</f>
        <v>d20</v>
      </c>
      <c r="Y1" s="14" t="str">
        <f>"!import-table --" &amp; U1 &amp; " --show"</f>
        <v>!import-table --Jewelry-F --show</v>
      </c>
      <c r="Z1" s="16" t="s">
        <v>1514</v>
      </c>
      <c r="AA1" s="4" t="s">
        <v>1396</v>
      </c>
      <c r="AB1" s="4" t="s">
        <v>9</v>
      </c>
      <c r="AC1" s="4" t="str">
        <f>"d" &amp; SUM(AB:AB)</f>
        <v>d4</v>
      </c>
      <c r="AD1" s="14" t="str">
        <f>"!import-table --" &amp; Z1 &amp; " --show"</f>
        <v>!import-table --Ioun-Stones-G --show</v>
      </c>
      <c r="AE1" s="4" t="s">
        <v>1677</v>
      </c>
      <c r="AF1" s="4" t="s">
        <v>1396</v>
      </c>
      <c r="AG1" s="4" t="s">
        <v>9</v>
      </c>
      <c r="AH1" s="4" t="str">
        <f>"d" &amp; SUM(AG:AG)</f>
        <v>d100</v>
      </c>
      <c r="AI1" s="14" t="str">
        <f>"!import-table --" &amp; AE1 &amp; " --show"</f>
        <v>!import-table --Misc-F --show</v>
      </c>
      <c r="AJ1" s="4" t="s">
        <v>1197</v>
      </c>
      <c r="AK1" s="4" t="s">
        <v>1396</v>
      </c>
      <c r="AL1" s="4" t="s">
        <v>9</v>
      </c>
      <c r="AM1" s="4" t="str">
        <f>"d" &amp; SUM(AL:AL)</f>
        <v>d6</v>
      </c>
      <c r="AN1" s="14" t="str">
        <f>"!import-table --" &amp; AJ1 &amp; " --show"</f>
        <v>!import-table --Bag-of-Tricks-F --show</v>
      </c>
      <c r="AO1" s="4" t="s">
        <v>1678</v>
      </c>
      <c r="AP1" s="4" t="s">
        <v>1396</v>
      </c>
      <c r="AQ1" s="4" t="s">
        <v>9</v>
      </c>
      <c r="AR1" s="4" t="str">
        <f>"d" &amp; SUM(AQ:AQ)</f>
        <v>d100</v>
      </c>
      <c r="AS1" s="14" t="str">
        <f>"!import-table --" &amp; AO1 &amp; " --show"</f>
        <v>!import-table --Spellcaster-F --show</v>
      </c>
    </row>
    <row r="2" spans="1:45" x14ac:dyDescent="0.25">
      <c r="A2" s="24" t="s">
        <v>1688</v>
      </c>
      <c r="C2" s="6">
        <v>20</v>
      </c>
      <c r="D2" s="9" t="str">
        <f>IF(C2=0,"-",IF(C2=1,SUM(C$1:C1)+1,SUM(C$1:C1)+1 &amp; "-" &amp; SUM(C$1:C2)))</f>
        <v>1-20</v>
      </c>
      <c r="E2" s="15" t="str">
        <f t="shared" ref="E2:E7" si="0">"!import-table-item --" &amp; A$1 &amp; " --" &amp; A2 &amp; " --" &amp; C2</f>
        <v>!import-table-item --Magic-Item-Table-F --[[ 1t[Apparel-F] ]] --20</v>
      </c>
      <c r="F2" s="6" t="s">
        <v>101</v>
      </c>
      <c r="G2" s="6" t="s">
        <v>1397</v>
      </c>
      <c r="H2" s="6">
        <v>4</v>
      </c>
      <c r="I2" s="9" t="str">
        <f>IF(H2=0,"-",IF(H2=1,SUM(H$1:H1)+1,SUM(H$1:H1)+1 &amp; "-" &amp; SUM(H$1:H2)))</f>
        <v>1-4</v>
      </c>
      <c r="J2" s="15" t="str">
        <f t="shared" ref="J2:J27" si="1">"!import-table-item --" &amp; F$1 &amp; " --" &amp; F2 &amp; " --" &amp; H2</f>
        <v>!import-table-item --Apparel-F --Boots of Elvenkind --4</v>
      </c>
      <c r="K2" s="24" t="s">
        <v>1877</v>
      </c>
      <c r="L2" s="6" t="s">
        <v>1875</v>
      </c>
      <c r="M2" s="6">
        <v>5</v>
      </c>
      <c r="N2" s="9" t="str">
        <f>IF(M2=0,"-",IF(M2=1,SUM(M$1:M1)+1,SUM(M$1:M1)+1 &amp; "-" &amp; SUM(M$1:M2)))</f>
        <v>1-5</v>
      </c>
      <c r="O2" s="15" t="str">
        <f t="shared" ref="O2:O10" si="2">"!import-table-item --" &amp; K$1 &amp; " --" &amp; K2 &amp; " --" &amp; M2</f>
        <v>!import-table-item --Armor-F --[[ 1t[Armor] ]] of Weightlessness --5</v>
      </c>
      <c r="P2" s="24" t="s">
        <v>1698</v>
      </c>
      <c r="Q2" s="6" t="s">
        <v>1397</v>
      </c>
      <c r="R2" s="6">
        <v>20</v>
      </c>
      <c r="S2" s="9" t="str">
        <f>IF(R2=0,"-",IF(R2=1,SUM(R$1:R1)+1,SUM(R$1:R1)+1 &amp; "-" &amp; SUM(R$1:R2)))</f>
        <v>1-20</v>
      </c>
      <c r="T2" s="15" t="str">
        <f t="shared" ref="T2:T24" si="3">"!import-table-item --" &amp; P$1 &amp; " --" &amp; P2 &amp; " --" &amp; R2</f>
        <v>!import-table-item --Arms-F --[[ 1t[Weapons] ]], +1 --20</v>
      </c>
      <c r="U2" s="24" t="s">
        <v>1515</v>
      </c>
      <c r="V2" s="6" t="s">
        <v>1397</v>
      </c>
      <c r="W2" s="6">
        <v>3</v>
      </c>
      <c r="X2" s="9" t="str">
        <f>IF(W2=0,"-",IF(W2=1,SUM(W$1:W1)+1,SUM(W$1:W1)+1 &amp; "-" &amp; SUM(W$1:W2)))</f>
        <v>1-3</v>
      </c>
      <c r="Y2" s="15" t="str">
        <f t="shared" ref="Y2:Y19" si="4">"!import-table-item --" &amp; U$1 &amp; " --" &amp; U2 &amp; " --" &amp; W2</f>
        <v>!import-table-item --Jewelry-F --[[ 1t[Ioun-Stones-G] ]] --3</v>
      </c>
      <c r="Z2" s="11" t="s">
        <v>192</v>
      </c>
      <c r="AA2" s="6" t="s">
        <v>1397</v>
      </c>
      <c r="AB2" s="6">
        <v>1</v>
      </c>
      <c r="AC2" s="9">
        <f>IF(AB2=0,"-",IF(AB2=1,SUM(AB$1:AB1)+1,SUM(AB$1:AB1)+1 &amp; "-" &amp; SUM(AB$1:AB2)))</f>
        <v>1</v>
      </c>
      <c r="AD2" s="15" t="str">
        <f>"!import-table-item --" &amp; Z$1 &amp; " --" &amp; Z2 &amp; " --" &amp; AB2</f>
        <v>!import-table-item --Ioun-Stones-G --Ioun Stone (awareness) --1</v>
      </c>
      <c r="AE2" s="6" t="s">
        <v>1131</v>
      </c>
      <c r="AF2" s="6" t="s">
        <v>1479</v>
      </c>
      <c r="AG2" s="6">
        <v>5</v>
      </c>
      <c r="AH2" s="9" t="str">
        <f>IF(AG2=0,"-",IF(AG2=1,SUM(AG$1:AG1)+1,SUM(AG$1:AG1)+1 &amp; "-" &amp; SUM(AG$1:AG2)))</f>
        <v>1-5</v>
      </c>
      <c r="AI2" s="15" t="str">
        <f t="shared" ref="AI2:AI36" si="5">"!import-table-item --" &amp; AE$1 &amp; " --" &amp; AE2 &amp; " --" &amp; AG2</f>
        <v>!import-table-item --Misc-F --Balance of Harmony --5</v>
      </c>
      <c r="AJ2" s="6" t="s">
        <v>125</v>
      </c>
      <c r="AK2" s="6" t="s">
        <v>1397</v>
      </c>
      <c r="AL2" s="6">
        <v>2</v>
      </c>
      <c r="AM2" s="9" t="str">
        <f>IF(AL2=0,"-",IF(AL2=1,SUM(AL$1:AL1)+1,SUM(AL$1:AL1)+1 &amp; "-" &amp; SUM(AL$1:AL2)))</f>
        <v>1-2</v>
      </c>
      <c r="AN2" s="15" t="str">
        <f>"!import-table-item --" &amp; AJ$1 &amp; " --" &amp; AJ2 &amp; " --" &amp; AL2</f>
        <v>!import-table-item --Bag-of-Tricks-F --Bag of Tricks (gray) --2</v>
      </c>
      <c r="AO2" s="6" t="s">
        <v>1119</v>
      </c>
      <c r="AP2" s="6" t="s">
        <v>1402</v>
      </c>
      <c r="AQ2" s="6">
        <v>8</v>
      </c>
      <c r="AR2" s="9" t="str">
        <f>IF(AQ2=0,"-",IF(AQ2=1,SUM(AQ$1:AQ1)+1,SUM(AQ$1:AQ1)+1 &amp; "-" &amp; SUM(AQ$1:AQ2)))</f>
        <v>1-8</v>
      </c>
      <c r="AS2" s="15" t="str">
        <f t="shared" ref="AS2:AS23" si="6">"!import-table-item --" &amp; AO$1 &amp; " --" &amp; AO2 &amp; " --" &amp; AQ2</f>
        <v>!import-table-item --Spellcaster-F --All-Purpose Tool, +1 --8</v>
      </c>
    </row>
    <row r="3" spans="1:45" x14ac:dyDescent="0.25">
      <c r="A3" s="24" t="s">
        <v>1526</v>
      </c>
      <c r="C3" s="6">
        <v>10</v>
      </c>
      <c r="D3" s="9" t="str">
        <f>IF(C3=0,"-",IF(C3=1,SUM(C$1:C2)+1,SUM(C$1:C2)+1 &amp; "-" &amp; SUM(C$1:C3)))</f>
        <v>21-30</v>
      </c>
      <c r="E3" s="15" t="str">
        <f t="shared" si="0"/>
        <v>!import-table-item --Magic-Item-Table-F --[[ 1t[Armor-F] ]] --10</v>
      </c>
      <c r="F3" s="6" t="s">
        <v>1127</v>
      </c>
      <c r="G3" s="6" t="s">
        <v>1397</v>
      </c>
      <c r="H3" s="6">
        <v>4</v>
      </c>
      <c r="I3" s="9" t="str">
        <f>IF(H3=0,"-",IF(H3=1,SUM(H$1:H2)+1,SUM(H$1:H2)+1 &amp; "-" &amp; SUM(H$1:H3)))</f>
        <v>5-8</v>
      </c>
      <c r="J3" s="15" t="str">
        <f t="shared" si="1"/>
        <v>!import-table-item --Apparel-F --Boots of Springing and Striding --4</v>
      </c>
      <c r="K3" s="26" t="s">
        <v>1370</v>
      </c>
      <c r="L3" s="6" t="s">
        <v>1397</v>
      </c>
      <c r="M3" s="6">
        <v>5</v>
      </c>
      <c r="N3" s="9" t="str">
        <f>IF(M3=0,"-",IF(M3=1,SUM(M$1:M2)+1,SUM(M$1:M2)+1 &amp; "-" &amp; SUM(M$1:M3)))</f>
        <v>6-10</v>
      </c>
      <c r="O3" s="15" t="str">
        <f t="shared" si="2"/>
        <v>!import-table-item --Armor-F --Adamantine [[ 1t[Metal-Armor] ]] --5</v>
      </c>
      <c r="P3" s="24" t="s">
        <v>1699</v>
      </c>
      <c r="Q3" s="6" t="s">
        <v>1397</v>
      </c>
      <c r="R3" s="6">
        <v>6</v>
      </c>
      <c r="S3" s="9" t="str">
        <f>IF(R3=0,"-",IF(R3=1,SUM(R$1:R2)+1,SUM(R$1:R2)+1 &amp; "-" &amp; SUM(R$1:R3)))</f>
        <v>21-26</v>
      </c>
      <c r="T3" s="15" t="str">
        <f t="shared" si="3"/>
        <v>!import-table-item --Arms-F --[[ 1t[Weapons] ]] of Warning --6</v>
      </c>
      <c r="U3" s="6" t="s">
        <v>159</v>
      </c>
      <c r="V3" s="6" t="s">
        <v>1397</v>
      </c>
      <c r="W3" s="6">
        <v>1</v>
      </c>
      <c r="X3" s="9">
        <f>IF(W3=0,"-",IF(W3=1,SUM(W$1:W2)+1,SUM(W$1:W2)+1 &amp; "-" &amp; SUM(W$1:W3)))</f>
        <v>4</v>
      </c>
      <c r="Y3" s="15" t="str">
        <f t="shared" si="4"/>
        <v>!import-table-item --Jewelry-F --Amulet of Health --1</v>
      </c>
      <c r="Z3" s="11" t="s">
        <v>193</v>
      </c>
      <c r="AA3" s="6" t="s">
        <v>1397</v>
      </c>
      <c r="AB3" s="6">
        <v>1</v>
      </c>
      <c r="AC3" s="9">
        <f>IF(AB3=0,"-",IF(AB3=1,SUM(AB$1:AB2)+1,SUM(AB$1:AB2)+1 &amp; "-" &amp; SUM(AB$1:AB3)))</f>
        <v>2</v>
      </c>
      <c r="AD3" s="15" t="str">
        <f>"!import-table-item --" &amp; Z$1 &amp; " --" &amp; Z3 &amp; " --" &amp; AB3</f>
        <v>!import-table-item --Ioun-Stones-G --Ioun Stone (protection) --1</v>
      </c>
      <c r="AE3" s="6" t="s">
        <v>1098</v>
      </c>
      <c r="AF3" s="6" t="s">
        <v>1398</v>
      </c>
      <c r="AG3" s="6">
        <v>5</v>
      </c>
      <c r="AH3" s="9" t="str">
        <f>IF(AG3=0,"-",IF(AG3=1,SUM(AG$1:AG2)+1,SUM(AG$1:AG2)+1 &amp; "-" &amp; SUM(AG$1:AG3)))</f>
        <v>6-10</v>
      </c>
      <c r="AI3" s="15" t="str">
        <f t="shared" si="5"/>
        <v>!import-table-item --Misc-F --Earworm --5</v>
      </c>
      <c r="AJ3" s="6" t="s">
        <v>126</v>
      </c>
      <c r="AK3" s="6" t="s">
        <v>1397</v>
      </c>
      <c r="AL3" s="6">
        <v>2</v>
      </c>
      <c r="AM3" s="9" t="str">
        <f>IF(AL3=0,"-",IF(AL3=1,SUM(AL$1:AL2)+1,SUM(AL$1:AL2)+1 &amp; "-" &amp; SUM(AL$1:AL3)))</f>
        <v>3-4</v>
      </c>
      <c r="AN3" s="15" t="str">
        <f>"!import-table-item --" &amp; AJ$1 &amp; " --" &amp; AJ3 &amp; " --" &amp; AL3</f>
        <v>!import-table-item --Bag-of-Tricks-F --Bag of Tricks (rust) --2</v>
      </c>
      <c r="AO3" s="6" t="s">
        <v>1117</v>
      </c>
      <c r="AP3" s="6" t="s">
        <v>1402</v>
      </c>
      <c r="AQ3" s="6">
        <v>8</v>
      </c>
      <c r="AR3" s="9" t="str">
        <f>IF(AQ3=0,"-",IF(AQ3=1,SUM(AQ$1:AQ2)+1,SUM(AQ$1:AQ2)+1 &amp; "-" &amp; SUM(AQ$1:AQ3)))</f>
        <v>9-16</v>
      </c>
      <c r="AS3" s="15" t="str">
        <f t="shared" si="6"/>
        <v>!import-table-item --Spellcaster-F --Arcane Grimoire, +1 --8</v>
      </c>
    </row>
    <row r="4" spans="1:45" x14ac:dyDescent="0.25">
      <c r="A4" s="24" t="s">
        <v>1203</v>
      </c>
      <c r="C4" s="6">
        <v>15</v>
      </c>
      <c r="D4" s="9" t="str">
        <f>IF(C4=0,"-",IF(C4=1,SUM(C$1:C3)+1,SUM(C$1:C3)+1 &amp; "-" &amp; SUM(C$1:C4)))</f>
        <v>31-45</v>
      </c>
      <c r="E4" s="15" t="str">
        <f t="shared" si="0"/>
        <v>!import-table-item --Magic-Item-Table-F --[[ 1t[Arms-F] ]] --15</v>
      </c>
      <c r="F4" s="6" t="s">
        <v>1161</v>
      </c>
      <c r="G4" s="6" t="s">
        <v>1679</v>
      </c>
      <c r="H4" s="6">
        <v>4</v>
      </c>
      <c r="I4" s="9" t="str">
        <f>IF(H4=0,"-",IF(H4=1,SUM(H$1:H3)+1,SUM(H$1:H3)+1 &amp; "-" &amp; SUM(H$1:H4)))</f>
        <v>9-12</v>
      </c>
      <c r="J4" s="15" t="str">
        <f t="shared" si="1"/>
        <v>!import-table-item --Apparel-F --Boots of the Vigilant --4</v>
      </c>
      <c r="K4" s="24" t="s">
        <v>1876</v>
      </c>
      <c r="L4" s="6" t="s">
        <v>1875</v>
      </c>
      <c r="M4" s="6">
        <v>2</v>
      </c>
      <c r="N4" s="9" t="str">
        <f>IF(M4=0,"-",IF(M4=1,SUM(M$1:M3)+1,SUM(M$1:M3)+1 &amp; "-" &amp; SUM(M$1:M4)))</f>
        <v>11-12</v>
      </c>
      <c r="O4" s="15" t="str">
        <f t="shared" si="2"/>
        <v>!import-table-item --Armor-F --[[ 1t[Metal-Armor] ]] of the Fallen --2</v>
      </c>
      <c r="P4" s="24" t="s">
        <v>1650</v>
      </c>
      <c r="Q4" s="6" t="s">
        <v>1403</v>
      </c>
      <c r="R4" s="6">
        <v>6</v>
      </c>
      <c r="S4" s="9" t="str">
        <f>IF(R4=0,"-",IF(R4=1,SUM(R$1:R3)+1,SUM(R$1:R3)+1 &amp; "-" &amp; SUM(R$1:R4)))</f>
        <v>27-32</v>
      </c>
      <c r="T4" s="15" t="str">
        <f t="shared" si="3"/>
        <v>!import-table-item --Arms-F --Dragon Wing [[ 1t[Dragon-Breath] ]] [[ 1t[Bows] ]] --6</v>
      </c>
      <c r="U4" s="6" t="s">
        <v>1120</v>
      </c>
      <c r="V4" s="6" t="s">
        <v>1397</v>
      </c>
      <c r="W4" s="6">
        <v>1</v>
      </c>
      <c r="X4" s="9">
        <f>IF(W4=0,"-",IF(W4=1,SUM(W$1:W3)+1,SUM(W$1:W3)+1 &amp; "-" &amp; SUM(W$1:W4)))</f>
        <v>5</v>
      </c>
      <c r="Y4" s="15" t="str">
        <f t="shared" si="4"/>
        <v>!import-table-item --Jewelry-F --Amulet of Proof against Detection and Location --1</v>
      </c>
      <c r="Z4" s="11" t="s">
        <v>194</v>
      </c>
      <c r="AA4" s="6" t="s">
        <v>1397</v>
      </c>
      <c r="AB4" s="6">
        <v>1</v>
      </c>
      <c r="AC4" s="9">
        <f>IF(AB4=0,"-",IF(AB4=1,SUM(AB$1:AB3)+1,SUM(AB$1:AB3)+1 &amp; "-" &amp; SUM(AB$1:AB4)))</f>
        <v>3</v>
      </c>
      <c r="AD4" s="15" t="str">
        <f>"!import-table-item --" &amp; Z$1 &amp; " --" &amp; Z4 &amp; " --" &amp; AB4</f>
        <v>!import-table-item --Ioun-Stones-G --Ioun Stone (reserve) --1</v>
      </c>
      <c r="AE4" s="6" t="s">
        <v>1281</v>
      </c>
      <c r="AF4" s="6" t="s">
        <v>1439</v>
      </c>
      <c r="AG4" s="6">
        <v>5</v>
      </c>
      <c r="AH4" s="9" t="str">
        <f>IF(AG4=0,"-",IF(AG4=1,SUM(AG$1:AG3)+1,SUM(AG$1:AG3)+1 &amp; "-" &amp; SUM(AG$1:AG4)))</f>
        <v>11-15</v>
      </c>
      <c r="AI4" s="15" t="str">
        <f t="shared" si="5"/>
        <v>!import-table-item --Misc-F --Feather of Diatryma Summoning --5</v>
      </c>
      <c r="AJ4" s="6" t="s">
        <v>127</v>
      </c>
      <c r="AK4" s="6" t="s">
        <v>1397</v>
      </c>
      <c r="AL4" s="6">
        <v>2</v>
      </c>
      <c r="AM4" s="9" t="str">
        <f>IF(AL4=0,"-",IF(AL4=1,SUM(AL$1:AL3)+1,SUM(AL$1:AL3)+1 &amp; "-" &amp; SUM(AL$1:AL4)))</f>
        <v>5-6</v>
      </c>
      <c r="AN4" s="15" t="str">
        <f>"!import-table-item --" &amp; AJ$1 &amp; " --" &amp; AJ4 &amp; " --" &amp; AL4</f>
        <v>!import-table-item --Bag-of-Tricks-F --Bag of tricks (tan) --2</v>
      </c>
      <c r="AO4" s="6" t="s">
        <v>111</v>
      </c>
      <c r="AP4" s="6" t="s">
        <v>1397</v>
      </c>
      <c r="AQ4" s="6">
        <v>8</v>
      </c>
      <c r="AR4" s="9" t="str">
        <f>IF(AQ4=0,"-",IF(AQ4=1,SUM(AQ$1:AQ3)+1,SUM(AQ$1:AQ3)+1 &amp; "-" &amp; SUM(AQ$1:AQ4)))</f>
        <v>17-24</v>
      </c>
      <c r="AS4" s="15" t="str">
        <f t="shared" si="6"/>
        <v>!import-table-item --Spellcaster-F --Pearl of Power --8</v>
      </c>
    </row>
    <row r="5" spans="1:45" x14ac:dyDescent="0.25">
      <c r="A5" s="24" t="s">
        <v>1202</v>
      </c>
      <c r="C5" s="6">
        <v>15</v>
      </c>
      <c r="D5" s="9" t="str">
        <f>IF(C5=0,"-",IF(C5=1,SUM(C$1:C4)+1,SUM(C$1:C4)+1 &amp; "-" &amp; SUM(C$1:C5)))</f>
        <v>46-60</v>
      </c>
      <c r="E5" s="15" t="str">
        <f t="shared" si="0"/>
        <v>!import-table-item --Magic-Item-Table-F --[[ 1t[Jewelry-F] ]] --15</v>
      </c>
      <c r="F5" s="6" t="s">
        <v>128</v>
      </c>
      <c r="G5" s="6" t="s">
        <v>1397</v>
      </c>
      <c r="H5" s="6">
        <v>4</v>
      </c>
      <c r="I5" s="9" t="str">
        <f>IF(H5=0,"-",IF(H5=1,SUM(H$1:H4)+1,SUM(H$1:H4)+1 &amp; "-" &amp; SUM(H$1:H5)))</f>
        <v>13-16</v>
      </c>
      <c r="J5" s="15" t="str">
        <f t="shared" si="1"/>
        <v>!import-table-item --Apparel-F --Boots of the Winterlands --4</v>
      </c>
      <c r="K5" s="6" t="s">
        <v>1880</v>
      </c>
      <c r="L5" s="6" t="s">
        <v>1875</v>
      </c>
      <c r="M5" s="6">
        <v>2</v>
      </c>
      <c r="N5" s="9" t="str">
        <f>IF(M5=0,"-",IF(M5=1,SUM(M$1:M4)+1,SUM(M$1:M4)+1 &amp; "-" &amp; SUM(M$1:M5)))</f>
        <v>13-14</v>
      </c>
      <c r="O5" s="15" t="str">
        <f t="shared" si="2"/>
        <v>!import-table-item --Armor-F --Boomerang Shield --2</v>
      </c>
      <c r="P5" s="6" t="s">
        <v>1285</v>
      </c>
      <c r="Q5" s="6" t="s">
        <v>1680</v>
      </c>
      <c r="R5" s="6">
        <v>6</v>
      </c>
      <c r="S5" s="9" t="str">
        <f>IF(R5=0,"-",IF(R5=1,SUM(R$1:R4)+1,SUM(R$1:R4)+1 &amp; "-" &amp; SUM(R$1:R5)))</f>
        <v>33-38</v>
      </c>
      <c r="T5" s="15" t="str">
        <f t="shared" si="3"/>
        <v>!import-table-item --Arms-F --Gauntlets of Flaming Fury --6</v>
      </c>
      <c r="U5" s="6" t="s">
        <v>1121</v>
      </c>
      <c r="V5" s="6" t="s">
        <v>1409</v>
      </c>
      <c r="W5" s="6">
        <v>1</v>
      </c>
      <c r="X5" s="9">
        <f>IF(W5=0,"-",IF(W5=1,SUM(W$1:W4)+1,SUM(W$1:W4)+1 &amp; "-" &amp; SUM(W$1:W5)))</f>
        <v>6</v>
      </c>
      <c r="Y5" s="15" t="str">
        <f t="shared" si="4"/>
        <v>!import-table-item --Jewelry-F --Amulet of the Drunkard --1</v>
      </c>
      <c r="Z5" s="11" t="s">
        <v>204</v>
      </c>
      <c r="AA5" s="6" t="s">
        <v>1397</v>
      </c>
      <c r="AB5" s="6">
        <v>1</v>
      </c>
      <c r="AC5" s="9">
        <f>IF(AB5=0,"-",IF(AB5=1,SUM(AB$1:AB4)+1,SUM(AB$1:AB4)+1 &amp; "-" &amp; SUM(AB$1:AB5)))</f>
        <v>4</v>
      </c>
      <c r="AD5" s="15" t="str">
        <f>"!import-table-item --" &amp; Z$1 &amp; " --" &amp; Z5 &amp; " --" &amp; AB5</f>
        <v>!import-table-item --Ioun-Stones-G --Ioun Stone (sustenance) --1</v>
      </c>
      <c r="AE5" s="6" t="s">
        <v>134</v>
      </c>
      <c r="AF5" s="6" t="s">
        <v>1397</v>
      </c>
      <c r="AG5" s="6">
        <v>5</v>
      </c>
      <c r="AH5" s="9" t="str">
        <f>IF(AG5=0,"-",IF(AG5=1,SUM(AG$1:AG4)+1,SUM(AG$1:AG4)+1 &amp; "-" &amp; SUM(AG$1:AG5)))</f>
        <v>16-20</v>
      </c>
      <c r="AI5" s="15" t="str">
        <f t="shared" si="5"/>
        <v>!import-table-item --Misc-F --Gem of Brightness --5</v>
      </c>
      <c r="AM5" s="9"/>
      <c r="AO5" s="6" t="s">
        <v>112</v>
      </c>
      <c r="AP5" s="6" t="s">
        <v>1397</v>
      </c>
      <c r="AQ5" s="6">
        <v>8</v>
      </c>
      <c r="AR5" s="9" t="str">
        <f>IF(AQ5=0,"-",IF(AQ5=1,SUM(AQ$1:AQ4)+1,SUM(AQ$1:AQ4)+1 &amp; "-" &amp; SUM(AQ$1:AQ5)))</f>
        <v>25-32</v>
      </c>
      <c r="AS5" s="15" t="str">
        <f t="shared" si="6"/>
        <v>!import-table-item --Spellcaster-F --Rod of the Pact Keeper, +1 --8</v>
      </c>
    </row>
    <row r="6" spans="1:45" x14ac:dyDescent="0.25">
      <c r="A6" s="24" t="s">
        <v>1689</v>
      </c>
      <c r="C6" s="6">
        <v>25</v>
      </c>
      <c r="D6" s="9" t="str">
        <f>IF(C6=0,"-",IF(C6=1,SUM(C$1:C5)+1,SUM(C$1:C5)+1 &amp; "-" &amp; SUM(C$1:C6)))</f>
        <v>61-85</v>
      </c>
      <c r="E6" s="15" t="str">
        <f t="shared" si="0"/>
        <v>!import-table-item --Magic-Item-Table-F --[[ 1t[Misc-F] ]] --25</v>
      </c>
      <c r="F6" s="6" t="s">
        <v>103</v>
      </c>
      <c r="G6" s="6" t="s">
        <v>1397</v>
      </c>
      <c r="H6" s="6">
        <v>4</v>
      </c>
      <c r="I6" s="9" t="str">
        <f>IF(H6=0,"-",IF(H6=1,SUM(H$1:H5)+1,SUM(H$1:H5)+1 &amp; "-" &amp; SUM(H$1:H6)))</f>
        <v>17-20</v>
      </c>
      <c r="J6" s="15" t="str">
        <f t="shared" si="1"/>
        <v>!import-table-item --Apparel-F --Bracers of Archery --4</v>
      </c>
      <c r="K6" s="6" t="s">
        <v>100</v>
      </c>
      <c r="L6" s="6" t="s">
        <v>1397</v>
      </c>
      <c r="M6" s="6">
        <v>2</v>
      </c>
      <c r="N6" s="9" t="str">
        <f>IF(M6=0,"-",IF(M6=1,SUM(M$1:M5)+1,SUM(M$1:M5)+1 &amp; "-" &amp; SUM(M$1:M6)))</f>
        <v>15-16</v>
      </c>
      <c r="O6" s="15" t="str">
        <f t="shared" si="2"/>
        <v>!import-table-item --Armor-F --Sentinel Shield --2</v>
      </c>
      <c r="P6" s="24" t="s">
        <v>1865</v>
      </c>
      <c r="Q6" s="6" t="s">
        <v>1853</v>
      </c>
      <c r="R6" s="6">
        <v>6</v>
      </c>
      <c r="S6" s="9" t="str">
        <f>IF(R6=0,"-",IF(R6=1,SUM(R$1:R5)+1,SUM(R$1:R5)+1 &amp; "-" &amp; SUM(R$1:R6)))</f>
        <v>39-44</v>
      </c>
      <c r="T6" s="15" t="str">
        <f t="shared" si="3"/>
        <v>!import-table-item --Arms-F --Hungry [[ 1t[Weapons] ]] --6</v>
      </c>
      <c r="U6" s="6" t="s">
        <v>1157</v>
      </c>
      <c r="V6" s="6" t="s">
        <v>1409</v>
      </c>
      <c r="W6" s="6">
        <v>1</v>
      </c>
      <c r="X6" s="9">
        <f>IF(W6=0,"-",IF(W6=1,SUM(W$1:W5)+1,SUM(W$1:W5)+1 &amp; "-" &amp; SUM(W$1:W6)))</f>
        <v>7</v>
      </c>
      <c r="Y6" s="15" t="str">
        <f t="shared" si="4"/>
        <v>!import-table-item --Jewelry-F --Brooch of Living Essence --1</v>
      </c>
      <c r="AC6" s="9"/>
      <c r="AE6" s="6" t="s">
        <v>1287</v>
      </c>
      <c r="AF6" s="6" t="s">
        <v>1408</v>
      </c>
      <c r="AG6" s="6">
        <v>5</v>
      </c>
      <c r="AH6" s="9" t="str">
        <f>IF(AG6=0,"-",IF(AG6=1,SUM(AG$1:AG5)+1,SUM(AG$1:AG5)+1 &amp; "-" &amp; SUM(AG$1:AG6)))</f>
        <v>21-25</v>
      </c>
      <c r="AI6" s="15" t="str">
        <f t="shared" si="5"/>
        <v>!import-table-item --Misc-F --Ghost Lantern --5</v>
      </c>
      <c r="AM6" s="9"/>
      <c r="AO6" s="6" t="s">
        <v>1656</v>
      </c>
      <c r="AP6" s="6" t="s">
        <v>1424</v>
      </c>
      <c r="AQ6" s="6">
        <v>8</v>
      </c>
      <c r="AR6" s="9" t="str">
        <f>IF(AQ6=0,"-",IF(AQ6=1,SUM(AQ$1:AQ5)+1,SUM(AQ$1:AQ5)+1 &amp; "-" &amp; SUM(AQ$1:AQ6)))</f>
        <v>33-40</v>
      </c>
      <c r="AS6" s="15" t="str">
        <f t="shared" si="6"/>
        <v>!import-table-item --Spellcaster-F --Skyblinder Staff --8</v>
      </c>
    </row>
    <row r="7" spans="1:45" x14ac:dyDescent="0.25">
      <c r="A7" s="24" t="s">
        <v>1687</v>
      </c>
      <c r="C7" s="6">
        <v>15</v>
      </c>
      <c r="D7" s="9" t="str">
        <f>IF(C7=0,"-",IF(C7=1,SUM(C$1:C6)+1,SUM(C$1:C6)+1 &amp; "-" &amp; SUM(C$1:C7)))</f>
        <v>86-100</v>
      </c>
      <c r="E7" s="15" t="str">
        <f t="shared" si="0"/>
        <v>!import-table-item --Magic-Item-Table-F --[[ 1t[Spellcaster-F] ]] --15</v>
      </c>
      <c r="F7" s="6" t="s">
        <v>106</v>
      </c>
      <c r="G7" s="6" t="s">
        <v>1397</v>
      </c>
      <c r="H7" s="6">
        <v>4</v>
      </c>
      <c r="I7" s="9" t="str">
        <f>IF(H7=0,"-",IF(H7=1,SUM(H$1:H6)+1,SUM(H$1:H6)+1 &amp; "-" &amp; SUM(H$1:H7)))</f>
        <v>21-24</v>
      </c>
      <c r="J7" s="15" t="str">
        <f t="shared" si="1"/>
        <v>!import-table-item --Apparel-F --Cloak of Elvenkind --4</v>
      </c>
      <c r="K7" s="6" t="s">
        <v>99</v>
      </c>
      <c r="L7" s="6" t="s">
        <v>1397</v>
      </c>
      <c r="M7" s="6">
        <v>2</v>
      </c>
      <c r="N7" s="9" t="str">
        <f>IF(M7=0,"-",IF(M7=1,SUM(M$1:M6)+1,SUM(M$1:M6)+1 &amp; "-" &amp; SUM(M$1:M7)))</f>
        <v>17-18</v>
      </c>
      <c r="O7" s="15" t="str">
        <f t="shared" si="2"/>
        <v>!import-table-item --Armor-F --Shield, +1 --2</v>
      </c>
      <c r="P7" s="6" t="s">
        <v>152</v>
      </c>
      <c r="Q7" s="6" t="s">
        <v>1397</v>
      </c>
      <c r="R7" s="6">
        <v>6</v>
      </c>
      <c r="S7" s="9" t="str">
        <f>IF(R7=0,"-",IF(R7=1,SUM(R$1:R6)+1,SUM(R$1:R6)+1 &amp; "-" &amp; SUM(R$1:R7)))</f>
        <v>45-50</v>
      </c>
      <c r="T7" s="15" t="str">
        <f t="shared" si="3"/>
        <v>!import-table-item --Arms-F --Quiver of Ehlonna --6</v>
      </c>
      <c r="U7" s="6" t="s">
        <v>104</v>
      </c>
      <c r="V7" s="6" t="s">
        <v>1397</v>
      </c>
      <c r="W7" s="6">
        <v>1</v>
      </c>
      <c r="X7" s="9">
        <f>IF(W7=0,"-",IF(W7=1,SUM(W$1:W6)+1,SUM(W$1:W6)+1 &amp; "-" &amp; SUM(W$1:W7)))</f>
        <v>8</v>
      </c>
      <c r="Y7" s="15" t="str">
        <f t="shared" si="4"/>
        <v>!import-table-item --Jewelry-F --Brooch of Shielding --1</v>
      </c>
      <c r="AC7" s="9"/>
      <c r="AE7" s="6" t="s">
        <v>1130</v>
      </c>
      <c r="AF7" s="6" t="s">
        <v>1479</v>
      </c>
      <c r="AG7" s="6">
        <v>5</v>
      </c>
      <c r="AH7" s="9" t="str">
        <f>IF(AG7=0,"-",IF(AG7=1,SUM(AG$1:AG6)+1,SUM(AG$1:AG6)+1 &amp; "-" &amp; SUM(AG$1:AG7)))</f>
        <v>26-30</v>
      </c>
      <c r="AI7" s="15" t="str">
        <f t="shared" si="5"/>
        <v>!import-table-item --Misc-F --Night Caller --5</v>
      </c>
      <c r="AM7" s="9"/>
      <c r="AO7" s="6" t="s">
        <v>1866</v>
      </c>
      <c r="AP7" s="6" t="s">
        <v>1853</v>
      </c>
      <c r="AQ7" s="6">
        <v>8</v>
      </c>
      <c r="AR7" s="9" t="str">
        <f>IF(AQ7=0,"-",IF(AQ7=1,SUM(AQ$1:AQ6)+1,SUM(AQ$1:AQ6)+1 &amp; "-" &amp; SUM(AQ$1:AQ7)))</f>
        <v>41-48</v>
      </c>
      <c r="AS7" s="15" t="str">
        <f t="shared" si="6"/>
        <v>!import-table-item --Spellcaster-F --Spellburrow --8</v>
      </c>
    </row>
    <row r="8" spans="1:45" x14ac:dyDescent="0.25">
      <c r="D8" s="9"/>
      <c r="F8" s="6" t="s">
        <v>107</v>
      </c>
      <c r="G8" s="6" t="s">
        <v>1397</v>
      </c>
      <c r="H8" s="6">
        <v>4</v>
      </c>
      <c r="I8" s="9" t="str">
        <f>IF(H8=0,"-",IF(H8=1,SUM(H$1:H7)+1,SUM(H$1:H7)+1 &amp; "-" &amp; SUM(H$1:H8)))</f>
        <v>25-28</v>
      </c>
      <c r="J8" s="15" t="str">
        <f t="shared" si="1"/>
        <v>!import-table-item --Apparel-F --Cloak of Protection --4</v>
      </c>
      <c r="K8" s="24" t="s">
        <v>1889</v>
      </c>
      <c r="L8" s="6" t="s">
        <v>1875</v>
      </c>
      <c r="M8" s="6">
        <v>1</v>
      </c>
      <c r="N8" s="9">
        <f>IF(M8=0,"-",IF(M8=1,SUM(M$1:M7)+1,SUM(M$1:M7)+1 &amp; "-" &amp; SUM(M$1:M8)))</f>
        <v>19</v>
      </c>
      <c r="O8" s="15" t="str">
        <f t="shared" si="2"/>
        <v>!import-table-item --Armor-F --[[ 1t[Heavy-Armor] ]] of Knight's Fellowship --1</v>
      </c>
      <c r="P8" s="24" t="s">
        <v>1702</v>
      </c>
      <c r="Q8" s="6" t="s">
        <v>1397</v>
      </c>
      <c r="R8" s="6">
        <v>6</v>
      </c>
      <c r="S8" s="9" t="str">
        <f>IF(R8=0,"-",IF(R8=1,SUM(R$1:R7)+1,SUM(R$1:R7)+1 &amp; "-" &amp; SUM(R$1:R8)))</f>
        <v>51-56</v>
      </c>
      <c r="T8" s="15" t="str">
        <f t="shared" si="3"/>
        <v>!import-table-item --Arms-F --Vicious [[ 1t[Weapons] ]] --6</v>
      </c>
      <c r="U8" s="6" t="s">
        <v>1887</v>
      </c>
      <c r="V8" s="6" t="s">
        <v>1875</v>
      </c>
      <c r="W8" s="6">
        <v>1</v>
      </c>
      <c r="X8" s="9">
        <f>IF(W8=0,"-",IF(W8=1,SUM(W$1:W7)+1,SUM(W$1:W7)+1 &amp; "-" &amp; SUM(W$1:W8)))</f>
        <v>9</v>
      </c>
      <c r="Y8" s="15" t="str">
        <f t="shared" si="4"/>
        <v>!import-table-item --Jewelry-F --Fabulist Gem --1</v>
      </c>
      <c r="AC8" s="9"/>
      <c r="AE8" s="6" t="s">
        <v>1571</v>
      </c>
      <c r="AF8" s="6" t="s">
        <v>1401</v>
      </c>
      <c r="AG8" s="6">
        <v>5</v>
      </c>
      <c r="AH8" s="9" t="str">
        <f>IF(AG8=0,"-",IF(AG8=1,SUM(AG$1:AG7)+1,SUM(AG$1:AG7)+1 &amp; "-" &amp; SUM(AG$1:AG8)))</f>
        <v>31-35</v>
      </c>
      <c r="AI8" s="15" t="str">
        <f t="shared" si="5"/>
        <v>!import-table-item --Misc-F --Prehistoric Figurine of Wondrous Power (Pyrite Plesiosaurus) --5</v>
      </c>
      <c r="AM8" s="9"/>
      <c r="AO8" s="6" t="s">
        <v>1871</v>
      </c>
      <c r="AP8" s="6" t="s">
        <v>1853</v>
      </c>
      <c r="AQ8" s="6">
        <v>8</v>
      </c>
      <c r="AR8" s="9" t="str">
        <f>IF(AQ8=0,"-",IF(AQ8=1,SUM(AQ$1:AQ7)+1,SUM(AQ$1:AQ7)+1 &amp; "-" &amp; SUM(AQ$1:AQ8)))</f>
        <v>49-56</v>
      </c>
      <c r="AS8" s="15" t="str">
        <f t="shared" si="6"/>
        <v>!import-table-item --Spellcaster-F --Tools of the Master, +1 --8</v>
      </c>
    </row>
    <row r="9" spans="1:45" x14ac:dyDescent="0.25">
      <c r="D9" s="9"/>
      <c r="F9" s="6" t="s">
        <v>1139</v>
      </c>
      <c r="G9" s="6" t="s">
        <v>1402</v>
      </c>
      <c r="H9" s="6">
        <v>4</v>
      </c>
      <c r="I9" s="9" t="str">
        <f>IF(H9=0,"-",IF(H9=1,SUM(H$1:H8)+1,SUM(H$1:H8)+1 &amp; "-" &amp; SUM(H$1:H9)))</f>
        <v>29-32</v>
      </c>
      <c r="J9" s="15" t="str">
        <f t="shared" si="1"/>
        <v>!import-table-item --Apparel-F --Coiling Grasp Tattoo --4</v>
      </c>
      <c r="K9" s="24" t="s">
        <v>1874</v>
      </c>
      <c r="L9" s="6" t="s">
        <v>1875</v>
      </c>
      <c r="M9" s="6">
        <v>1</v>
      </c>
      <c r="N9" s="9">
        <f>IF(M9=0,"-",IF(M9=1,SUM(M$1:M8)+1,SUM(M$1:M8)+1 &amp; "-" &amp; SUM(M$1:M9)))</f>
        <v>20</v>
      </c>
      <c r="O9" s="15" t="str">
        <f t="shared" si="2"/>
        <v>!import-table-item --Armor-F --[[ 1t[Medium-Armor] ]] of Fungal Spores --1</v>
      </c>
      <c r="P9" s="6" t="s">
        <v>1879</v>
      </c>
      <c r="Q9" s="6" t="s">
        <v>1875</v>
      </c>
      <c r="R9" s="6">
        <v>3</v>
      </c>
      <c r="S9" s="9" t="str">
        <f>IF(R9=0,"-",IF(R9=1,SUM(R$1:R8)+1,SUM(R$1:R8)+1 &amp; "-" &amp; SUM(R$1:R9)))</f>
        <v>57-59</v>
      </c>
      <c r="T9" s="15" t="str">
        <f t="shared" si="3"/>
        <v>!import-table-item --Arms-F --Bloodrage Greataxe --3</v>
      </c>
      <c r="U9" s="6" t="s">
        <v>141</v>
      </c>
      <c r="V9" s="6" t="s">
        <v>1397</v>
      </c>
      <c r="W9" s="6">
        <v>1</v>
      </c>
      <c r="X9" s="9">
        <f>IF(W9=0,"-",IF(W9=1,SUM(W$1:W8)+1,SUM(W$1:W8)+1 &amp; "-" &amp; SUM(W$1:W9)))</f>
        <v>10</v>
      </c>
      <c r="Y9" s="15" t="str">
        <f t="shared" si="4"/>
        <v>!import-table-item --Jewelry-F --Medallion of Thoughts --1</v>
      </c>
      <c r="AC9" s="9"/>
      <c r="AE9" s="6" t="s">
        <v>1869</v>
      </c>
      <c r="AF9" s="6" t="s">
        <v>1853</v>
      </c>
      <c r="AG9" s="6">
        <v>5</v>
      </c>
      <c r="AH9" s="9" t="str">
        <f>IF(AG9=0,"-",IF(AG9=1,SUM(AG$1:AG8)+1,SUM(AG$1:AG8)+1 &amp; "-" &amp; SUM(AG$1:AG9)))</f>
        <v>36-40</v>
      </c>
      <c r="AI9" s="15" t="str">
        <f t="shared" si="5"/>
        <v>!import-table-item --Misc-F --Wandering Eye --5</v>
      </c>
      <c r="AM9" s="9"/>
      <c r="AO9" s="6" t="s">
        <v>1118</v>
      </c>
      <c r="AP9" s="6" t="s">
        <v>1402</v>
      </c>
      <c r="AQ9" s="6">
        <v>4</v>
      </c>
      <c r="AR9" s="9" t="str">
        <f>IF(AQ9=0,"-",IF(AQ9=1,SUM(AQ$1:AQ8)+1,SUM(AQ$1:AQ8)+1 &amp; "-" &amp; SUM(AQ$1:AQ9)))</f>
        <v>57-60</v>
      </c>
      <c r="AS9" s="15" t="str">
        <f t="shared" si="6"/>
        <v>!import-table-item --Spellcaster-F --Amulet of the Devout, +1 --4</v>
      </c>
    </row>
    <row r="10" spans="1:45" x14ac:dyDescent="0.25">
      <c r="D10" s="9"/>
      <c r="F10" s="6" t="s">
        <v>1115</v>
      </c>
      <c r="G10" s="6" t="s">
        <v>1403</v>
      </c>
      <c r="H10" s="6">
        <v>4</v>
      </c>
      <c r="I10" s="9" t="str">
        <f>IF(H10=0,"-",IF(H10=1,SUM(H$1:H9)+1,SUM(H$1:H9)+1 &amp; "-" &amp; SUM(H$1:H10)))</f>
        <v>33-36</v>
      </c>
      <c r="J10" s="15" t="str">
        <f t="shared" si="1"/>
        <v>!import-table-item --Apparel-F --Dragonhide Belt, +1 --4</v>
      </c>
      <c r="K10" s="6" t="s">
        <v>1891</v>
      </c>
      <c r="L10" s="6" t="s">
        <v>1875</v>
      </c>
      <c r="M10" s="6">
        <v>0</v>
      </c>
      <c r="N10" s="9" t="str">
        <f>IF(M10=0,"-",IF(M10=1,SUM(M$1:M9)+1,SUM(M$1:M9)+1 &amp; "-" &amp; SUM(M$1:M10)))</f>
        <v>-</v>
      </c>
      <c r="O10" s="15" t="str">
        <f t="shared" si="2"/>
        <v>!import-table-item --Armor-F --Shield of the Tortoise --0</v>
      </c>
      <c r="P10" s="6" t="s">
        <v>1864</v>
      </c>
      <c r="Q10" s="6" t="s">
        <v>1853</v>
      </c>
      <c r="R10" s="6">
        <v>3</v>
      </c>
      <c r="S10" s="9" t="str">
        <f>IF(R10=0,"-",IF(R10=1,SUM(R$1:R9)+1,SUM(R$1:R9)+1 &amp; "-" &amp; SUM(R$1:R10)))</f>
        <v>60-62</v>
      </c>
      <c r="T10" s="15" t="str">
        <f t="shared" si="3"/>
        <v>!import-table-item --Arms-F --Crawling Gauntlet --3</v>
      </c>
      <c r="U10" s="6" t="s">
        <v>144</v>
      </c>
      <c r="V10" s="6" t="s">
        <v>1397</v>
      </c>
      <c r="W10" s="6">
        <v>1</v>
      </c>
      <c r="X10" s="9">
        <f>IF(W10=0,"-",IF(W10=1,SUM(W$1:W9)+1,SUM(W$1:W9)+1 &amp; "-" &amp; SUM(W$1:W10)))</f>
        <v>11</v>
      </c>
      <c r="Y10" s="15" t="str">
        <f t="shared" si="4"/>
        <v>!import-table-item --Jewelry-F --Necklace of Adaptation --1</v>
      </c>
      <c r="AC10" s="9"/>
      <c r="AE10" s="6" t="s">
        <v>1881</v>
      </c>
      <c r="AF10" s="6" t="s">
        <v>1875</v>
      </c>
      <c r="AG10" s="6">
        <v>3</v>
      </c>
      <c r="AH10" s="9" t="str">
        <f>IF(AG10=0,"-",IF(AG10=1,SUM(AG$1:AG9)+1,SUM(AG$1:AG9)+1 &amp; "-" &amp; SUM(AG$1:AG10)))</f>
        <v>41-43</v>
      </c>
      <c r="AI10" s="15" t="str">
        <f t="shared" si="5"/>
        <v>!import-table-item --Misc-F --Card Sharp's Deck --3</v>
      </c>
      <c r="AM10" s="9"/>
      <c r="AO10" s="6" t="s">
        <v>1116</v>
      </c>
      <c r="AP10" s="6" t="s">
        <v>1402</v>
      </c>
      <c r="AQ10" s="6">
        <v>4</v>
      </c>
      <c r="AR10" s="9" t="str">
        <f>IF(AQ10=0,"-",IF(AQ10=1,SUM(AQ$1:AQ9)+1,SUM(AQ$1:AQ9)+1 &amp; "-" &amp; SUM(AQ$1:AQ10)))</f>
        <v>61-64</v>
      </c>
      <c r="AS10" s="15" t="str">
        <f t="shared" si="6"/>
        <v>!import-table-item --Spellcaster-F --Bloodwell Vial, +1 --4</v>
      </c>
    </row>
    <row r="11" spans="1:45" x14ac:dyDescent="0.25">
      <c r="D11" s="9"/>
      <c r="F11" s="6" t="s">
        <v>108</v>
      </c>
      <c r="G11" s="6" t="s">
        <v>1397</v>
      </c>
      <c r="H11" s="6">
        <v>4</v>
      </c>
      <c r="I11" s="9" t="str">
        <f>IF(H11=0,"-",IF(H11=1,SUM(H$1:H10)+1,SUM(H$1:H10)+1 &amp; "-" &amp; SUM(H$1:H11)))</f>
        <v>37-40</v>
      </c>
      <c r="J11" s="15" t="str">
        <f t="shared" si="1"/>
        <v>!import-table-item --Apparel-F --Gauntlets of Ogre Power --4</v>
      </c>
      <c r="P11" s="6" t="s">
        <v>1273</v>
      </c>
      <c r="Q11" s="6" t="s">
        <v>1411</v>
      </c>
      <c r="R11" s="6">
        <v>3</v>
      </c>
      <c r="S11" s="9" t="str">
        <f>IF(R11=0,"-",IF(R11=1,SUM(R$1:R10)+1,SUM(R$1:R10)+1 &amp; "-" &amp; SUM(R$1:R11)))</f>
        <v>63-65</v>
      </c>
      <c r="T11" s="15" t="str">
        <f t="shared" si="3"/>
        <v>!import-table-item --Arms-F --Dagger of Blindsight --3</v>
      </c>
      <c r="U11" s="6" t="s">
        <v>145</v>
      </c>
      <c r="V11" s="6" t="s">
        <v>1397</v>
      </c>
      <c r="W11" s="6">
        <v>1</v>
      </c>
      <c r="X11" s="9">
        <f>IF(W11=0,"-",IF(W11=1,SUM(W$1:W10)+1,SUM(W$1:W10)+1 &amp; "-" &amp; SUM(W$1:W11)))</f>
        <v>12</v>
      </c>
      <c r="Y11" s="15" t="str">
        <f t="shared" si="4"/>
        <v>!import-table-item --Jewelry-F --Periapt of Wound Closure --1</v>
      </c>
      <c r="AC11" s="9"/>
      <c r="AE11" s="6" t="s">
        <v>1882</v>
      </c>
      <c r="AF11" s="6" t="s">
        <v>1875</v>
      </c>
      <c r="AG11" s="6">
        <v>3</v>
      </c>
      <c r="AH11" s="9" t="str">
        <f>IF(AG11=0,"-",IF(AG11=1,SUM(AG$1:AG10)+1,SUM(AG$1:AG10)+1 &amp; "-" &amp; SUM(AG$1:AG11)))</f>
        <v>44-46</v>
      </c>
      <c r="AI11" s="15" t="str">
        <f t="shared" si="5"/>
        <v>!import-table-item --Misc-F --Deck of Miscellany --3</v>
      </c>
      <c r="AM11" s="9"/>
      <c r="AO11" s="6" t="s">
        <v>1137</v>
      </c>
      <c r="AP11" s="6" t="s">
        <v>1402</v>
      </c>
      <c r="AQ11" s="6">
        <v>4</v>
      </c>
      <c r="AR11" s="9" t="str">
        <f>IF(AQ11=0,"-",IF(AQ11=1,SUM(AQ$1:AQ10)+1,SUM(AQ$1:AQ10)+1 &amp; "-" &amp; SUM(AQ$1:AQ11)))</f>
        <v>65-68</v>
      </c>
      <c r="AS11" s="15" t="str">
        <f t="shared" si="6"/>
        <v>!import-table-item --Spellcaster-F --Feywild Shard --4</v>
      </c>
    </row>
    <row r="12" spans="1:45" x14ac:dyDescent="0.25">
      <c r="D12" s="9"/>
      <c r="F12" s="6" t="s">
        <v>135</v>
      </c>
      <c r="G12" s="6" t="s">
        <v>1397</v>
      </c>
      <c r="H12" s="6">
        <v>4</v>
      </c>
      <c r="I12" s="9" t="str">
        <f>IF(H12=0,"-",IF(H12=1,SUM(H$1:H11)+1,SUM(H$1:H11)+1 &amp; "-" &amp; SUM(H$1:H12)))</f>
        <v>41-44</v>
      </c>
      <c r="J12" s="15" t="str">
        <f t="shared" si="1"/>
        <v>!import-table-item --Apparel-F --Gloves of Missile Snaring --4</v>
      </c>
      <c r="P12" s="6" t="s">
        <v>1138</v>
      </c>
      <c r="Q12" s="6" t="s">
        <v>1402</v>
      </c>
      <c r="R12" s="6">
        <v>3</v>
      </c>
      <c r="S12" s="9" t="str">
        <f>IF(R12=0,"-",IF(R12=1,SUM(R$1:R11)+1,SUM(R$1:R11)+1 &amp; "-" &amp; SUM(R$1:R12)))</f>
        <v>66-68</v>
      </c>
      <c r="T12" s="15" t="str">
        <f t="shared" si="3"/>
        <v>!import-table-item --Arms-F --Eldritch Claw Tattoo --3</v>
      </c>
      <c r="U12" s="6" t="s">
        <v>148</v>
      </c>
      <c r="V12" s="6" t="s">
        <v>1397</v>
      </c>
      <c r="W12" s="6">
        <v>1</v>
      </c>
      <c r="X12" s="9">
        <f>IF(W12=0,"-",IF(W12=1,SUM(W$1:W11)+1,SUM(W$1:W11)+1 &amp; "-" &amp; SUM(W$1:W12)))</f>
        <v>13</v>
      </c>
      <c r="Y12" s="15" t="str">
        <f t="shared" si="4"/>
        <v>!import-table-item --Jewelry-F --Ring of Jumping --1</v>
      </c>
      <c r="AC12" s="9"/>
      <c r="AE12" s="6" t="s">
        <v>1883</v>
      </c>
      <c r="AF12" s="6" t="s">
        <v>1875</v>
      </c>
      <c r="AG12" s="6">
        <v>3</v>
      </c>
      <c r="AH12" s="9" t="str">
        <f>IF(AG12=0,"-",IF(AG12=1,SUM(AG$1:AG11)+1,SUM(AG$1:AG11)+1 &amp; "-" &amp; SUM(AG$1:AG12)))</f>
        <v>47-49</v>
      </c>
      <c r="AI12" s="15" t="str">
        <f t="shared" si="5"/>
        <v>!import-table-item --Misc-F --Deck of Wonder --3</v>
      </c>
      <c r="AM12" s="9"/>
      <c r="AO12" s="6" t="s">
        <v>1136</v>
      </c>
      <c r="AP12" s="6" t="s">
        <v>1402</v>
      </c>
      <c r="AQ12" s="6">
        <v>4</v>
      </c>
      <c r="AR12" s="9" t="str">
        <f>IF(AQ12=0,"-",IF(AQ12=1,SUM(AQ$1:AQ11)+1,SUM(AQ$1:AQ11)+1 &amp; "-" &amp; SUM(AQ$1:AQ12)))</f>
        <v>69-72</v>
      </c>
      <c r="AS12" s="15" t="str">
        <f t="shared" si="6"/>
        <v>!import-table-item --Spellcaster-F --Guardian Emblem --4</v>
      </c>
    </row>
    <row r="13" spans="1:45" x14ac:dyDescent="0.25">
      <c r="D13" s="9"/>
      <c r="F13" s="6" t="s">
        <v>1123</v>
      </c>
      <c r="G13" s="6" t="s">
        <v>1397</v>
      </c>
      <c r="H13" s="6">
        <v>4</v>
      </c>
      <c r="I13" s="9" t="str">
        <f>IF(H13=0,"-",IF(H13=1,SUM(H$1:H12)+1,SUM(H$1:H12)+1 &amp; "-" &amp; SUM(H$1:H13)))</f>
        <v>45-48</v>
      </c>
      <c r="J13" s="15" t="str">
        <f t="shared" si="1"/>
        <v>!import-table-item --Apparel-F --Gloves of Swimming and Climbing --4</v>
      </c>
      <c r="P13" s="6" t="s">
        <v>1150</v>
      </c>
      <c r="Q13" s="6" t="s">
        <v>1478</v>
      </c>
      <c r="R13" s="6">
        <v>3</v>
      </c>
      <c r="S13" s="9" t="str">
        <f>IF(R13=0,"-",IF(R13=1,SUM(R$1:R12)+1,SUM(R$1:R12)+1 &amp; "-" &amp; SUM(R$1:R13)))</f>
        <v>69-71</v>
      </c>
      <c r="T13" s="15" t="str">
        <f t="shared" si="3"/>
        <v>!import-table-item --Arms-F --Hew --3</v>
      </c>
      <c r="U13" s="6" t="s">
        <v>149</v>
      </c>
      <c r="V13" s="6" t="s">
        <v>1397</v>
      </c>
      <c r="W13" s="6">
        <v>1</v>
      </c>
      <c r="X13" s="9">
        <f>IF(W13=0,"-",IF(W13=1,SUM(W$1:W12)+1,SUM(W$1:W12)+1 &amp; "-" &amp; SUM(W$1:W13)))</f>
        <v>14</v>
      </c>
      <c r="Y13" s="15" t="str">
        <f t="shared" si="4"/>
        <v>!import-table-item --Jewelry-F --Ring of Mind Shielding --1</v>
      </c>
      <c r="AC13" s="9"/>
      <c r="AE13" s="6" t="s">
        <v>1657</v>
      </c>
      <c r="AF13" s="6" t="s">
        <v>1424</v>
      </c>
      <c r="AG13" s="6">
        <v>3</v>
      </c>
      <c r="AH13" s="9" t="str">
        <f>IF(AG13=0,"-",IF(AG13=1,SUM(AG$1:AG12)+1,SUM(AG$1:AG12)+1 &amp; "-" &amp; SUM(AG$1:AG13)))</f>
        <v>50-52</v>
      </c>
      <c r="AI13" s="15" t="str">
        <f t="shared" si="5"/>
        <v>!import-table-item --Misc-F --Pyroconverger --3</v>
      </c>
      <c r="AM13" s="9"/>
      <c r="AO13" s="6" t="s">
        <v>1114</v>
      </c>
      <c r="AP13" s="6" t="s">
        <v>1402</v>
      </c>
      <c r="AQ13" s="6">
        <v>4</v>
      </c>
      <c r="AR13" s="9" t="str">
        <f>IF(AQ13=0,"-",IF(AQ13=1,SUM(AQ$1:AQ12)+1,SUM(AQ$1:AQ12)+1 &amp; "-" &amp; SUM(AQ$1:AQ13)))</f>
        <v>73-76</v>
      </c>
      <c r="AS13" s="15" t="str">
        <f t="shared" si="6"/>
        <v>!import-table-item --Spellcaster-F --Moon Sickle, +1 --4</v>
      </c>
    </row>
    <row r="14" spans="1:45" x14ac:dyDescent="0.25">
      <c r="D14" s="9"/>
      <c r="F14" s="6" t="s">
        <v>416</v>
      </c>
      <c r="G14" s="6" t="s">
        <v>1397</v>
      </c>
      <c r="H14" s="6">
        <v>4</v>
      </c>
      <c r="I14" s="9" t="str">
        <f>IF(H14=0,"-",IF(H14=1,SUM(H$1:H13)+1,SUM(H$1:H13)+1 &amp; "-" &amp; SUM(H$1:H14)))</f>
        <v>49-52</v>
      </c>
      <c r="J14" s="15" t="str">
        <f t="shared" si="1"/>
        <v>!import-table-item --Apparel-F --Gloves of Thievery --4</v>
      </c>
      <c r="P14" s="6" t="s">
        <v>110</v>
      </c>
      <c r="Q14" s="6" t="s">
        <v>1397</v>
      </c>
      <c r="R14" s="6">
        <v>3</v>
      </c>
      <c r="S14" s="9" t="str">
        <f>IF(R14=0,"-",IF(R14=1,SUM(R$1:R13)+1,SUM(R$1:R13)+1 &amp; "-" &amp; SUM(R$1:R14)))</f>
        <v>72-74</v>
      </c>
      <c r="T14" s="15" t="str">
        <f t="shared" si="3"/>
        <v>!import-table-item --Arms-F --Javelin of Lightning --3</v>
      </c>
      <c r="U14" s="6" t="s">
        <v>1125</v>
      </c>
      <c r="V14" s="6" t="s">
        <v>1409</v>
      </c>
      <c r="W14" s="6">
        <v>1</v>
      </c>
      <c r="X14" s="9">
        <f>IF(W14=0,"-",IF(W14=1,SUM(W$1:W13)+1,SUM(W$1:W13)+1 &amp; "-" &amp; SUM(W$1:W14)))</f>
        <v>15</v>
      </c>
      <c r="Y14" s="15" t="str">
        <f t="shared" si="4"/>
        <v>!import-table-item --Jewelry-F --Ring of Obscuring --1</v>
      </c>
      <c r="AC14" s="9"/>
      <c r="AE14" s="6" t="s">
        <v>1155</v>
      </c>
      <c r="AF14" s="6" t="s">
        <v>1409</v>
      </c>
      <c r="AG14" s="6">
        <v>3</v>
      </c>
      <c r="AH14" s="9" t="str">
        <f>IF(AG14=0,"-",IF(AG14=1,SUM(AG$1:AG13)+1,SUM(AG$1:AG13)+1 &amp; "-" &amp; SUM(AG$1:AG14)))</f>
        <v>53-55</v>
      </c>
      <c r="AI14" s="15" t="str">
        <f t="shared" si="5"/>
        <v>!import-table-item --Misc-F --Rod of Retribution --3</v>
      </c>
      <c r="AM14" s="9"/>
      <c r="AO14" s="6" t="s">
        <v>1135</v>
      </c>
      <c r="AP14" s="6" t="s">
        <v>1402</v>
      </c>
      <c r="AQ14" s="6">
        <v>4</v>
      </c>
      <c r="AR14" s="9" t="str">
        <f>IF(AQ14=0,"-",IF(AQ14=1,SUM(AQ$1:AQ13)+1,SUM(AQ$1:AQ13)+1 &amp; "-" &amp; SUM(AQ$1:AQ14)))</f>
        <v>77-80</v>
      </c>
      <c r="AS14" s="15" t="str">
        <f t="shared" si="6"/>
        <v>!import-table-item --Spellcaster-F --Nature's Mantle --4</v>
      </c>
    </row>
    <row r="15" spans="1:45" x14ac:dyDescent="0.25">
      <c r="D15" s="9"/>
      <c r="F15" s="6" t="s">
        <v>1156</v>
      </c>
      <c r="G15" s="6" t="s">
        <v>1409</v>
      </c>
      <c r="H15" s="6">
        <v>4</v>
      </c>
      <c r="I15" s="9" t="str">
        <f>IF(H15=0,"-",IF(H15=1,SUM(H$1:H14)+1,SUM(H$1:H14)+1 &amp; "-" &amp; SUM(H$1:H15)))</f>
        <v>53-56</v>
      </c>
      <c r="J15" s="15" t="str">
        <f t="shared" si="1"/>
        <v>!import-table-item --Apparel-F --Goggles of Object Reading --4</v>
      </c>
      <c r="P15" s="6" t="s">
        <v>1149</v>
      </c>
      <c r="Q15" s="6" t="s">
        <v>1478</v>
      </c>
      <c r="R15" s="6">
        <v>3</v>
      </c>
      <c r="S15" s="9" t="str">
        <f>IF(R15=0,"-",IF(R15=1,SUM(R$1:R14)+1,SUM(R$1:R14)+1 &amp; "-" &amp; SUM(R$1:R15)))</f>
        <v>75-77</v>
      </c>
      <c r="T15" s="15" t="str">
        <f t="shared" si="3"/>
        <v>!import-table-item --Arms-F --Lightbringer --3</v>
      </c>
      <c r="U15" s="6" t="s">
        <v>210</v>
      </c>
      <c r="V15" s="6" t="s">
        <v>1397</v>
      </c>
      <c r="W15" s="6">
        <v>1</v>
      </c>
      <c r="X15" s="9">
        <f>IF(W15=0,"-",IF(W15=1,SUM(W$1:W14)+1,SUM(W$1:W14)+1 &amp; "-" &amp; SUM(W$1:W15)))</f>
        <v>16</v>
      </c>
      <c r="Y15" s="15" t="str">
        <f t="shared" si="4"/>
        <v>!import-table-item --Jewelry-F --Ring of Protection --1</v>
      </c>
      <c r="AC15" s="9"/>
      <c r="AE15" s="6" t="s">
        <v>1485</v>
      </c>
      <c r="AF15" s="6" t="s">
        <v>1399</v>
      </c>
      <c r="AG15" s="6">
        <v>3</v>
      </c>
      <c r="AH15" s="9" t="str">
        <f>IF(AG15=0,"-",IF(AG15=1,SUM(AG$1:AG14)+1,SUM(AG$1:AG14)+1 &amp; "-" &amp; SUM(AG$1:AG15)))</f>
        <v>56-58</v>
      </c>
      <c r="AI15" s="15" t="str">
        <f t="shared" si="5"/>
        <v>!import-table-item --Misc-F --Rod of the Vonindod (Finding) --3</v>
      </c>
      <c r="AM15" s="9"/>
      <c r="AO15" s="6" t="s">
        <v>1152</v>
      </c>
      <c r="AP15" s="6" t="s">
        <v>1403</v>
      </c>
      <c r="AQ15" s="6">
        <v>4</v>
      </c>
      <c r="AR15" s="9" t="str">
        <f>IF(AQ15=0,"-",IF(AQ15=1,SUM(AQ$1:AQ14)+1,SUM(AQ$1:AQ14)+1 &amp; "-" &amp; SUM(AQ$1:AQ15)))</f>
        <v>81-84</v>
      </c>
      <c r="AS15" s="15" t="str">
        <f t="shared" si="6"/>
        <v>!import-table-item --Spellcaster-F --Slumbering Dragon-Touched Focus --4</v>
      </c>
    </row>
    <row r="16" spans="1:45" x14ac:dyDescent="0.25">
      <c r="D16" s="9"/>
      <c r="F16" s="6" t="s">
        <v>109</v>
      </c>
      <c r="G16" s="6" t="s">
        <v>1397</v>
      </c>
      <c r="H16" s="6">
        <v>4</v>
      </c>
      <c r="I16" s="9" t="str">
        <f>IF(H16=0,"-",IF(H16=1,SUM(H$1:H15)+1,SUM(H$1:H15)+1 &amp; "-" &amp; SUM(H$1:H16)))</f>
        <v>57-60</v>
      </c>
      <c r="J16" s="15" t="str">
        <f t="shared" si="1"/>
        <v>!import-table-item --Apparel-F --Hat of Disguise --4</v>
      </c>
      <c r="P16" s="6" t="s">
        <v>1300</v>
      </c>
      <c r="Q16" s="6" t="s">
        <v>1409</v>
      </c>
      <c r="R16" s="6">
        <v>3</v>
      </c>
      <c r="S16" s="9" t="str">
        <f>IF(R16=0,"-",IF(R16=1,SUM(R$1:R15)+1,SUM(R$1:R15)+1 &amp; "-" &amp; SUM(R$1:R16)))</f>
        <v>78-80</v>
      </c>
      <c r="T16" s="15" t="str">
        <f t="shared" si="3"/>
        <v>!import-table-item --Arms-F --Needle of Mending --3</v>
      </c>
      <c r="U16" s="6" t="s">
        <v>1890</v>
      </c>
      <c r="V16" s="6" t="s">
        <v>1875</v>
      </c>
      <c r="W16" s="6">
        <v>1</v>
      </c>
      <c r="X16" s="9">
        <f>IF(W16=0,"-",IF(W16=1,SUM(W$1:W15)+1,SUM(W$1:W15)+1 &amp; "-" &amp; SUM(W$1:W16)))</f>
        <v>17</v>
      </c>
      <c r="Y16" s="15" t="str">
        <f t="shared" si="4"/>
        <v>!import-table-item --Jewelry-F --Ring of Puzzler's Wit --1</v>
      </c>
      <c r="AC16" s="9"/>
      <c r="AE16" s="6" t="s">
        <v>1312</v>
      </c>
      <c r="AF16" s="6" t="s">
        <v>1414</v>
      </c>
      <c r="AG16" s="6">
        <v>3</v>
      </c>
      <c r="AH16" s="9" t="str">
        <f>IF(AG16=0,"-",IF(AG16=1,SUM(AG$1:AG15)+1,SUM(AG$1:AG15)+1 &amp; "-" &amp; SUM(AG$1:AG16)))</f>
        <v>59-61</v>
      </c>
      <c r="AI16" s="15" t="str">
        <f t="shared" si="5"/>
        <v>!import-table-item --Misc-F --Scissors of Shadow Snipping --3</v>
      </c>
      <c r="AM16" s="9"/>
      <c r="AO16" s="6" t="s">
        <v>119</v>
      </c>
      <c r="AP16" s="6" t="s">
        <v>1397</v>
      </c>
      <c r="AQ16" s="6">
        <v>4</v>
      </c>
      <c r="AR16" s="9" t="str">
        <f>IF(AQ16=0,"-",IF(AQ16=1,SUM(AQ$1:AQ15)+1,SUM(AQ$1:AQ15)+1 &amp; "-" &amp; SUM(AQ$1:AQ16)))</f>
        <v>85-88</v>
      </c>
      <c r="AS16" s="15" t="str">
        <f t="shared" si="6"/>
        <v>!import-table-item --Spellcaster-F --Wand of the War Mage, +1 --4</v>
      </c>
    </row>
    <row r="17" spans="4:45" x14ac:dyDescent="0.25">
      <c r="D17" s="9"/>
      <c r="F17" s="6" t="s">
        <v>138</v>
      </c>
      <c r="G17" s="6" t="s">
        <v>1397</v>
      </c>
      <c r="H17" s="6">
        <v>4</v>
      </c>
      <c r="I17" s="9" t="str">
        <f>IF(H17=0,"-",IF(H17=1,SUM(H$1:H16)+1,SUM(H$1:H16)+1 &amp; "-" &amp; SUM(H$1:H17)))</f>
        <v>61-64</v>
      </c>
      <c r="J17" s="15" t="str">
        <f t="shared" si="1"/>
        <v>!import-table-item --Apparel-F --Headband of Intellect --4</v>
      </c>
      <c r="P17" s="6" t="s">
        <v>1132</v>
      </c>
      <c r="Q17" s="6" t="s">
        <v>1679</v>
      </c>
      <c r="R17" s="6">
        <v>3</v>
      </c>
      <c r="S17" s="9" t="str">
        <f>IF(R17=0,"-",IF(R17=1,SUM(R$1:R16)+1,SUM(R$1:R16)+1 &amp; "-" &amp; SUM(R$1:R17)))</f>
        <v>81-83</v>
      </c>
      <c r="T17" s="15" t="str">
        <f t="shared" si="3"/>
        <v>!import-table-item --Arms-F --Rod of Mercurial Form --3</v>
      </c>
      <c r="U17" s="11" t="s">
        <v>1126</v>
      </c>
      <c r="V17" s="6" t="s">
        <v>1439</v>
      </c>
      <c r="W17" s="6">
        <v>1</v>
      </c>
      <c r="X17" s="9">
        <f>IF(W17=0,"-",IF(W17=1,SUM(W$1:W16)+1,SUM(W$1:W16)+1 &amp; "-" &amp; SUM(W$1:W17)))</f>
        <v>18</v>
      </c>
      <c r="Y17" s="15" t="str">
        <f t="shared" si="4"/>
        <v>!import-table-item --Jewelry-F --Ring of Truth Telling --1</v>
      </c>
      <c r="AC17" s="9"/>
      <c r="AE17" s="6" t="s">
        <v>1316</v>
      </c>
      <c r="AF17" s="6" t="s">
        <v>1400</v>
      </c>
      <c r="AG17" s="6">
        <v>3</v>
      </c>
      <c r="AH17" s="9" t="str">
        <f>IF(AG17=0,"-",IF(AG17=1,SUM(AG$1:AG16)+1,SUM(AG$1:AG16)+1 &amp; "-" &amp; SUM(AG$1:AG17)))</f>
        <v>62-64</v>
      </c>
      <c r="AI17" s="15" t="str">
        <f t="shared" si="5"/>
        <v>!import-table-item --Misc-F --Siren Song Lyre --3</v>
      </c>
      <c r="AM17" s="9"/>
      <c r="AO17" s="6" t="s">
        <v>1199</v>
      </c>
      <c r="AP17" s="6" t="s">
        <v>1397</v>
      </c>
      <c r="AQ17" s="6">
        <v>3</v>
      </c>
      <c r="AR17" s="9" t="str">
        <f>IF(AQ17=0,"-",IF(AQ17=1,SUM(AQ$1:AQ16)+1,SUM(AQ$1:AQ16)+1 &amp; "-" &amp; SUM(AQ$1:AQ17)))</f>
        <v>89-91</v>
      </c>
      <c r="AS17" s="15" t="str">
        <f t="shared" si="6"/>
        <v>!import-table-item --Spellcaster-F --Instrument of the Bards (Doss Lute) --3</v>
      </c>
    </row>
    <row r="18" spans="4:45" x14ac:dyDescent="0.25">
      <c r="D18" s="9"/>
      <c r="F18" s="6" t="s">
        <v>1099</v>
      </c>
      <c r="G18" s="6" t="s">
        <v>1398</v>
      </c>
      <c r="H18" s="6">
        <v>4</v>
      </c>
      <c r="I18" s="9" t="str">
        <f>IF(H18=0,"-",IF(H18=1,SUM(H$1:H17)+1,SUM(H$1:H17)+1 &amp; "-" &amp; SUM(H$1:H18)))</f>
        <v>65-68</v>
      </c>
      <c r="J18" s="15" t="str">
        <f t="shared" si="1"/>
        <v>!import-table-item --Apparel-F --Living Gloves --4</v>
      </c>
      <c r="P18" s="6" t="s">
        <v>1892</v>
      </c>
      <c r="Q18" s="6" t="s">
        <v>1875</v>
      </c>
      <c r="R18" s="6">
        <v>3</v>
      </c>
      <c r="S18" s="9" t="str">
        <f>IF(R18=0,"-",IF(R18=1,SUM(R$1:R17)+1,SUM(R$1:R17)+1 &amp; "-" &amp; SUM(R$1:R18)))</f>
        <v>84-86</v>
      </c>
      <c r="T18" s="15" t="str">
        <f t="shared" si="3"/>
        <v>!import-table-item --Arms-F --Sling of Giant Felling --3</v>
      </c>
      <c r="U18" s="6" t="s">
        <v>150</v>
      </c>
      <c r="V18" s="6" t="s">
        <v>1397</v>
      </c>
      <c r="W18" s="6">
        <v>1</v>
      </c>
      <c r="X18" s="9">
        <f>IF(W18=0,"-",IF(W18=1,SUM(W$1:W17)+1,SUM(W$1:W17)+1 &amp; "-" &amp; SUM(W$1:W18)))</f>
        <v>19</v>
      </c>
      <c r="Y18" s="15" t="str">
        <f t="shared" si="4"/>
        <v>!import-table-item --Jewelry-F --Ring of Warmth --1</v>
      </c>
      <c r="AC18" s="9"/>
      <c r="AE18" s="6" t="s">
        <v>153</v>
      </c>
      <c r="AF18" s="6" t="s">
        <v>1397</v>
      </c>
      <c r="AG18" s="6">
        <v>3</v>
      </c>
      <c r="AH18" s="9" t="str">
        <f>IF(AG18=0,"-",IF(AG18=1,SUM(AG$1:AG17)+1,SUM(AG$1:AG17)+1 &amp; "-" &amp; SUM(AG$1:AG18)))</f>
        <v>65-67</v>
      </c>
      <c r="AI18" s="15" t="str">
        <f t="shared" si="5"/>
        <v>!import-table-item --Misc-F --Stone of Good Luck --3</v>
      </c>
      <c r="AM18" s="9"/>
      <c r="AO18" s="6" t="s">
        <v>1200</v>
      </c>
      <c r="AP18" s="6" t="s">
        <v>1397</v>
      </c>
      <c r="AQ18" s="6">
        <v>3</v>
      </c>
      <c r="AR18" s="9" t="str">
        <f>IF(AQ18=0,"-",IF(AQ18=1,SUM(AQ$1:AQ17)+1,SUM(AQ$1:AQ17)+1 &amp; "-" &amp; SUM(AQ$1:AQ18)))</f>
        <v>92-94</v>
      </c>
      <c r="AS18" s="15" t="str">
        <f t="shared" si="6"/>
        <v>!import-table-item --Spellcaster-F --Instrument of the Bards (Fochlucan Bandore) --3</v>
      </c>
    </row>
    <row r="19" spans="4:45" x14ac:dyDescent="0.25">
      <c r="D19" s="9"/>
      <c r="F19" s="6" t="s">
        <v>1311</v>
      </c>
      <c r="G19" s="6" t="s">
        <v>1479</v>
      </c>
      <c r="H19" s="6">
        <v>4</v>
      </c>
      <c r="I19" s="9" t="str">
        <f>IF(H19=0,"-",IF(H19=1,SUM(H$1:H18)+1,SUM(H$1:H18)+1 &amp; "-" &amp; SUM(H$1:H19)))</f>
        <v>69-72</v>
      </c>
      <c r="J19" s="15" t="str">
        <f t="shared" si="1"/>
        <v>!import-table-item --Apparel-F --Robe of Summer --4</v>
      </c>
      <c r="P19" s="24" t="s">
        <v>1862</v>
      </c>
      <c r="Q19" s="6" t="s">
        <v>1403</v>
      </c>
      <c r="R19" s="6">
        <v>3</v>
      </c>
      <c r="S19" s="9" t="str">
        <f>IF(R19=0,"-",IF(R19=1,SUM(R$1:R18)+1,SUM(R$1:R18)+1 &amp; "-" &amp; SUM(R$1:R19)))</f>
        <v>87-89</v>
      </c>
      <c r="T19" s="15" t="str">
        <f t="shared" si="3"/>
        <v>!import-table-item --Arms-F --Slumbering [[ 1t[Dragon-Breath] ]] Dragon's Wrath [[ 1t[Weapons] ]] --3</v>
      </c>
      <c r="U19" s="6" t="s">
        <v>151</v>
      </c>
      <c r="V19" s="6" t="s">
        <v>1397</v>
      </c>
      <c r="W19" s="6">
        <v>1</v>
      </c>
      <c r="X19" s="9">
        <f>IF(W19=0,"-",IF(W19=1,SUM(W$1:W18)+1,SUM(W$1:W18)+1 &amp; "-" &amp; SUM(W$1:W19)))</f>
        <v>20</v>
      </c>
      <c r="Y19" s="15" t="str">
        <f t="shared" si="4"/>
        <v>!import-table-item --Jewelry-F --Ring of Water Walking --1</v>
      </c>
      <c r="AC19" s="9"/>
      <c r="AE19" s="6" t="s">
        <v>118</v>
      </c>
      <c r="AF19" s="6" t="s">
        <v>1397</v>
      </c>
      <c r="AG19" s="6">
        <v>3</v>
      </c>
      <c r="AH19" s="9" t="str">
        <f>IF(AG19=0,"-",IF(AG19=1,SUM(AG$1:AG18)+1,SUM(AG$1:AG18)+1 &amp; "-" &amp; SUM(AG$1:AG19)))</f>
        <v>68-70</v>
      </c>
      <c r="AI19" s="15" t="str">
        <f t="shared" si="5"/>
        <v>!import-table-item --Misc-F --Wand of Magic Missiles --3</v>
      </c>
      <c r="AM19" s="9"/>
      <c r="AO19" s="6" t="s">
        <v>1201</v>
      </c>
      <c r="AP19" s="6" t="s">
        <v>1397</v>
      </c>
      <c r="AQ19" s="6">
        <v>3</v>
      </c>
      <c r="AR19" s="9" t="str">
        <f>IF(AQ19=0,"-",IF(AQ19=1,SUM(AQ$1:AQ18)+1,SUM(AQ$1:AQ18)+1 &amp; "-" &amp; SUM(AQ$1:AQ19)))</f>
        <v>95-97</v>
      </c>
      <c r="AS19" s="15" t="str">
        <f t="shared" si="6"/>
        <v>!import-table-item --Spellcaster-F --Instrument of the Bards (Mac-Fuimidh Cittern) --3</v>
      </c>
    </row>
    <row r="20" spans="4:45" x14ac:dyDescent="0.25">
      <c r="D20" s="9"/>
      <c r="F20" s="6" t="s">
        <v>113</v>
      </c>
      <c r="G20" s="6" t="s">
        <v>1397</v>
      </c>
      <c r="H20" s="6">
        <v>4</v>
      </c>
      <c r="I20" s="9" t="str">
        <f>IF(H20=0,"-",IF(H20=1,SUM(H$1:H19)+1,SUM(H$1:H19)+1 &amp; "-" &amp; SUM(H$1:H20)))</f>
        <v>73-76</v>
      </c>
      <c r="J20" s="15" t="str">
        <f t="shared" si="1"/>
        <v>!import-table-item --Apparel-F --Slippers of Spider Climbing --4</v>
      </c>
      <c r="P20" s="6" t="s">
        <v>1868</v>
      </c>
      <c r="Q20" s="6" t="s">
        <v>1853</v>
      </c>
      <c r="R20" s="6">
        <v>3</v>
      </c>
      <c r="S20" s="9" t="str">
        <f>IF(R20=0,"-",IF(R20=1,SUM(R$1:R19)+1,SUM(R$1:R19)+1 &amp; "-" &amp; SUM(R$1:R20)))</f>
        <v>90-92</v>
      </c>
      <c r="T20" s="15" t="str">
        <f t="shared" si="3"/>
        <v>!import-table-item --Arms-F --Throwing Scarab --3</v>
      </c>
      <c r="X20" s="9"/>
      <c r="AC20" s="9"/>
      <c r="AE20" s="6" t="s">
        <v>120</v>
      </c>
      <c r="AF20" s="6" t="s">
        <v>1397</v>
      </c>
      <c r="AG20" s="6">
        <v>3</v>
      </c>
      <c r="AH20" s="9" t="str">
        <f>IF(AG20=0,"-",IF(AG20=1,SUM(AG$1:AG19)+1,SUM(AG$1:AG19)+1 &amp; "-" &amp; SUM(AG$1:AG20)))</f>
        <v>71-73</v>
      </c>
      <c r="AI20" s="15" t="str">
        <f t="shared" si="5"/>
        <v>!import-table-item --Misc-F --Wand of Web --3</v>
      </c>
      <c r="AM20" s="9"/>
      <c r="AO20" s="6" t="s">
        <v>1113</v>
      </c>
      <c r="AP20" s="6" t="s">
        <v>1402</v>
      </c>
      <c r="AQ20" s="6">
        <v>3</v>
      </c>
      <c r="AR20" s="9" t="str">
        <f>IF(AQ20=0,"-",IF(AQ20=1,SUM(AQ$1:AQ19)+1,SUM(AQ$1:AQ19)+1 &amp; "-" &amp; SUM(AQ$1:AQ20)))</f>
        <v>98-100</v>
      </c>
      <c r="AS20" s="15" t="str">
        <f t="shared" si="6"/>
        <v>!import-table-item --Spellcaster-F --Rhythm-Maker's Drum, +1 --3</v>
      </c>
    </row>
    <row r="21" spans="4:45" x14ac:dyDescent="0.25">
      <c r="D21" s="9"/>
      <c r="F21" s="6" t="s">
        <v>1690</v>
      </c>
      <c r="G21" s="6" t="s">
        <v>1403</v>
      </c>
      <c r="H21" s="6">
        <v>4</v>
      </c>
      <c r="I21" s="9" t="str">
        <f>IF(H21=0,"-",IF(H21=1,SUM(H$1:H20)+1,SUM(H$1:H20)+1 &amp; "-" &amp; SUM(H$1:H21)))</f>
        <v>77-80</v>
      </c>
      <c r="J21" s="15" t="str">
        <f t="shared" si="1"/>
        <v>!import-table-item --Apparel-F --Slumbering Scaled Ornament --4</v>
      </c>
      <c r="P21" s="6" t="s">
        <v>1867</v>
      </c>
      <c r="Q21" s="6" t="s">
        <v>1853</v>
      </c>
      <c r="R21" s="6">
        <v>3</v>
      </c>
      <c r="S21" s="9" t="str">
        <f>IF(R21=0,"-",IF(R21=1,SUM(R$1:R20)+1,SUM(R$1:R20)+1 &amp; "-" &amp; SUM(R$1:R21)))</f>
        <v>93-95</v>
      </c>
      <c r="T21" s="15" t="str">
        <f t="shared" si="3"/>
        <v>!import-table-item --Arms-F --Tongueworm --3</v>
      </c>
      <c r="X21" s="9"/>
      <c r="AC21" s="9"/>
      <c r="AE21" s="6" t="s">
        <v>1330</v>
      </c>
      <c r="AF21" s="6" t="s">
        <v>1401</v>
      </c>
      <c r="AG21" s="6">
        <v>3</v>
      </c>
      <c r="AH21" s="9" t="str">
        <f>IF(AG21=0,"-",IF(AG21=1,SUM(AG$1:AG20)+1,SUM(AG$1:AG20)+1 &amp; "-" &amp; SUM(AG$1:AG21)))</f>
        <v>74-76</v>
      </c>
      <c r="AI21" s="15" t="str">
        <f t="shared" si="5"/>
        <v>!import-table-item --Misc-F --War Horn of Valor --3</v>
      </c>
      <c r="AM21" s="9"/>
      <c r="AO21" s="6" t="s">
        <v>1318</v>
      </c>
      <c r="AP21" s="6" t="s">
        <v>1478</v>
      </c>
      <c r="AQ21" s="6">
        <v>0</v>
      </c>
      <c r="AR21" s="9" t="str">
        <f>IF(AQ21=0,"-",IF(AQ21=1,SUM(AQ$1:AQ20)+1,SUM(AQ$1:AQ20)+1 &amp; "-" &amp; SUM(AQ$1:AQ21)))</f>
        <v>-</v>
      </c>
      <c r="AS21" s="15" t="str">
        <f t="shared" si="6"/>
        <v>!import-table-item --Spellcaster-F --Spider Staff --0</v>
      </c>
    </row>
    <row r="22" spans="4:45" x14ac:dyDescent="0.25">
      <c r="D22" s="9"/>
      <c r="F22" s="6" t="s">
        <v>1195</v>
      </c>
      <c r="G22" s="6" t="s">
        <v>1402</v>
      </c>
      <c r="H22" s="6">
        <v>4</v>
      </c>
      <c r="I22" s="9" t="str">
        <f>IF(H22=0,"-",IF(H22=1,SUM(H$1:H21)+1,SUM(H$1:H21)+1 &amp; "-" &amp; SUM(H$1:H22)))</f>
        <v>81-84</v>
      </c>
      <c r="J22" s="15" t="str">
        <f t="shared" si="1"/>
        <v>!import-table-item --Apparel-F --Small Barrier Tattoo --4</v>
      </c>
      <c r="P22" s="6" t="s">
        <v>1873</v>
      </c>
      <c r="Q22" s="6" t="s">
        <v>1875</v>
      </c>
      <c r="R22" s="6">
        <v>3</v>
      </c>
      <c r="S22" s="9" t="str">
        <f>IF(R22=0,"-",IF(R22=1,SUM(R$1:R21)+1,SUM(R$1:R21)+1 &amp; "-" &amp; SUM(R$1:R22)))</f>
        <v>96-98</v>
      </c>
      <c r="T22" s="15" t="str">
        <f t="shared" si="3"/>
        <v>!import-table-item --Arms-F --Wraps of Unarmed Prowess, +1 --3</v>
      </c>
      <c r="X22" s="9"/>
      <c r="AC22" s="9"/>
      <c r="AE22" s="24" t="s">
        <v>1198</v>
      </c>
      <c r="AF22" s="6" t="s">
        <v>1397</v>
      </c>
      <c r="AG22" s="6">
        <v>2</v>
      </c>
      <c r="AH22" s="9" t="str">
        <f>IF(AG22=0,"-",IF(AG22=1,SUM(AG$1:AG21)+1,SUM(AG$1:AG21)+1 &amp; "-" &amp; SUM(AG$1:AG22)))</f>
        <v>77-78</v>
      </c>
      <c r="AI22" s="15" t="str">
        <f t="shared" si="5"/>
        <v>!import-table-item --Misc-F --[[ 1t[Bag-of-Tricks-F] ]] --2</v>
      </c>
      <c r="AM22" s="9"/>
      <c r="AO22" s="6" t="s">
        <v>114</v>
      </c>
      <c r="AP22" s="6" t="s">
        <v>1397</v>
      </c>
      <c r="AQ22" s="6">
        <v>0</v>
      </c>
      <c r="AR22" s="9" t="str">
        <f>IF(AQ22=0,"-",IF(AQ22=1,SUM(AQ$1:AQ21)+1,SUM(AQ$1:AQ21)+1 &amp; "-" &amp; SUM(AQ$1:AQ22)))</f>
        <v>-</v>
      </c>
      <c r="AS22" s="15" t="str">
        <f t="shared" si="6"/>
        <v>!import-table-item --Spellcaster-F --Staff of the Adder --0</v>
      </c>
    </row>
    <row r="23" spans="4:45" x14ac:dyDescent="0.25">
      <c r="D23" s="9"/>
      <c r="F23" s="6" t="s">
        <v>155</v>
      </c>
      <c r="G23" s="6" t="s">
        <v>1397</v>
      </c>
      <c r="H23" s="6">
        <v>4</v>
      </c>
      <c r="I23" s="9" t="str">
        <f>IF(H23=0,"-",IF(H23=1,SUM(H$1:H22)+1,SUM(H$1:H22)+1 &amp; "-" &amp; SUM(H$1:H23)))</f>
        <v>85-88</v>
      </c>
      <c r="J23" s="15" t="str">
        <f t="shared" si="1"/>
        <v>!import-table-item --Apparel-F --Winged Boots --4</v>
      </c>
      <c r="P23" s="6" t="s">
        <v>117</v>
      </c>
      <c r="Q23" s="6" t="s">
        <v>1397</v>
      </c>
      <c r="R23" s="6">
        <v>2</v>
      </c>
      <c r="S23" s="9" t="str">
        <f>IF(R23=0,"-",IF(R23=1,SUM(R$1:R22)+1,SUM(R$1:R22)+1 &amp; "-" &amp; SUM(R$1:R23)))</f>
        <v>99-100</v>
      </c>
      <c r="T23" s="15" t="str">
        <f t="shared" si="3"/>
        <v>!import-table-item --Arms-F --Trident of Fish Command --2</v>
      </c>
      <c r="X23" s="9"/>
      <c r="AC23" s="9"/>
      <c r="AE23" s="6" t="s">
        <v>105</v>
      </c>
      <c r="AF23" s="6" t="s">
        <v>1397</v>
      </c>
      <c r="AG23" s="6">
        <v>2</v>
      </c>
      <c r="AH23" s="9" t="str">
        <f>IF(AG23=0,"-",IF(AG23=1,SUM(AG$1:AG22)+1,SUM(AG$1:AG22)+1 &amp; "-" &amp; SUM(AG$1:AG23)))</f>
        <v>79-80</v>
      </c>
      <c r="AI23" s="15" t="str">
        <f t="shared" si="5"/>
        <v>!import-table-item --Misc-F --Broom of Flying --2</v>
      </c>
      <c r="AM23" s="9"/>
      <c r="AO23" s="6" t="s">
        <v>115</v>
      </c>
      <c r="AP23" s="6" t="s">
        <v>1397</v>
      </c>
      <c r="AQ23" s="6">
        <v>0</v>
      </c>
      <c r="AR23" s="9" t="str">
        <f>IF(AQ23=0,"-",IF(AQ23=1,SUM(AQ$1:AQ22)+1,SUM(AQ$1:AQ22)+1 &amp; "-" &amp; SUM(AQ$1:AQ23)))</f>
        <v>-</v>
      </c>
      <c r="AS23" s="15" t="str">
        <f t="shared" si="6"/>
        <v>!import-table-item --Spellcaster-F --Staff of the Python --0</v>
      </c>
    </row>
    <row r="24" spans="4:45" x14ac:dyDescent="0.25">
      <c r="D24" s="9"/>
      <c r="F24" s="6" t="s">
        <v>132</v>
      </c>
      <c r="G24" s="6" t="s">
        <v>1397</v>
      </c>
      <c r="H24" s="6">
        <v>3</v>
      </c>
      <c r="I24" s="9" t="str">
        <f>IF(H24=0,"-",IF(H24=1,SUM(H$1:H23)+1,SUM(H$1:H23)+1 &amp; "-" &amp; SUM(H$1:H24)))</f>
        <v>89-91</v>
      </c>
      <c r="J24" s="15" t="str">
        <f t="shared" si="1"/>
        <v>!import-table-item --Apparel-F --Eyes of Charming --3</v>
      </c>
      <c r="P24" s="24" t="s">
        <v>1508</v>
      </c>
      <c r="Q24" s="6" t="s">
        <v>1397</v>
      </c>
      <c r="R24" s="6">
        <v>0</v>
      </c>
      <c r="S24" s="9" t="str">
        <f>IF(R24=0,"-",IF(R24=1,SUM(R$1:R23)+1,SUM(R$1:R23)+1 &amp; "-" &amp; SUM(R$1:R24)))</f>
        <v>-</v>
      </c>
      <c r="T24" s="15" t="str">
        <f t="shared" si="3"/>
        <v>!import-table-item --Arms-F --[[ 1t[Swords] ]] of Vengeance --0</v>
      </c>
      <c r="X24" s="9"/>
      <c r="AC24" s="9"/>
      <c r="AE24" s="6" t="s">
        <v>129</v>
      </c>
      <c r="AF24" s="6" t="s">
        <v>1397</v>
      </c>
      <c r="AG24" s="6">
        <v>2</v>
      </c>
      <c r="AH24" s="9" t="str">
        <f>IF(AG24=0,"-",IF(AG24=1,SUM(AG$1:AG23)+1,SUM(AG$1:AG23)+1 &amp; "-" &amp; SUM(AG$1:AG24)))</f>
        <v>81-82</v>
      </c>
      <c r="AI24" s="15" t="str">
        <f t="shared" si="5"/>
        <v>!import-table-item --Misc-F --Circlet of Blasting --2</v>
      </c>
      <c r="AM24" s="9"/>
      <c r="AR24" s="9"/>
    </row>
    <row r="25" spans="4:45" x14ac:dyDescent="0.25">
      <c r="D25" s="9"/>
      <c r="F25" s="6" t="s">
        <v>133</v>
      </c>
      <c r="G25" s="6" t="s">
        <v>1397</v>
      </c>
      <c r="H25" s="6">
        <v>3</v>
      </c>
      <c r="I25" s="9" t="str">
        <f>IF(H25=0,"-",IF(H25=1,SUM(H$1:H24)+1,SUM(H$1:H24)+1 &amp; "-" &amp; SUM(H$1:H25)))</f>
        <v>92-94</v>
      </c>
      <c r="J25" s="15" t="str">
        <f t="shared" si="1"/>
        <v>!import-table-item --Apparel-F --Eyes of the Eagle --3</v>
      </c>
      <c r="S25" s="9"/>
      <c r="X25" s="9"/>
      <c r="AC25" s="9"/>
      <c r="AE25" s="6" t="s">
        <v>1129</v>
      </c>
      <c r="AF25" s="6" t="s">
        <v>1397</v>
      </c>
      <c r="AG25" s="6">
        <v>2</v>
      </c>
      <c r="AH25" s="9" t="str">
        <f>IF(AG25=0,"-",IF(AG25=1,SUM(AG$1:AG24)+1,SUM(AG$1:AG24)+1 &amp; "-" &amp; SUM(AG$1:AG25)))</f>
        <v>83-84</v>
      </c>
      <c r="AI25" s="15" t="str">
        <f t="shared" si="5"/>
        <v>!import-table-item --Misc-F --Deck of Illusions ([[34-1d20-1]] cards) --2</v>
      </c>
      <c r="AM25" s="9"/>
      <c r="AR25" s="9"/>
    </row>
    <row r="26" spans="4:45" x14ac:dyDescent="0.25">
      <c r="D26" s="9"/>
      <c r="F26" s="6" t="s">
        <v>139</v>
      </c>
      <c r="G26" s="6" t="s">
        <v>1397</v>
      </c>
      <c r="H26" s="6">
        <v>3</v>
      </c>
      <c r="I26" s="9" t="str">
        <f>IF(H26=0,"-",IF(H26=1,SUM(H$1:H25)+1,SUM(H$1:H25)+1 &amp; "-" &amp; SUM(H$1:H26)))</f>
        <v>95-97</v>
      </c>
      <c r="J26" s="15" t="str">
        <f t="shared" si="1"/>
        <v>!import-table-item --Apparel-F --Helm of Telepathy --3</v>
      </c>
      <c r="X26" s="9"/>
      <c r="AC26" s="9"/>
      <c r="AE26" s="6" t="s">
        <v>131</v>
      </c>
      <c r="AF26" s="6" t="s">
        <v>1397</v>
      </c>
      <c r="AG26" s="6">
        <v>2</v>
      </c>
      <c r="AH26" s="9" t="str">
        <f>IF(AG26=0,"-",IF(AG26=1,SUM(AG$1:AG25)+1,SUM(AG$1:AG25)+1 &amp; "-" &amp; SUM(AG$1:AG26)))</f>
        <v>85-86</v>
      </c>
      <c r="AI26" s="15" t="str">
        <f t="shared" si="5"/>
        <v>!import-table-item --Misc-F --Eversmoking Bottle --2</v>
      </c>
      <c r="AM26" s="9"/>
    </row>
    <row r="27" spans="4:45" x14ac:dyDescent="0.25">
      <c r="D27" s="9"/>
      <c r="F27" s="11" t="s">
        <v>1151</v>
      </c>
      <c r="G27" s="6" t="s">
        <v>1481</v>
      </c>
      <c r="H27" s="6">
        <v>3</v>
      </c>
      <c r="I27" s="9" t="str">
        <f>IF(H27=0,"-",IF(H27=1,SUM(H$1:H26)+1,SUM(H$1:H26)+1 &amp; "-" &amp; SUM(H$1:H27)))</f>
        <v>98-100</v>
      </c>
      <c r="J27" s="15" t="str">
        <f t="shared" si="1"/>
        <v>!import-table-item --Apparel-F --Helm of Underwater Action --3</v>
      </c>
      <c r="AC27" s="9"/>
      <c r="AE27" s="6" t="s">
        <v>1676</v>
      </c>
      <c r="AF27" s="6" t="s">
        <v>1397</v>
      </c>
      <c r="AG27" s="6">
        <v>2</v>
      </c>
      <c r="AH27" s="9" t="str">
        <f>IF(AG27=0,"-",IF(AG27=1,SUM(AG$1:AG26)+1,SUM(AG$1:AG26)+1 &amp; "-" &amp; SUM(AG$1:AG27)))</f>
        <v>87-88</v>
      </c>
      <c r="AI27" s="15" t="str">
        <f t="shared" si="5"/>
        <v>!import-table-item --Misc-F --Figurine of Wondrous Power (Silver Raven) --2</v>
      </c>
      <c r="AM27" s="9"/>
    </row>
    <row r="28" spans="4:45" x14ac:dyDescent="0.25">
      <c r="D28" s="9"/>
      <c r="F28" s="6" t="s">
        <v>2021</v>
      </c>
      <c r="AC28" s="9"/>
      <c r="AE28" s="6" t="s">
        <v>146</v>
      </c>
      <c r="AF28" s="6" t="s">
        <v>1397</v>
      </c>
      <c r="AG28" s="6">
        <v>2</v>
      </c>
      <c r="AH28" s="9" t="str">
        <f>IF(AG28=0,"-",IF(AG28=1,SUM(AG$1:AG27)+1,SUM(AG$1:AG27)+1 &amp; "-" &amp; SUM(AG$1:AG28)))</f>
        <v>89-90</v>
      </c>
      <c r="AI28" s="15" t="str">
        <f t="shared" si="5"/>
        <v>!import-table-item --Misc-F --Pipes of Haunting --2</v>
      </c>
      <c r="AM28" s="9"/>
    </row>
    <row r="29" spans="4:45" x14ac:dyDescent="0.25">
      <c r="D29" s="9"/>
      <c r="AC29" s="9"/>
      <c r="AE29" s="6" t="s">
        <v>147</v>
      </c>
      <c r="AF29" s="6" t="s">
        <v>1397</v>
      </c>
      <c r="AG29" s="6">
        <v>2</v>
      </c>
      <c r="AH29" s="9" t="str">
        <f>IF(AG29=0,"-",IF(AG29=1,SUM(AG$1:AG28)+1,SUM(AG$1:AG28)+1 &amp; "-" &amp; SUM(AG$1:AG29)))</f>
        <v>91-92</v>
      </c>
      <c r="AI29" s="15" t="str">
        <f t="shared" si="5"/>
        <v>!import-table-item --Misc-F --Pipes of the Sewers --2</v>
      </c>
      <c r="AM29" s="9"/>
    </row>
    <row r="30" spans="4:45" x14ac:dyDescent="0.25">
      <c r="D30" s="9"/>
      <c r="AC30" s="9"/>
      <c r="AE30" s="6" t="s">
        <v>1317</v>
      </c>
      <c r="AF30" s="6" t="s">
        <v>1679</v>
      </c>
      <c r="AG30" s="6">
        <v>2</v>
      </c>
      <c r="AH30" s="9" t="str">
        <f>IF(AG30=0,"-",IF(AG30=1,SUM(AG$1:AG29)+1,SUM(AG$1:AG29)+1 &amp; "-" &amp; SUM(AG$1:AG30)))</f>
        <v>93-94</v>
      </c>
      <c r="AI30" s="15" t="str">
        <f t="shared" si="5"/>
        <v>!import-table-item --Misc-F --Skysail --2</v>
      </c>
      <c r="AM30" s="9"/>
    </row>
    <row r="31" spans="4:45" x14ac:dyDescent="0.25">
      <c r="D31" s="9"/>
      <c r="AC31" s="9"/>
      <c r="AE31" s="11" t="s">
        <v>1153</v>
      </c>
      <c r="AF31" s="6" t="s">
        <v>1403</v>
      </c>
      <c r="AG31" s="6">
        <v>2</v>
      </c>
      <c r="AH31" s="9" t="str">
        <f>IF(AG31=0,"-",IF(AG31=1,SUM(AG$1:AG30)+1,SUM(AG$1:AG30)+1 &amp; "-" &amp; SUM(AG$1:AG31)))</f>
        <v>95-96</v>
      </c>
      <c r="AI31" s="15" t="str">
        <f t="shared" si="5"/>
        <v>!import-table-item --Misc-F --Slumbering Dragon Vessel --2</v>
      </c>
      <c r="AM31" s="9"/>
    </row>
    <row r="32" spans="4:45" x14ac:dyDescent="0.25">
      <c r="AE32" s="6" t="s">
        <v>1655</v>
      </c>
      <c r="AF32" s="6" t="s">
        <v>1424</v>
      </c>
      <c r="AG32" s="6">
        <v>2</v>
      </c>
      <c r="AH32" s="9" t="str">
        <f>IF(AG32=0,"-",IF(AG32=1,SUM(AG$1:AG31)+1,SUM(AG$1:AG31)+1 &amp; "-" &amp; SUM(AG$1:AG32)))</f>
        <v>97-98</v>
      </c>
      <c r="AI32" s="15" t="str">
        <f t="shared" si="5"/>
        <v>!import-table-item --Misc-F --Spies' Murmur --2</v>
      </c>
    </row>
    <row r="33" spans="31:35" x14ac:dyDescent="0.25">
      <c r="AE33" s="6" t="s">
        <v>154</v>
      </c>
      <c r="AF33" s="6" t="s">
        <v>1397</v>
      </c>
      <c r="AG33" s="6">
        <v>2</v>
      </c>
      <c r="AH33" s="9" t="str">
        <f>IF(AG33=0,"-",IF(AG33=1,SUM(AG$1:AG32)+1,SUM(AG$1:AG32)+1 &amp; "-" &amp; SUM(AG$1:AG33)))</f>
        <v>99-100</v>
      </c>
      <c r="AI33" s="15" t="str">
        <f t="shared" si="5"/>
        <v>!import-table-item --Misc-F --Wind Fan --2</v>
      </c>
    </row>
    <row r="34" spans="31:35" x14ac:dyDescent="0.25">
      <c r="AE34" s="6" t="s">
        <v>1878</v>
      </c>
      <c r="AF34" s="6" t="s">
        <v>1875</v>
      </c>
      <c r="AG34" s="6">
        <v>0</v>
      </c>
      <c r="AH34" s="9" t="str">
        <f>IF(AG34=0,"-",IF(AG34=1,SUM(AG$1:AG33)+1,SUM(AG$1:AG33)+1 &amp; "-" &amp; SUM(AG$1:AG34)))</f>
        <v>-</v>
      </c>
      <c r="AI34" s="15" t="str">
        <f t="shared" si="5"/>
        <v>!import-table-item --Misc-F --Blasted Goggles --0</v>
      </c>
    </row>
    <row r="35" spans="31:35" x14ac:dyDescent="0.25">
      <c r="AE35" s="6" t="s">
        <v>1507</v>
      </c>
      <c r="AF35" s="6" t="s">
        <v>1481</v>
      </c>
      <c r="AG35" s="6">
        <v>0</v>
      </c>
      <c r="AH35" s="9" t="str">
        <f>IF(AG35=0,"-",IF(AG35=1,SUM(AG$1:AG34)+1,SUM(AG$1:AG34)+1 &amp; "-" &amp; SUM(AG$1:AG35)))</f>
        <v>-</v>
      </c>
      <c r="AI35" s="15" t="str">
        <f t="shared" si="5"/>
        <v>!import-table-item --Misc-F --Cursed Luckstone --0</v>
      </c>
    </row>
    <row r="36" spans="31:35" x14ac:dyDescent="0.25">
      <c r="AE36" s="6" t="s">
        <v>1510</v>
      </c>
      <c r="AF36" s="6" t="s">
        <v>1479</v>
      </c>
      <c r="AG36" s="6">
        <v>0</v>
      </c>
      <c r="AH36" s="9" t="str">
        <f>IF(AG36=0,"-",IF(AG36=1,SUM(AG$1:AG35)+1,SUM(AG$1:AG35)+1 &amp; "-" &amp; SUM(AG$1:AG36)))</f>
        <v>-</v>
      </c>
      <c r="AI36" s="15" t="str">
        <f t="shared" si="5"/>
        <v>!import-table-item --Misc-F --Stone of Ill Luck --0</v>
      </c>
    </row>
  </sheetData>
  <sortState xmlns:xlrd2="http://schemas.microsoft.com/office/spreadsheetml/2017/richdata2" ref="P2:T37">
    <sortCondition descending="1" ref="R2:R37"/>
  </sortState>
  <hyperlinks>
    <hyperlink ref="A2" location="'Table F Major Uncommon'!F:J" display="[[ 1t[Apparel-F] ]]" xr:uid="{66AA28F5-057E-40BE-92A7-E8CD8F74752B}"/>
    <hyperlink ref="A3" location="'Table F Major Uncommon'!K:O" display="[[ 1t[Armor-F] ]]" xr:uid="{C94E081B-5C29-45F3-871C-2F18CD1A76A1}"/>
    <hyperlink ref="A4" location="'Table F Major Uncommon'!P:T" display="[[ 1t[Arms-F] ]]" xr:uid="{07B3C089-319A-4208-AA66-2DB6C3368820}"/>
    <hyperlink ref="A5" location="'Table F Major Uncommon'!U:Y" display="[[ 1t[Jewelry-F] ]]" xr:uid="{AF0F66F1-E39C-4AC4-9261-7E76271160F6}"/>
    <hyperlink ref="A6" location="'Table F Major Uncommon'!AE:AI" display="[[ 1t[Misc-F] ]]" xr:uid="{00AC94FC-7AB4-4C6D-AEEC-C924E8CE7C59}"/>
    <hyperlink ref="A7" location="'Table F Major Uncommon'!AO:AS" display="[[ 1t[Spellcaster-F] ]]" xr:uid="{AA4579E9-6D1A-4BE3-BE7E-97FFEDDA8320}"/>
    <hyperlink ref="U2" location="'Table F Major Uncommon'!Z:AD" display="[[ 1t[Ioun-Stones-G] ]]" xr:uid="{CA043CC1-B605-4F68-9F92-00232A2D713F}"/>
    <hyperlink ref="AE22" location="'Table F Major Uncommon'!AJ:AN" display="[[ 1t[Bag-of-Tricks-F] ]]" xr:uid="{B9053588-A9D1-46BD-946C-BEBEB9B6E921}"/>
    <hyperlink ref="K3" location="'Supplemental Types'!V:Z" display="Adamantine [[ 1t[Metal-Armor] ]]" xr:uid="{9E4C65CE-B2B5-4CD3-9A4C-FC385B746E3F}"/>
    <hyperlink ref="P2" location="'Supplemental Types'!AA:AE" display="[[ 1t[Weapons] ]], +1" xr:uid="{F9C267B6-A44A-4DF7-AEA6-91FE3E8960BB}"/>
    <hyperlink ref="P3" location="'Supplemental Types'!AA:AE" display="[[ 1t[Weapons] ]] of Warning" xr:uid="{A96F0640-232B-4D4F-BBCA-378A531B8F2D}"/>
    <hyperlink ref="P4" location="'Supplemental Types'!A1" display="Dragon Wing [[ 1t[Dragon-Breath] ]] [[ 1t[Bows] ]]" xr:uid="{857D71E7-CCEF-416A-AF8C-3C23564DEBF0}"/>
    <hyperlink ref="P19" location="'Supplemental Types'!A1" display="Slumbering Dragon's Wrath [[ 1t[Dragon-Breath] ]] [[ 1t[Weapons] ]]" xr:uid="{95705D55-4749-4286-9F71-AE2EEEF9C637}"/>
    <hyperlink ref="P8" location="'Supplemental Types'!AA:AE" display="Vicious [[ 1t[Weapons] ]]" xr:uid="{1BDAA5F9-469F-443D-A7F4-F7E4F0FEDC18}"/>
    <hyperlink ref="P24" location="'Supplemental Types'!BE:BI" display="[[ 1t[Swords] ]] of Vengeance" xr:uid="{825C52CD-E53B-44B0-BBDC-9A8C25AB3C07}"/>
    <hyperlink ref="P6" location="'Supplemental Types'!AA:AE" display="Hungry [[ 1t[Weapons] ]]" xr:uid="{57325135-19B4-4471-AAEE-CF1D585C78A6}"/>
    <hyperlink ref="K2" location="'Supplemental Types'!B:F" display="[[ 1t[Armor] ]] of Weightlessness" xr:uid="{DC376DCE-2BC5-41E6-B3F8-EB92024D29C3}"/>
    <hyperlink ref="K4" location="'Supplemental Types'!V:Z" display="[[ 1t[Metal-Armor] ]] of the Fallen" xr:uid="{B6537BA2-C54E-4C3E-938C-12AED312399E}"/>
    <hyperlink ref="K8" location="'Supplemental Types'!Q:U" display="[[ 1t[Heavy-Armor] ]] of Knight's Fellowship" xr:uid="{D3239C77-237A-43F0-8CD5-A10C27A77957}"/>
    <hyperlink ref="K9" location="'Supplemental Types'!L:P" display="[[ 1t[Medium-Armor] ]] of Fungal Spores" xr:uid="{1B78F843-E5A1-415E-98C3-827EB7D0F8F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39B8-404F-9F4E-9BDA-9A52BF096643}">
  <dimension ref="A1:AN31"/>
  <sheetViews>
    <sheetView topLeftCell="AD1" workbookViewId="0">
      <selection activeCell="AN1" sqref="AN1:AN1048576"/>
    </sheetView>
  </sheetViews>
  <sheetFormatPr defaultColWidth="11.43359375" defaultRowHeight="18.75" x14ac:dyDescent="0.25"/>
  <cols>
    <col min="1" max="1" width="27.98046875" style="6" bestFit="1" customWidth="1"/>
    <col min="2" max="2" width="8.875" style="6" bestFit="1" customWidth="1"/>
    <col min="3" max="3" width="9.14453125" style="6" bestFit="1" customWidth="1"/>
    <col min="4" max="4" width="9.28125" style="6" bestFit="1" customWidth="1"/>
    <col min="5" max="5" width="80.84765625" style="15" bestFit="1" customWidth="1"/>
    <col min="6" max="6" width="59.7265625" style="6" bestFit="1" customWidth="1"/>
    <col min="7" max="7" width="8.875" style="6" bestFit="1" customWidth="1"/>
    <col min="8" max="8" width="9.14453125" style="6" bestFit="1" customWidth="1"/>
    <col min="9" max="9" width="6.45703125" style="6" bestFit="1" customWidth="1"/>
    <col min="10" max="10" width="106.80859375" style="15" bestFit="1" customWidth="1"/>
    <col min="11" max="11" width="19.37109375" style="6" bestFit="1" customWidth="1"/>
    <col min="12" max="12" width="8.875" style="6" bestFit="1" customWidth="1"/>
    <col min="13" max="13" width="9.14453125" style="6" bestFit="1" customWidth="1"/>
    <col min="14" max="14" width="9.28125" style="6" bestFit="1" customWidth="1"/>
    <col min="15" max="15" width="64.16796875" style="15" bestFit="1" customWidth="1"/>
    <col min="16" max="16" width="19.90625" style="6" bestFit="1" customWidth="1"/>
    <col min="17" max="17" width="8.875" style="6" bestFit="1" customWidth="1"/>
    <col min="18" max="18" width="9.14453125" style="6" bestFit="1" customWidth="1"/>
    <col min="19" max="19" width="9.28125" style="6" bestFit="1" customWidth="1"/>
    <col min="20" max="20" width="62.8203125" style="15" bestFit="1" customWidth="1"/>
    <col min="21" max="21" width="32.1484375" style="6" bestFit="1" customWidth="1"/>
    <col min="22" max="22" width="9.953125" style="6" bestFit="1" customWidth="1"/>
    <col min="23" max="23" width="9.14453125" style="6" bestFit="1" customWidth="1"/>
    <col min="24" max="24" width="7.80078125" style="6" bestFit="1" customWidth="1"/>
    <col min="25" max="25" width="70.48828125" style="15" bestFit="1" customWidth="1"/>
    <col min="26" max="26" width="41.02734375" style="6" bestFit="1" customWidth="1"/>
    <col min="27" max="27" width="8.875" style="6" bestFit="1" customWidth="1"/>
    <col min="28" max="28" width="9.14453125" style="6" bestFit="1" customWidth="1"/>
    <col min="29" max="29" width="9.28125" style="6" bestFit="1" customWidth="1"/>
    <col min="30" max="30" width="81.38671875" style="15" bestFit="1" customWidth="1"/>
    <col min="31" max="31" width="50.84765625" style="6" bestFit="1" customWidth="1"/>
    <col min="32" max="32" width="8.875" style="6" bestFit="1" customWidth="1"/>
    <col min="33" max="33" width="9.14453125" style="6" bestFit="1" customWidth="1"/>
    <col min="34" max="34" width="7.80078125" style="6" bestFit="1" customWidth="1"/>
    <col min="35" max="35" width="89.32421875" style="15" bestFit="1" customWidth="1"/>
    <col min="36" max="36" width="27.98046875" style="6" bestFit="1" customWidth="1"/>
    <col min="37" max="37" width="8.875" style="6" bestFit="1" customWidth="1"/>
    <col min="38" max="38" width="9.14453125" style="6" bestFit="1" customWidth="1"/>
    <col min="39" max="39" width="9.28125" style="6" bestFit="1" customWidth="1"/>
    <col min="40" max="40" width="80.84765625" style="15" bestFit="1" customWidth="1"/>
    <col min="41" max="16384" width="11.43359375" style="6"/>
  </cols>
  <sheetData>
    <row r="1" spans="1:40" s="4" customFormat="1" x14ac:dyDescent="0.25">
      <c r="A1" s="4" t="s">
        <v>2</v>
      </c>
      <c r="B1" s="4" t="s">
        <v>1396</v>
      </c>
      <c r="C1" s="4" t="s">
        <v>9</v>
      </c>
      <c r="D1" s="4" t="str">
        <f>"d" &amp; SUM(C:C)</f>
        <v>d100</v>
      </c>
      <c r="E1" s="14" t="str">
        <f>"!import-table --" &amp; A1 &amp; " --show"</f>
        <v>!import-table --Magic-Item-Table-C --show</v>
      </c>
      <c r="F1" s="4" t="s">
        <v>1245</v>
      </c>
      <c r="G1" s="4" t="s">
        <v>1396</v>
      </c>
      <c r="H1" s="4" t="s">
        <v>9</v>
      </c>
      <c r="I1" s="4" t="str">
        <f>"d" &amp; SUM(H:H)</f>
        <v>d20</v>
      </c>
      <c r="J1" s="14" t="str">
        <f>"!import-table --" &amp; F1 &amp; " --show"</f>
        <v>!import-table --Consumables-C --show</v>
      </c>
      <c r="K1" s="4" t="s">
        <v>437</v>
      </c>
      <c r="L1" s="4" t="s">
        <v>1396</v>
      </c>
      <c r="M1" s="4" t="s">
        <v>9</v>
      </c>
      <c r="N1" s="4" t="str">
        <f>"d" &amp; SUM(M:M)</f>
        <v>d100</v>
      </c>
      <c r="O1" s="14" t="str">
        <f>"!import-table --" &amp; K1 &amp; " --show"</f>
        <v>!import-table --Creature-Type-C --show</v>
      </c>
      <c r="P1" s="4" t="s">
        <v>438</v>
      </c>
      <c r="Q1" s="4" t="s">
        <v>1396</v>
      </c>
      <c r="R1" s="4" t="s">
        <v>9</v>
      </c>
      <c r="S1" s="4" t="str">
        <f>"d" &amp; SUM(R:R)</f>
        <v>d100</v>
      </c>
      <c r="T1" s="14" t="str">
        <f>"!import-table --" &amp; P1 &amp; " --show"</f>
        <v>!import-table --Feather-Token-C --show</v>
      </c>
      <c r="U1" s="4" t="s">
        <v>1247</v>
      </c>
      <c r="V1" s="4" t="s">
        <v>1396</v>
      </c>
      <c r="W1" s="4" t="s">
        <v>9</v>
      </c>
      <c r="X1" s="4" t="str">
        <f>"d" &amp; SUM(W:W)</f>
        <v>d20</v>
      </c>
      <c r="Y1" s="14" t="str">
        <f>"!import-table --" &amp; U1 &amp; " --show"</f>
        <v>!import-table --Items-C --show</v>
      </c>
      <c r="Z1" s="4" t="s">
        <v>1239</v>
      </c>
      <c r="AA1" s="4" t="s">
        <v>1396</v>
      </c>
      <c r="AB1" s="4" t="s">
        <v>9</v>
      </c>
      <c r="AC1" s="4" t="str">
        <f>"d" &amp; SUM(AB:AB)</f>
        <v>d100</v>
      </c>
      <c r="AD1" s="14" t="str">
        <f>"!import-table --" &amp; Z1 &amp; " --show"</f>
        <v>!import-table --Potions-C --show</v>
      </c>
      <c r="AE1" s="4" t="s">
        <v>1241</v>
      </c>
      <c r="AF1" s="4" t="s">
        <v>1396</v>
      </c>
      <c r="AG1" s="4" t="s">
        <v>9</v>
      </c>
      <c r="AH1" s="4" t="str">
        <f>"d" &amp; SUM(AG:AG)</f>
        <v>d12</v>
      </c>
      <c r="AI1" s="14" t="str">
        <f>"!import-table --" &amp; AE1 &amp; " --show"</f>
        <v>!import-table --Spells-C --show</v>
      </c>
      <c r="AJ1" s="4" t="s">
        <v>1949</v>
      </c>
      <c r="AK1" s="4" t="s">
        <v>1396</v>
      </c>
      <c r="AL1" s="4" t="s">
        <v>9</v>
      </c>
      <c r="AM1" s="4" t="str">
        <f>"d" &amp; SUM(AL:AL)</f>
        <v>d6</v>
      </c>
      <c r="AN1" s="14" t="str">
        <f>"!import-table --" &amp; AJ1 &amp; " --show"</f>
        <v>!import-table --Ammunition-C --show</v>
      </c>
    </row>
    <row r="2" spans="1:40" x14ac:dyDescent="0.25">
      <c r="A2" s="26" t="s">
        <v>1950</v>
      </c>
      <c r="C2" s="6">
        <v>5</v>
      </c>
      <c r="D2" s="9" t="str">
        <f>IF(C2=0,"-",IF(C2=1,SUM(C$1:C1)+1,SUM(C$1:C1)+1 &amp; "-" &amp; SUM(C$1:C2)))</f>
        <v>1-5</v>
      </c>
      <c r="E2" s="15" t="str">
        <f>"!import-table-item --" &amp; A$1 &amp; " --" &amp; A2 &amp; " --" &amp; C2</f>
        <v>!import-table-item --Magic-Item-Table-C --[[ 1t[Ammunition-C] ]] --5</v>
      </c>
      <c r="F2" s="24" t="s">
        <v>427</v>
      </c>
      <c r="G2" s="6" t="s">
        <v>1397</v>
      </c>
      <c r="H2" s="6">
        <v>6</v>
      </c>
      <c r="I2" s="9" t="str">
        <f>IF(H2=0,"-",IF(H2=1,SUM(H$1:H1)+1,SUM(H$1:H1)+1 &amp; "-" &amp; SUM(H$1:H2)))</f>
        <v>1-6</v>
      </c>
      <c r="J2" s="15" t="str">
        <f t="shared" ref="J2:J14" si="0">"!import-table-item --" &amp; F$1 &amp; " --" &amp; F2 &amp; " --" &amp; H2</f>
        <v>!import-table-item --Consumables-C --Scroll of Protection Against [[ 1t[Creature-Type-C] ]] --6</v>
      </c>
      <c r="K2" s="6" t="s">
        <v>428</v>
      </c>
      <c r="M2" s="6">
        <v>10</v>
      </c>
      <c r="N2" s="9" t="str">
        <f>IF(M2=0,"-",IF(M2=1,SUM(M$1:M1)+1,SUM(M$1:M1)+1 &amp; "-" &amp; SUM(M$1:M2)))</f>
        <v>1-10</v>
      </c>
      <c r="O2" s="15" t="str">
        <f t="shared" ref="O2:O9" si="1">"!import-table-item --" &amp; K$1 &amp; " --" &amp; K2 &amp; " --" &amp; M2</f>
        <v>!import-table-item --Creature-Type-C --Aberrations --10</v>
      </c>
      <c r="P2" s="6" t="s">
        <v>439</v>
      </c>
      <c r="Q2" s="6" t="s">
        <v>1397</v>
      </c>
      <c r="R2" s="6">
        <v>20</v>
      </c>
      <c r="S2" s="9" t="str">
        <f>IF(R2=0,"-",IF(R2=1,SUM(R$1:R1)+1,SUM(R$1:R1)+1 &amp; "-" &amp; SUM(R$1:R2)))</f>
        <v>1-20</v>
      </c>
      <c r="T2" s="15" t="str">
        <f t="shared" ref="T2:T7" si="2">"!import-table-item --" &amp; P$1 &amp; " --" &amp; P2 &amp; " --" &amp; R2</f>
        <v>!import-table-item --Feather-Token-C --Anchor --20</v>
      </c>
      <c r="U2" s="6" t="s">
        <v>1256</v>
      </c>
      <c r="V2" s="6" t="s">
        <v>1479</v>
      </c>
      <c r="W2" s="6">
        <v>2</v>
      </c>
      <c r="X2" s="9" t="str">
        <f>IF(W2=0,"-",IF(W2=1,SUM(W$1:W1)+1,SUM(W$1:W1)+1 &amp; "-" &amp; SUM(W$1:W2)))</f>
        <v>1-2</v>
      </c>
      <c r="Y2" s="15" t="str">
        <f t="shared" ref="Y2:Y16" si="3">"!import-table-item --" &amp; U$1 &amp; " --" &amp; U2 &amp; " --" &amp; W2</f>
        <v>!import-table-item --Items-C --Eagle Whistle --2</v>
      </c>
      <c r="Z2" s="9" t="s">
        <v>50</v>
      </c>
      <c r="AA2" s="6" t="s">
        <v>1397</v>
      </c>
      <c r="AB2" s="9">
        <v>30</v>
      </c>
      <c r="AC2" s="9" t="str">
        <f>IF(AB2=0,"-",IF(AB2=1,SUM(AB$1:AB1)+1,SUM(AB$1:AB1)+1 &amp; "-" &amp; SUM(AB$1:AB2)))</f>
        <v>1-30</v>
      </c>
      <c r="AD2" s="15" t="str">
        <f t="shared" ref="AD2:AD16" si="4">"!import-table-item --" &amp; Z$1 &amp; " --" &amp; Z2 &amp; " --" &amp; AB2</f>
        <v>!import-table-item --Potions-C --Potion of Superior Healing --30</v>
      </c>
      <c r="AE2" s="24" t="s">
        <v>393</v>
      </c>
      <c r="AF2" s="6" t="s">
        <v>1397</v>
      </c>
      <c r="AG2" s="6">
        <v>5</v>
      </c>
      <c r="AH2" s="9" t="str">
        <f>IF(AG2=0,"-",IF(AG2=1,SUM(AG$1:AG1)+1,SUM(AG$1:AG1)+1 &amp; "-" &amp; SUM(AG$1:AG2)))</f>
        <v>1-5</v>
      </c>
      <c r="AI2" s="15" t="str">
        <f>"!import-table-item --" &amp; AE$1 &amp; " --" &amp; AE2 &amp; " --" &amp; AG2</f>
        <v>!import-table-item --Spells-C --Spell Scroll ([[ 1t[Spells-Level-4] ]]) --5</v>
      </c>
      <c r="AJ2" s="26" t="s">
        <v>1079</v>
      </c>
      <c r="AK2" s="6" t="s">
        <v>1397</v>
      </c>
      <c r="AL2" s="6">
        <v>6</v>
      </c>
      <c r="AM2" s="9" t="str">
        <f>IF(AL2=0,"-",IF(AL2=1,SUM(AL$1:AL1)+1,SUM(AL$1:AL1)+1 &amp; "-" &amp; SUM(AL$1:AL2)))</f>
        <v>1-6</v>
      </c>
      <c r="AN2" s="15" t="str">
        <f>"!import-table-item --" &amp; AJ$1 &amp; " --" &amp; AJ2 &amp; " --" &amp; AL2</f>
        <v>!import-table-item --Ammunition-C --[[ 1t[Ammunition] ]], +2 --6</v>
      </c>
    </row>
    <row r="3" spans="1:40" x14ac:dyDescent="0.25">
      <c r="A3" s="24" t="s">
        <v>1246</v>
      </c>
      <c r="C3" s="6">
        <v>20</v>
      </c>
      <c r="D3" s="9" t="str">
        <f>IF(C3=0,"-",IF(C3=1,SUM(C$1:C2)+1,SUM(C$1:C2)+1 &amp; "-" &amp; SUM(C$1:C3)))</f>
        <v>6-25</v>
      </c>
      <c r="E3" s="15" t="str">
        <f>"!import-table-item --" &amp; A$1 &amp; " --" &amp; A3 &amp; " --" &amp; C3</f>
        <v>!import-table-item --Magic-Item-Table-C --[[ 1t[Consumables-C] ]] --20</v>
      </c>
      <c r="F3" s="6" t="s">
        <v>1288</v>
      </c>
      <c r="G3" s="6" t="s">
        <v>1401</v>
      </c>
      <c r="H3" s="6">
        <v>2</v>
      </c>
      <c r="I3" s="9" t="str">
        <f>IF(H3=0,"-",IF(H3=1,SUM(H$1:H2)+1,SUM(H$1:H2)+1 &amp; "-" &amp; SUM(H$1:H3)))</f>
        <v>7-8</v>
      </c>
      <c r="J3" s="15" t="str">
        <f t="shared" si="0"/>
        <v>!import-table-item --Consumables-C --Glowrune Pigment --2</v>
      </c>
      <c r="K3" s="6" t="s">
        <v>429</v>
      </c>
      <c r="M3" s="6">
        <v>10</v>
      </c>
      <c r="N3" s="9" t="str">
        <f>IF(M3=0,"-",IF(M3=1,SUM(M$1:M2)+1,SUM(M$1:M2)+1 &amp; "-" &amp; SUM(M$1:M3)))</f>
        <v>11-20</v>
      </c>
      <c r="O3" s="15" t="str">
        <f t="shared" si="1"/>
        <v>!import-table-item --Creature-Type-C --Beasts --10</v>
      </c>
      <c r="P3" s="6" t="s">
        <v>440</v>
      </c>
      <c r="Q3" s="6" t="s">
        <v>1397</v>
      </c>
      <c r="R3" s="6">
        <v>15</v>
      </c>
      <c r="S3" s="9" t="str">
        <f>IF(R3=0,"-",IF(R3=1,SUM(R$1:R2)+1,SUM(R$1:R2)+1 &amp; "-" &amp; SUM(R$1:R3)))</f>
        <v>21-35</v>
      </c>
      <c r="T3" s="15" t="str">
        <f t="shared" si="2"/>
        <v>!import-table-item --Feather-Token-C --Bird --15</v>
      </c>
      <c r="U3" s="6" t="s">
        <v>72</v>
      </c>
      <c r="V3" s="6" t="s">
        <v>1397</v>
      </c>
      <c r="W3" s="6">
        <v>2</v>
      </c>
      <c r="X3" s="9" t="str">
        <f>IF(W3=0,"-",IF(W3=1,SUM(W$1:W2)+1,SUM(W$1:W2)+1 &amp; "-" &amp; SUM(W$1:W3)))</f>
        <v>3-4</v>
      </c>
      <c r="Y3" s="15" t="str">
        <f t="shared" si="3"/>
        <v>!import-table-item --Items-C --Heward's Handy Haversack --2</v>
      </c>
      <c r="Z3" s="6" t="s">
        <v>61</v>
      </c>
      <c r="AA3" s="6" t="s">
        <v>1397</v>
      </c>
      <c r="AB3" s="6">
        <v>5</v>
      </c>
      <c r="AC3" s="9" t="str">
        <f>IF(AB3=0,"-",IF(AB3=1,SUM(AB$1:AB2)+1,SUM(AB$1:AB2)+1 &amp; "-" &amp; SUM(AB$1:AB3)))</f>
        <v>31-35</v>
      </c>
      <c r="AD3" s="15" t="str">
        <f t="shared" si="4"/>
        <v>!import-table-item --Potions-C --Elixir of Health --5</v>
      </c>
      <c r="AE3" s="24" t="s">
        <v>394</v>
      </c>
      <c r="AF3" s="6" t="s">
        <v>1397</v>
      </c>
      <c r="AG3" s="6">
        <v>4</v>
      </c>
      <c r="AH3" s="9" t="str">
        <f>IF(AG3=0,"-",IF(AG3=1,SUM(AG$1:AG2)+1,SUM(AG$1:AG2)+1 &amp; "-" &amp; SUM(AG$1:AG3)))</f>
        <v>6-9</v>
      </c>
      <c r="AI3" s="15" t="str">
        <f>"!import-table-item --" &amp; AE$1 &amp; " --" &amp; AE3 &amp; " --" &amp; AG3</f>
        <v>!import-table-item --Spells-C --Spell Scroll ([[ 1t[Spells-Level-5] ]]) --4</v>
      </c>
      <c r="AM3" s="9"/>
    </row>
    <row r="4" spans="1:40" x14ac:dyDescent="0.25">
      <c r="A4" s="24" t="s">
        <v>1248</v>
      </c>
      <c r="C4" s="6">
        <v>15</v>
      </c>
      <c r="D4" s="9" t="str">
        <f>IF(C4=0,"-",IF(C4=1,SUM(C$1:C3)+1,SUM(C$1:C3)+1 &amp; "-" &amp; SUM(C$1:C4)))</f>
        <v>26-40</v>
      </c>
      <c r="E4" s="15" t="str">
        <f>"!import-table-item --" &amp; A$1 &amp; " --" &amp; A4 &amp; " --" &amp; C4</f>
        <v>!import-table-item --Magic-Item-Table-C --[[ 1t[Items-C] ]] --15</v>
      </c>
      <c r="F4" s="24" t="s">
        <v>436</v>
      </c>
      <c r="G4" s="6" t="s">
        <v>1397</v>
      </c>
      <c r="H4" s="6">
        <v>2</v>
      </c>
      <c r="I4" s="9" t="str">
        <f>IF(H4=0,"-",IF(H4=1,SUM(H$1:H3)+1,SUM(H$1:H3)+1 &amp; "-" &amp; SUM(H$1:H4)))</f>
        <v>9-10</v>
      </c>
      <c r="J4" s="15" t="str">
        <f t="shared" si="0"/>
        <v>!import-table-item --Consumables-C --Quaal's Feather Token, [[ 1t[Feather-Token-C] ]] --2</v>
      </c>
      <c r="K4" s="6" t="s">
        <v>430</v>
      </c>
      <c r="M4" s="6">
        <v>10</v>
      </c>
      <c r="N4" s="9" t="str">
        <f>IF(M4=0,"-",IF(M4=1,SUM(M$1:M3)+1,SUM(M$1:M3)+1 &amp; "-" &amp; SUM(M$1:M4)))</f>
        <v>21-30</v>
      </c>
      <c r="O4" s="15" t="str">
        <f t="shared" si="1"/>
        <v>!import-table-item --Creature-Type-C --Celestials --10</v>
      </c>
      <c r="P4" s="6" t="s">
        <v>441</v>
      </c>
      <c r="Q4" s="6" t="s">
        <v>1397</v>
      </c>
      <c r="R4" s="6">
        <v>15</v>
      </c>
      <c r="S4" s="9" t="str">
        <f>IF(R4=0,"-",IF(R4=1,SUM(R$1:R3)+1,SUM(R$1:R3)+1 &amp; "-" &amp; SUM(R$1:R4)))</f>
        <v>36-50</v>
      </c>
      <c r="T4" s="15" t="str">
        <f t="shared" si="2"/>
        <v>!import-table-item --Feather-Token-C --Fan --15</v>
      </c>
      <c r="U4" s="6" t="s">
        <v>1291</v>
      </c>
      <c r="V4" s="6" t="s">
        <v>1483</v>
      </c>
      <c r="W4" s="6">
        <v>2</v>
      </c>
      <c r="X4" s="9" t="str">
        <f>IF(W4=0,"-",IF(W4=1,SUM(W$1:W3)+1,SUM(W$1:W3)+1 &amp; "-" &amp; SUM(W$1:W4)))</f>
        <v>5-6</v>
      </c>
      <c r="Y4" s="15" t="str">
        <f t="shared" si="3"/>
        <v>!import-table-item --Items-C --Hook of Fisher's Delight --2</v>
      </c>
      <c r="Z4" s="6" t="s">
        <v>1305</v>
      </c>
      <c r="AA4" s="6" t="s">
        <v>1400</v>
      </c>
      <c r="AB4" s="6">
        <v>5</v>
      </c>
      <c r="AC4" s="9" t="str">
        <f>IF(AB4=0,"-",IF(AB4=1,SUM(AB$1:AB3)+1,SUM(AB$1:AB3)+1 &amp; "-" &amp; SUM(AB$1:AB4)))</f>
        <v>36-40</v>
      </c>
      <c r="AD4" s="15" t="str">
        <f t="shared" si="4"/>
        <v>!import-table-item --Potions-C --Potion of Aqueous Form --5</v>
      </c>
      <c r="AE4" s="24" t="s">
        <v>1242</v>
      </c>
      <c r="AF4" s="6" t="s">
        <v>1402</v>
      </c>
      <c r="AG4" s="6">
        <v>2</v>
      </c>
      <c r="AH4" s="9" t="str">
        <f>IF(AG4=0,"-",IF(AG4=1,SUM(AG$1:AG3)+1,SUM(AG$1:AG3)+1 &amp; "-" &amp; SUM(AG$1:AG4)))</f>
        <v>10-11</v>
      </c>
      <c r="AI4" s="15" t="str">
        <f>"!import-table-item --" &amp; AE$1 &amp; " --" &amp; AE4 &amp; " --" &amp; AG4</f>
        <v>!import-table-item --Spells-C --Spellwrought Tattoo ([[ 1t[Spells-Level-4] ]]) --2</v>
      </c>
      <c r="AM4" s="9"/>
    </row>
    <row r="5" spans="1:40" x14ac:dyDescent="0.25">
      <c r="A5" s="24" t="s">
        <v>1240</v>
      </c>
      <c r="C5" s="6">
        <v>50</v>
      </c>
      <c r="D5" s="9" t="str">
        <f>IF(C5=0,"-",IF(C5=1,SUM(C$1:C4)+1,SUM(C$1:C4)+1 &amp; "-" &amp; SUM(C$1:C5)))</f>
        <v>41-90</v>
      </c>
      <c r="E5" s="15" t="str">
        <f>"!import-table-item --" &amp; A$1 &amp; " --" &amp; A5 &amp; " --" &amp; C5</f>
        <v>!import-table-item --Magic-Item-Table-C --[[ 1t[Potions-C] ]] --50</v>
      </c>
      <c r="F5" s="6" t="s">
        <v>66</v>
      </c>
      <c r="G5" s="6" t="s">
        <v>1397</v>
      </c>
      <c r="H5" s="6">
        <v>1</v>
      </c>
      <c r="I5" s="9">
        <f>IF(H5=0,"-",IF(H5=1,SUM(H$1:H4)+1,SUM(H$1:H4)+1 &amp; "-" &amp; SUM(H$1:H5)))</f>
        <v>11</v>
      </c>
      <c r="J5" s="15" t="str">
        <f t="shared" si="0"/>
        <v>!import-table-item --Consumables-C --Bag of Beans --1</v>
      </c>
      <c r="K5" s="6" t="s">
        <v>431</v>
      </c>
      <c r="M5" s="6">
        <v>10</v>
      </c>
      <c r="N5" s="9" t="str">
        <f>IF(M5=0,"-",IF(M5=1,SUM(M$1:M4)+1,SUM(M$1:M4)+1 &amp; "-" &amp; SUM(M$1:M5)))</f>
        <v>31-40</v>
      </c>
      <c r="O5" s="15" t="str">
        <f t="shared" si="1"/>
        <v>!import-table-item --Creature-Type-C --Elementals --10</v>
      </c>
      <c r="P5" s="6" t="s">
        <v>442</v>
      </c>
      <c r="Q5" s="6" t="s">
        <v>1397</v>
      </c>
      <c r="R5" s="6">
        <v>15</v>
      </c>
      <c r="S5" s="9" t="str">
        <f>IF(R5=0,"-",IF(R5=1,SUM(R$1:R4)+1,SUM(R$1:R4)+1 &amp; "-" &amp; SUM(R$1:R5)))</f>
        <v>51-65</v>
      </c>
      <c r="T5" s="15" t="str">
        <f t="shared" si="2"/>
        <v>!import-table-item --Feather-Token-C --Swan Boat --15</v>
      </c>
      <c r="U5" s="6" t="s">
        <v>1299</v>
      </c>
      <c r="V5" s="6" t="s">
        <v>1479</v>
      </c>
      <c r="W5" s="6">
        <v>2</v>
      </c>
      <c r="X5" s="9" t="str">
        <f>IF(W5=0,"-",IF(W5=1,SUM(W$1:W4)+1,SUM(W$1:W4)+1 &amp; "-" &amp; SUM(W$1:W5)))</f>
        <v>7-8</v>
      </c>
      <c r="Y5" s="15" t="str">
        <f t="shared" si="3"/>
        <v>!import-table-item --Items-C --Mirror of the Past --2</v>
      </c>
      <c r="Z5" s="6" t="s">
        <v>52</v>
      </c>
      <c r="AA5" s="6" t="s">
        <v>1397</v>
      </c>
      <c r="AB5" s="6">
        <v>5</v>
      </c>
      <c r="AC5" s="9" t="str">
        <f>IF(AB5=0,"-",IF(AB5=1,SUM(AB$1:AB4)+1,SUM(AB$1:AB4)+1 &amp; "-" &amp; SUM(AB$1:AB5)))</f>
        <v>41-45</v>
      </c>
      <c r="AD5" s="15" t="str">
        <f t="shared" si="4"/>
        <v>!import-table-item --Potions-C --Potion of Clairvoyance --5</v>
      </c>
      <c r="AE5" s="24" t="s">
        <v>1243</v>
      </c>
      <c r="AF5" s="6" t="s">
        <v>1402</v>
      </c>
      <c r="AG5" s="6">
        <v>1</v>
      </c>
      <c r="AH5" s="9">
        <f>IF(AG5=0,"-",IF(AG5=1,SUM(AG$1:AG4)+1,SUM(AG$1:AG4)+1 &amp; "-" &amp; SUM(AG$1:AG5)))</f>
        <v>12</v>
      </c>
      <c r="AI5" s="15" t="str">
        <f>"!import-table-item --" &amp; AE$1 &amp; " --" &amp; AE5 &amp; " --" &amp; AG5</f>
        <v>!import-table-item --Spells-C --Spellwrought Tattoo ([[ 1t[Spells-Level-5] ]]) --1</v>
      </c>
      <c r="AM5" s="9"/>
    </row>
    <row r="6" spans="1:40" x14ac:dyDescent="0.25">
      <c r="A6" s="24" t="s">
        <v>1244</v>
      </c>
      <c r="C6" s="6">
        <v>10</v>
      </c>
      <c r="D6" s="9" t="str">
        <f>IF(C6=0,"-",IF(C6=1,SUM(C$1:C5)+1,SUM(C$1:C5)+1 &amp; "-" &amp; SUM(C$1:C6)))</f>
        <v>91-100</v>
      </c>
      <c r="E6" s="15" t="str">
        <f>"!import-table-item --" &amp; A$1 &amp; " --" &amp; A6 &amp; " --" &amp; C6</f>
        <v>!import-table-item --Magic-Item-Table-C --[[ 1t[Spells-C] ]] --10</v>
      </c>
      <c r="F6" s="6" t="s">
        <v>67</v>
      </c>
      <c r="G6" s="6" t="s">
        <v>1397</v>
      </c>
      <c r="H6" s="6">
        <v>1</v>
      </c>
      <c r="I6" s="9">
        <f>IF(H6=0,"-",IF(H6=1,SUM(H$1:H5)+1,SUM(H$1:H5)+1 &amp; "-" &amp; SUM(H$1:H6)))</f>
        <v>12</v>
      </c>
      <c r="J6" s="15" t="str">
        <f t="shared" si="0"/>
        <v>!import-table-item --Consumables-C --Bead of Force --1</v>
      </c>
      <c r="K6" s="6" t="s">
        <v>432</v>
      </c>
      <c r="M6" s="6">
        <v>10</v>
      </c>
      <c r="N6" s="9" t="str">
        <f>IF(M6=0,"-",IF(M6=1,SUM(M$1:M5)+1,SUM(M$1:M5)+1 &amp; "-" &amp; SUM(M$1:M6)))</f>
        <v>41-50</v>
      </c>
      <c r="O6" s="15" t="str">
        <f t="shared" si="1"/>
        <v>!import-table-item --Creature-Type-C --Fey --10</v>
      </c>
      <c r="P6" s="6" t="s">
        <v>443</v>
      </c>
      <c r="Q6" s="6" t="s">
        <v>1397</v>
      </c>
      <c r="R6" s="6">
        <v>25</v>
      </c>
      <c r="S6" s="9" t="str">
        <f>IF(R6=0,"-",IF(R6=1,SUM(R$1:R5)+1,SUM(R$1:R5)+1 &amp; "-" &amp; SUM(R$1:R6)))</f>
        <v>66-90</v>
      </c>
      <c r="T6" s="15" t="str">
        <f t="shared" si="2"/>
        <v>!import-table-item --Feather-Token-C --Tree --25</v>
      </c>
      <c r="U6" s="6" t="s">
        <v>1307</v>
      </c>
      <c r="V6" s="6" t="s">
        <v>1411</v>
      </c>
      <c r="W6" s="6">
        <v>2</v>
      </c>
      <c r="X6" s="9" t="str">
        <f>IF(W6=0,"-",IF(W6=1,SUM(W$1:W5)+1,SUM(W$1:W5)+1 &amp; "-" &amp; SUM(W$1:W6)))</f>
        <v>9-10</v>
      </c>
      <c r="Y6" s="15" t="str">
        <f t="shared" si="3"/>
        <v>!import-table-item --Items-C --Professor Orb --2</v>
      </c>
      <c r="Z6" s="6" t="s">
        <v>53</v>
      </c>
      <c r="AA6" s="6" t="s">
        <v>1397</v>
      </c>
      <c r="AB6" s="6">
        <v>5</v>
      </c>
      <c r="AC6" s="9" t="str">
        <f>IF(AB6=0,"-",IF(AB6=1,SUM(AB$1:AB5)+1,SUM(AB$1:AB5)+1 &amp; "-" &amp; SUM(AB$1:AB6)))</f>
        <v>46-50</v>
      </c>
      <c r="AD6" s="15" t="str">
        <f t="shared" si="4"/>
        <v>!import-table-item --Potions-C --Potion of Diminution --5</v>
      </c>
      <c r="AH6" s="9"/>
      <c r="AM6" s="9"/>
    </row>
    <row r="7" spans="1:40" x14ac:dyDescent="0.25">
      <c r="D7" s="9"/>
      <c r="F7" s="6" t="s">
        <v>1249</v>
      </c>
      <c r="G7" s="6" t="s">
        <v>1414</v>
      </c>
      <c r="H7" s="6">
        <v>1</v>
      </c>
      <c r="I7" s="9">
        <f>IF(H7=0,"-",IF(H7=1,SUM(H$1:H6)+1,SUM(H$1:H6)+1 &amp; "-" &amp; SUM(H$1:H7)))</f>
        <v>13</v>
      </c>
      <c r="J7" s="15" t="str">
        <f t="shared" si="0"/>
        <v>!import-table-item --Consumables-C --Black Chromatic Rose --1</v>
      </c>
      <c r="K7" s="6" t="s">
        <v>433</v>
      </c>
      <c r="M7" s="6">
        <v>25</v>
      </c>
      <c r="N7" s="9" t="str">
        <f>IF(M7=0,"-",IF(M7=1,SUM(M$1:M6)+1,SUM(M$1:M6)+1 &amp; "-" &amp; SUM(M$1:M7)))</f>
        <v>51-75</v>
      </c>
      <c r="O7" s="15" t="str">
        <f t="shared" si="1"/>
        <v>!import-table-item --Creature-Type-C --Fiends --25</v>
      </c>
      <c r="P7" s="6" t="s">
        <v>444</v>
      </c>
      <c r="Q7" s="6" t="s">
        <v>1397</v>
      </c>
      <c r="R7" s="6">
        <v>10</v>
      </c>
      <c r="S7" s="9" t="str">
        <f>IF(R7=0,"-",IF(R7=1,SUM(R$1:R6)+1,SUM(R$1:R6)+1 &amp; "-" &amp; SUM(R$1:R7)))</f>
        <v>91-100</v>
      </c>
      <c r="T7" s="15" t="str">
        <f t="shared" si="2"/>
        <v>!import-table-item --Feather-Token-C --Whip --10</v>
      </c>
      <c r="U7" s="6" t="s">
        <v>76</v>
      </c>
      <c r="V7" s="6" t="s">
        <v>1397</v>
      </c>
      <c r="W7" s="6">
        <v>2</v>
      </c>
      <c r="X7" s="9" t="str">
        <f>IF(W7=0,"-",IF(W7=1,SUM(W$1:W6)+1,SUM(W$1:W6)+1 &amp; "-" &amp; SUM(W$1:W7)))</f>
        <v>11-12</v>
      </c>
      <c r="Y7" s="15" t="str">
        <f t="shared" si="3"/>
        <v>!import-table-item --Items-C --Sending Stones --2</v>
      </c>
      <c r="Z7" s="6" t="s">
        <v>63</v>
      </c>
      <c r="AA7" s="6" t="s">
        <v>1397</v>
      </c>
      <c r="AB7" s="6">
        <v>5</v>
      </c>
      <c r="AC7" s="9" t="str">
        <f>IF(AB7=0,"-",IF(AB7=1,SUM(AB$1:AB6)+1,SUM(AB$1:AB6)+1 &amp; "-" &amp; SUM(AB$1:AB7)))</f>
        <v>51-55</v>
      </c>
      <c r="AD7" s="15" t="str">
        <f t="shared" si="4"/>
        <v>!import-table-item --Potions-C --Potion of Fire Giant Strength --5</v>
      </c>
      <c r="AH7" s="9"/>
      <c r="AM7" s="9"/>
    </row>
    <row r="8" spans="1:40" x14ac:dyDescent="0.25">
      <c r="D8" s="9"/>
      <c r="F8" s="6" t="s">
        <v>1250</v>
      </c>
      <c r="G8" s="6" t="s">
        <v>1414</v>
      </c>
      <c r="H8" s="6">
        <v>1</v>
      </c>
      <c r="I8" s="9">
        <f>IF(H8=0,"-",IF(H8=1,SUM(H$1:H7)+1,SUM(H$1:H7)+1 &amp; "-" &amp; SUM(H$1:H8)))</f>
        <v>14</v>
      </c>
      <c r="J8" s="15" t="str">
        <f t="shared" si="0"/>
        <v>!import-table-item --Consumables-C --Blue Chromatic Rose --1</v>
      </c>
      <c r="K8" s="6" t="s">
        <v>434</v>
      </c>
      <c r="M8" s="6">
        <v>5</v>
      </c>
      <c r="N8" s="9" t="str">
        <f>IF(M8=0,"-",IF(M8=1,SUM(M$1:M7)+1,SUM(M$1:M7)+1 &amp; "-" &amp; SUM(M$1:M8)))</f>
        <v>76-80</v>
      </c>
      <c r="O8" s="15" t="str">
        <f t="shared" si="1"/>
        <v>!import-table-item --Creature-Type-C --Plants --5</v>
      </c>
      <c r="S8" s="9"/>
      <c r="U8" s="6" t="s">
        <v>1251</v>
      </c>
      <c r="V8" s="6" t="s">
        <v>1483</v>
      </c>
      <c r="W8" s="6">
        <v>1</v>
      </c>
      <c r="X8" s="9">
        <f>IF(W8=0,"-",IF(W8=1,SUM(W$1:W7)+1,SUM(W$1:W7)+1 &amp; "-" &amp; SUM(W$1:W8)))</f>
        <v>13</v>
      </c>
      <c r="Y8" s="15" t="str">
        <f t="shared" si="3"/>
        <v>!import-table-item --Items-C --Cauldron of Plenty --1</v>
      </c>
      <c r="Z8" s="6" t="s">
        <v>55</v>
      </c>
      <c r="AA8" s="6" t="s">
        <v>1397</v>
      </c>
      <c r="AB8" s="6">
        <v>5</v>
      </c>
      <c r="AC8" s="9" t="str">
        <f>IF(AB8=0,"-",IF(AB8=1,SUM(AB$1:AB7)+1,SUM(AB$1:AB7)+1 &amp; "-" &amp; SUM(AB$1:AB8)))</f>
        <v>56-60</v>
      </c>
      <c r="AD8" s="15" t="str">
        <f t="shared" si="4"/>
        <v>!import-table-item --Potions-C --Potion of Frost Giant Strength --5</v>
      </c>
      <c r="AH8" s="9"/>
      <c r="AM8" s="9"/>
    </row>
    <row r="9" spans="1:40" x14ac:dyDescent="0.25">
      <c r="D9" s="9"/>
      <c r="F9" s="6" t="s">
        <v>1252</v>
      </c>
      <c r="G9" s="6" t="s">
        <v>1414</v>
      </c>
      <c r="H9" s="6">
        <v>1</v>
      </c>
      <c r="I9" s="9">
        <f>IF(H9=0,"-",IF(H9=1,SUM(H$1:H8)+1,SUM(H$1:H8)+1 &amp; "-" &amp; SUM(H$1:H9)))</f>
        <v>15</v>
      </c>
      <c r="J9" s="15" t="str">
        <f t="shared" si="0"/>
        <v>!import-table-item --Consumables-C --Green Chromatic Rose --1</v>
      </c>
      <c r="K9" s="6" t="s">
        <v>435</v>
      </c>
      <c r="M9" s="6">
        <v>20</v>
      </c>
      <c r="N9" s="9" t="str">
        <f>IF(M9=0,"-",IF(M9=1,SUM(M$1:M8)+1,SUM(M$1:M8)+1 &amp; "-" &amp; SUM(M$1:M9)))</f>
        <v>81-100</v>
      </c>
      <c r="O9" s="15" t="str">
        <f t="shared" si="1"/>
        <v>!import-table-item --Creature-Type-C --Undead --20</v>
      </c>
      <c r="S9" s="9"/>
      <c r="U9" s="6" t="s">
        <v>68</v>
      </c>
      <c r="V9" s="6" t="s">
        <v>1397</v>
      </c>
      <c r="W9" s="6">
        <v>1</v>
      </c>
      <c r="X9" s="9">
        <f>IF(W9=0,"-",IF(W9=1,SUM(W$1:W8)+1,SUM(W$1:W8)+1 &amp; "-" &amp; SUM(W$1:W9)))</f>
        <v>14</v>
      </c>
      <c r="Y9" s="15" t="str">
        <f t="shared" si="3"/>
        <v>!import-table-item --Items-C --Chime of Opening --1</v>
      </c>
      <c r="Z9" s="6" t="s">
        <v>54</v>
      </c>
      <c r="AA9" s="6" t="s">
        <v>1397</v>
      </c>
      <c r="AB9" s="6">
        <v>5</v>
      </c>
      <c r="AC9" s="9" t="str">
        <f>IF(AB9=0,"-",IF(AB9=1,SUM(AB$1:AB8)+1,SUM(AB$1:AB8)+1 &amp; "-" &amp; SUM(AB$1:AB9)))</f>
        <v>61-65</v>
      </c>
      <c r="AD9" s="15" t="str">
        <f t="shared" si="4"/>
        <v>!import-table-item --Potions-C --Potion of Gaseous Form --5</v>
      </c>
      <c r="AH9" s="9"/>
      <c r="AM9" s="9"/>
    </row>
    <row r="10" spans="1:40" x14ac:dyDescent="0.25">
      <c r="D10" s="9"/>
      <c r="F10" s="6" t="s">
        <v>74</v>
      </c>
      <c r="G10" s="6" t="s">
        <v>1397</v>
      </c>
      <c r="H10" s="6">
        <v>1</v>
      </c>
      <c r="I10" s="9">
        <f>IF(H10=0,"-",IF(H10=1,SUM(H$1:H9)+1,SUM(H$1:H9)+1 &amp; "-" &amp; SUM(H$1:H10)))</f>
        <v>16</v>
      </c>
      <c r="J10" s="15" t="str">
        <f t="shared" si="0"/>
        <v>!import-table-item --Consumables-C --Necklace of Fireballs --1</v>
      </c>
      <c r="N10" s="9"/>
      <c r="S10" s="9"/>
      <c r="U10" s="6" t="s">
        <v>69</v>
      </c>
      <c r="V10" s="6" t="s">
        <v>1397</v>
      </c>
      <c r="W10" s="6">
        <v>1</v>
      </c>
      <c r="X10" s="9">
        <f>IF(W10=0,"-",IF(W10=1,SUM(W$1:W9)+1,SUM(W$1:W9)+1 &amp; "-" &amp; SUM(W$1:W10)))</f>
        <v>15</v>
      </c>
      <c r="Y10" s="15" t="str">
        <f t="shared" si="3"/>
        <v>!import-table-item --Items-C --Decanter of Endless Water --1</v>
      </c>
      <c r="Z10" s="6" t="s">
        <v>57</v>
      </c>
      <c r="AA10" s="6" t="s">
        <v>1397</v>
      </c>
      <c r="AB10" s="6">
        <v>5</v>
      </c>
      <c r="AC10" s="9" t="str">
        <f>IF(AB10=0,"-",IF(AB10=1,SUM(AB$1:AB9)+1,SUM(AB$1:AB9)+1 &amp; "-" &amp; SUM(AB$1:AB10)))</f>
        <v>66-70</v>
      </c>
      <c r="AD10" s="15" t="str">
        <f t="shared" si="4"/>
        <v>!import-table-item --Potions-C --Potion of Heroism --5</v>
      </c>
      <c r="AH10" s="9"/>
      <c r="AM10" s="9"/>
    </row>
    <row r="11" spans="1:40" x14ac:dyDescent="0.25">
      <c r="D11" s="9"/>
      <c r="F11" s="6" t="s">
        <v>62</v>
      </c>
      <c r="G11" s="6" t="s">
        <v>1397</v>
      </c>
      <c r="H11" s="6">
        <v>1</v>
      </c>
      <c r="I11" s="9">
        <f>IF(H11=0,"-",IF(H11=1,SUM(H$1:H10)+1,SUM(H$1:H10)+1 &amp; "-" &amp; SUM(H$1:H11)))</f>
        <v>17</v>
      </c>
      <c r="J11" s="15" t="str">
        <f t="shared" si="0"/>
        <v>!import-table-item --Consumables-C --Oil of Etherealness --1</v>
      </c>
      <c r="N11" s="9"/>
      <c r="S11" s="9"/>
      <c r="U11" s="6" t="s">
        <v>1255</v>
      </c>
      <c r="V11" s="6" t="s">
        <v>1411</v>
      </c>
      <c r="W11" s="6">
        <v>1</v>
      </c>
      <c r="X11" s="9">
        <f>IF(W11=0,"-",IF(W11=1,SUM(W$1:W10)+1,SUM(W$1:W10)+1 &amp; "-" &amp; SUM(W$1:W11)))</f>
        <v>16</v>
      </c>
      <c r="Y11" s="15" t="str">
        <f t="shared" si="3"/>
        <v>!import-table-item --Items-C --Dodecahedron of Doom --1</v>
      </c>
      <c r="Z11" s="6" t="s">
        <v>58</v>
      </c>
      <c r="AA11" s="6" t="s">
        <v>1397</v>
      </c>
      <c r="AB11" s="6">
        <v>5</v>
      </c>
      <c r="AC11" s="9" t="str">
        <f>IF(AB11=0,"-",IF(AB11=1,SUM(AB$1:AB10)+1,SUM(AB$1:AB10)+1 &amp; "-" &amp; SUM(AB$1:AB11)))</f>
        <v>71-75</v>
      </c>
      <c r="AD11" s="15" t="str">
        <f t="shared" si="4"/>
        <v>!import-table-item --Potions-C --Potion of Invulnerability --5</v>
      </c>
      <c r="AH11" s="9"/>
      <c r="AM11" s="9"/>
    </row>
    <row r="12" spans="1:40" x14ac:dyDescent="0.25">
      <c r="D12" s="9"/>
      <c r="F12" s="6" t="s">
        <v>1253</v>
      </c>
      <c r="G12" s="6" t="s">
        <v>1414</v>
      </c>
      <c r="H12" s="6">
        <v>1</v>
      </c>
      <c r="I12" s="9">
        <f>IF(H12=0,"-",IF(H12=1,SUM(H$1:H11)+1,SUM(H$1:H11)+1 &amp; "-" &amp; SUM(H$1:H12)))</f>
        <v>18</v>
      </c>
      <c r="J12" s="15" t="str">
        <f t="shared" si="0"/>
        <v>!import-table-item --Consumables-C --Red Chromatic Rose --1</v>
      </c>
      <c r="N12" s="9"/>
      <c r="S12" s="9"/>
      <c r="U12" s="6" t="s">
        <v>70</v>
      </c>
      <c r="V12" s="6" t="s">
        <v>1397</v>
      </c>
      <c r="W12" s="6">
        <v>1</v>
      </c>
      <c r="X12" s="9">
        <f>IF(W12=0,"-",IF(W12=1,SUM(W$1:W11)+1,SUM(W$1:W11)+1 &amp; "-" &amp; SUM(W$1:W12)))</f>
        <v>17</v>
      </c>
      <c r="Y12" s="15" t="str">
        <f t="shared" si="3"/>
        <v>!import-table-item --Items-C --Eyes of Minute Seeing --1</v>
      </c>
      <c r="Z12" s="6" t="s">
        <v>1306</v>
      </c>
      <c r="AA12" s="6" t="s">
        <v>1409</v>
      </c>
      <c r="AB12" s="6">
        <v>5</v>
      </c>
      <c r="AC12" s="9" t="str">
        <f>IF(AB12=0,"-",IF(AB12=1,SUM(AB$1:AB11)+1,SUM(AB$1:AB11)+1 &amp; "-" &amp; SUM(AB$1:AB12)))</f>
        <v>76-80</v>
      </c>
      <c r="AD12" s="15" t="str">
        <f t="shared" si="4"/>
        <v>!import-table-item --Potions-C --Potion of Maximum Power --5</v>
      </c>
      <c r="AH12" s="9"/>
      <c r="AM12" s="9"/>
    </row>
    <row r="13" spans="1:40" x14ac:dyDescent="0.25">
      <c r="D13" s="9"/>
      <c r="F13" s="6" t="s">
        <v>1327</v>
      </c>
      <c r="G13" s="6" t="s">
        <v>1484</v>
      </c>
      <c r="H13" s="6">
        <v>1</v>
      </c>
      <c r="I13" s="9">
        <f>IF(H13=0,"-",IF(H13=1,SUM(H$1:H12)+1,SUM(H$1:H12)+1 &amp; "-" &amp; SUM(H$1:H13)))</f>
        <v>19</v>
      </c>
      <c r="J13" s="15" t="str">
        <f t="shared" si="0"/>
        <v>!import-table-item --Consumables-C --Teleportation Tablet --1</v>
      </c>
      <c r="N13" s="9"/>
      <c r="S13" s="9"/>
      <c r="U13" s="6" t="s">
        <v>71</v>
      </c>
      <c r="V13" s="6" t="s">
        <v>1397</v>
      </c>
      <c r="W13" s="6">
        <v>1</v>
      </c>
      <c r="X13" s="9">
        <f>IF(W13=0,"-",IF(W13=1,SUM(W$1:W12)+1,SUM(W$1:W12)+1 &amp; "-" &amp; SUM(W$1:W13)))</f>
        <v>18</v>
      </c>
      <c r="Y13" s="15" t="str">
        <f t="shared" si="3"/>
        <v>!import-table-item --Items-C --Folding Boat --1</v>
      </c>
      <c r="Z13" s="6" t="s">
        <v>1334</v>
      </c>
      <c r="AA13" s="6" t="s">
        <v>1479</v>
      </c>
      <c r="AB13" s="6">
        <v>5</v>
      </c>
      <c r="AC13" s="9" t="str">
        <f>IF(AB13=0,"-",IF(AB13=1,SUM(AB$1:AB12)+1,SUM(AB$1:AB12)+1 &amp; "-" &amp; SUM(AB$1:AB13)))</f>
        <v>81-85</v>
      </c>
      <c r="AD13" s="15" t="str">
        <f t="shared" si="4"/>
        <v>!import-table-item --Potions-C --Potion of Mind Control (Beast) --5</v>
      </c>
      <c r="AH13" s="9"/>
      <c r="AM13" s="9"/>
    </row>
    <row r="14" spans="1:40" x14ac:dyDescent="0.25">
      <c r="D14" s="9"/>
      <c r="F14" s="6" t="s">
        <v>1254</v>
      </c>
      <c r="G14" s="6" t="s">
        <v>1414</v>
      </c>
      <c r="H14" s="6">
        <v>1</v>
      </c>
      <c r="I14" s="9">
        <f>IF(H14=0,"-",IF(H14=1,SUM(H$1:H13)+1,SUM(H$1:H13)+1 &amp; "-" &amp; SUM(H$1:H14)))</f>
        <v>20</v>
      </c>
      <c r="J14" s="15" t="str">
        <f t="shared" si="0"/>
        <v>!import-table-item --Consumables-C --White Chromatic Rose --1</v>
      </c>
      <c r="N14" s="9"/>
      <c r="S14" s="9"/>
      <c r="U14" s="6" t="s">
        <v>73</v>
      </c>
      <c r="V14" s="6" t="s">
        <v>1397</v>
      </c>
      <c r="W14" s="6">
        <v>1</v>
      </c>
      <c r="X14" s="9">
        <f>IF(W14=0,"-",IF(W14=1,SUM(W$1:W13)+1,SUM(W$1:W13)+1 &amp; "-" &amp; SUM(W$1:W14)))</f>
        <v>19</v>
      </c>
      <c r="Y14" s="15" t="str">
        <f t="shared" si="3"/>
        <v>!import-table-item --Items-C --Horseshoes of Speed --1</v>
      </c>
      <c r="Z14" s="6" t="s">
        <v>1335</v>
      </c>
      <c r="AA14" s="6" t="s">
        <v>1479</v>
      </c>
      <c r="AB14" s="6">
        <v>5</v>
      </c>
      <c r="AC14" s="9" t="str">
        <f>IF(AB14=0,"-",IF(AB14=1,SUM(AB$1:AB13)+1,SUM(AB$1:AB13)+1 &amp; "-" &amp; SUM(AB$1:AB14)))</f>
        <v>86-90</v>
      </c>
      <c r="AD14" s="15" t="str">
        <f t="shared" si="4"/>
        <v>!import-table-item --Potions-C --Potion of Mind Control (Humanoid) --5</v>
      </c>
      <c r="AH14" s="9"/>
      <c r="AM14" s="9"/>
    </row>
    <row r="15" spans="1:40" x14ac:dyDescent="0.25">
      <c r="D15" s="9"/>
      <c r="I15" s="9"/>
      <c r="N15" s="9"/>
      <c r="S15" s="9"/>
      <c r="U15" s="6" t="s">
        <v>75</v>
      </c>
      <c r="V15" s="6" t="s">
        <v>1397</v>
      </c>
      <c r="W15" s="6">
        <v>1</v>
      </c>
      <c r="X15" s="9">
        <f>IF(W15=0,"-",IF(W15=1,SUM(W$1:W14)+1,SUM(W$1:W14)+1 &amp; "-" &amp; SUM(W$1:W15)))</f>
        <v>20</v>
      </c>
      <c r="Y15" s="15" t="str">
        <f t="shared" si="3"/>
        <v>!import-table-item --Items-C --Periapt of Health --1</v>
      </c>
      <c r="Z15" s="6" t="s">
        <v>59</v>
      </c>
      <c r="AA15" s="6" t="s">
        <v>1397</v>
      </c>
      <c r="AB15" s="6">
        <v>5</v>
      </c>
      <c r="AC15" s="9" t="str">
        <f>IF(AB15=0,"-",IF(AB15=1,SUM(AB$1:AB14)+1,SUM(AB$1:AB14)+1 &amp; "-" &amp; SUM(AB$1:AB15)))</f>
        <v>91-95</v>
      </c>
      <c r="AD15" s="15" t="str">
        <f t="shared" si="4"/>
        <v>!import-table-item --Potions-C --Potion of Mind Reading --5</v>
      </c>
      <c r="AH15" s="9"/>
      <c r="AM15" s="9"/>
    </row>
    <row r="16" spans="1:40" x14ac:dyDescent="0.25">
      <c r="D16" s="9"/>
      <c r="I16" s="9"/>
      <c r="N16" s="9"/>
      <c r="S16" s="9"/>
      <c r="U16" s="6" t="s">
        <v>1512</v>
      </c>
      <c r="V16" s="6" t="s">
        <v>1479</v>
      </c>
      <c r="W16" s="6">
        <v>0</v>
      </c>
      <c r="X16" s="9" t="str">
        <f>IF(W16=0,"-",IF(W16=1,SUM(W$1:W15)+1,SUM(W$1:W15)+1 &amp; "-" &amp; SUM(W$1:W16)))</f>
        <v>-</v>
      </c>
      <c r="Y16" s="15" t="str">
        <f t="shared" si="3"/>
        <v>!import-table-item --Items-C --Loadstone --0</v>
      </c>
      <c r="Z16" s="6" t="s">
        <v>56</v>
      </c>
      <c r="AA16" s="6" t="s">
        <v>1397</v>
      </c>
      <c r="AB16" s="6">
        <v>5</v>
      </c>
      <c r="AC16" s="9" t="str">
        <f>IF(AB16=0,"-",IF(AB16=1,SUM(AB$1:AB15)+1,SUM(AB$1:AB15)+1 &amp; "-" &amp; SUM(AB$1:AB16)))</f>
        <v>96-100</v>
      </c>
      <c r="AD16" s="15" t="str">
        <f t="shared" si="4"/>
        <v>!import-table-item --Potions-C --Potion of Stone Giant Strength --5</v>
      </c>
      <c r="AH16" s="9"/>
      <c r="AM16" s="9"/>
    </row>
    <row r="17" spans="4:39" x14ac:dyDescent="0.25">
      <c r="D17" s="9"/>
      <c r="I17" s="9"/>
      <c r="N17" s="9"/>
      <c r="S17" s="9"/>
      <c r="X17" s="9"/>
      <c r="AC17" s="9"/>
      <c r="AH17" s="9"/>
      <c r="AM17" s="9"/>
    </row>
    <row r="18" spans="4:39" x14ac:dyDescent="0.25">
      <c r="D18" s="9"/>
      <c r="I18" s="9"/>
      <c r="N18" s="9"/>
      <c r="S18" s="9"/>
      <c r="X18" s="9"/>
      <c r="AC18" s="9"/>
      <c r="AH18" s="9"/>
      <c r="AM18" s="9"/>
    </row>
    <row r="19" spans="4:39" x14ac:dyDescent="0.25">
      <c r="D19" s="9"/>
      <c r="I19" s="9"/>
      <c r="N19" s="9"/>
      <c r="S19" s="9"/>
      <c r="X19" s="9"/>
      <c r="AC19" s="9"/>
      <c r="AH19" s="9"/>
      <c r="AM19" s="9"/>
    </row>
    <row r="20" spans="4:39" x14ac:dyDescent="0.25">
      <c r="D20" s="9"/>
      <c r="I20" s="9"/>
      <c r="N20" s="9"/>
      <c r="S20" s="9"/>
      <c r="X20" s="9"/>
      <c r="AC20" s="9"/>
      <c r="AH20" s="9"/>
      <c r="AM20" s="9"/>
    </row>
    <row r="21" spans="4:39" x14ac:dyDescent="0.25">
      <c r="D21" s="9"/>
      <c r="I21" s="9"/>
      <c r="N21" s="9"/>
      <c r="S21" s="9"/>
      <c r="X21" s="9"/>
      <c r="AC21" s="9"/>
      <c r="AH21" s="9"/>
      <c r="AM21" s="9"/>
    </row>
    <row r="22" spans="4:39" x14ac:dyDescent="0.25">
      <c r="D22" s="9"/>
      <c r="I22" s="9"/>
      <c r="N22" s="9"/>
      <c r="S22" s="9"/>
      <c r="X22" s="9"/>
      <c r="AC22" s="9"/>
      <c r="AH22" s="9"/>
      <c r="AM22" s="9"/>
    </row>
    <row r="23" spans="4:39" x14ac:dyDescent="0.25">
      <c r="D23" s="9"/>
      <c r="I23" s="9"/>
      <c r="N23" s="9"/>
      <c r="S23" s="9"/>
      <c r="X23" s="9"/>
      <c r="AC23" s="9"/>
      <c r="AH23" s="9"/>
    </row>
    <row r="24" spans="4:39" x14ac:dyDescent="0.25">
      <c r="D24" s="9"/>
      <c r="I24" s="9"/>
      <c r="N24" s="9"/>
      <c r="S24" s="9"/>
      <c r="X24" s="9"/>
      <c r="AC24" s="9"/>
      <c r="AH24" s="9"/>
    </row>
    <row r="25" spans="4:39" x14ac:dyDescent="0.25">
      <c r="D25" s="9"/>
      <c r="I25" s="9"/>
      <c r="N25" s="9"/>
      <c r="S25" s="9"/>
      <c r="X25" s="9"/>
      <c r="AC25" s="9"/>
      <c r="AH25" s="9"/>
    </row>
    <row r="26" spans="4:39" x14ac:dyDescent="0.25">
      <c r="D26" s="9"/>
      <c r="I26" s="9"/>
      <c r="N26" s="9"/>
      <c r="S26" s="9"/>
      <c r="X26" s="9"/>
      <c r="AC26" s="9"/>
      <c r="AH26" s="9"/>
    </row>
    <row r="27" spans="4:39" x14ac:dyDescent="0.25">
      <c r="D27" s="9"/>
      <c r="I27" s="9"/>
      <c r="N27" s="9"/>
      <c r="S27" s="9"/>
      <c r="X27" s="9"/>
      <c r="AC27" s="9"/>
      <c r="AH27" s="9"/>
    </row>
    <row r="28" spans="4:39" x14ac:dyDescent="0.25">
      <c r="D28" s="9"/>
      <c r="I28" s="9"/>
      <c r="N28" s="9"/>
      <c r="S28" s="9"/>
      <c r="X28" s="9"/>
      <c r="AC28" s="9"/>
      <c r="AH28" s="9"/>
    </row>
    <row r="29" spans="4:39" x14ac:dyDescent="0.25">
      <c r="D29" s="9"/>
      <c r="I29" s="9"/>
      <c r="N29" s="9"/>
      <c r="S29" s="9"/>
      <c r="X29" s="9"/>
      <c r="AC29" s="9"/>
      <c r="AH29" s="9"/>
    </row>
    <row r="30" spans="4:39" x14ac:dyDescent="0.25">
      <c r="D30" s="9"/>
      <c r="N30" s="9"/>
      <c r="S30" s="9"/>
      <c r="X30" s="9"/>
      <c r="AC30" s="9"/>
      <c r="AH30" s="9"/>
    </row>
    <row r="31" spans="4:39" x14ac:dyDescent="0.25">
      <c r="D31" s="9"/>
      <c r="N31" s="9"/>
      <c r="S31" s="9"/>
      <c r="X31" s="9"/>
      <c r="AC31" s="9"/>
      <c r="AH31" s="9"/>
    </row>
  </sheetData>
  <sortState xmlns:xlrd2="http://schemas.microsoft.com/office/spreadsheetml/2017/richdata2" ref="A2:E31">
    <sortCondition ref="A1:A31"/>
  </sortState>
  <hyperlinks>
    <hyperlink ref="F2" location="'Table C Minor Rare'!K:O" display="Scroll of Protection Against [[ 1t[Creature-Type-C] ]]" xr:uid="{688BE650-5B58-4C51-8BDA-BC52F0B23C4E}"/>
    <hyperlink ref="F4" location="'Table C Minor Rare'!P:T" display="Quaal's Feather Token, [[ 1t[Feather-Token-C] ]]" xr:uid="{810CB455-893D-4C40-8433-8D79D99C936A}"/>
    <hyperlink ref="A3" location="'Table C Minor Rare'!F:J" display="[[ 1t[Consumables-C] ]]" xr:uid="{5D1DF0EA-806A-4C9E-9F12-DDE2CE627EFE}"/>
    <hyperlink ref="A4" location="'Table C Minor Rare'!U:Y" display="[[ 1t[Items-C] ]]" xr:uid="{8A9D265D-F2F7-4D9E-947C-4F28F2510B8A}"/>
    <hyperlink ref="A5" location="'Table C Minor Rare'!Z:AD" display="[[ 1t[Potions-C] ]]" xr:uid="{1D7D0316-8FDE-4269-B04E-DD555E6BEA4D}"/>
    <hyperlink ref="A6" location="'Table C Minor Rare'!AE:AI" display="[[ 1t[Spells-C] ]]" xr:uid="{6591B7E0-D580-4D38-A80E-89D6D0A8D900}"/>
    <hyperlink ref="AE2" location="'All Spells'!U:Y" display="Spell Scroll ([[ 1t[Spells-Level-4] ]])" xr:uid="{F4484913-2B48-473A-9F39-6A93A63CFD6D}"/>
    <hyperlink ref="AE4" location="'All Spells'!U:Y" display="Spellwrought Tattoo ([[ 1t[Spells-Level-4] ]])" xr:uid="{4F89A8B6-2677-4320-9F6F-676F3CF0B123}"/>
    <hyperlink ref="AE3" location="'All Spells'!Z:AD" display="Spell Scroll ([[ 1t[Spells-Level-5] ]])" xr:uid="{400BDDA0-311B-461B-82CF-B20EEC41C88C}"/>
    <hyperlink ref="AE5" location="'All Spells'!Z:AD" display="Spellwrought Tattoo ([[ 1t[Spells-Level-5] ]])" xr:uid="{6C1C7FDF-1992-4F62-B0A3-AFF17976BDEC}"/>
    <hyperlink ref="A2" location="'Table C Minor Rare'!AJ:AN" display="[[ 1t[Ammunition-C] ]]" xr:uid="{0E20B6A4-721B-4166-A418-E8CB5A2322E6}"/>
    <hyperlink ref="AJ2" location="'Supplemental Types'!AZ:BD" display="[[ 1t[Ammunition] ]], +2" xr:uid="{55634426-A7C2-4EC4-BDD3-ED09420C188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C9EB-0D0A-474B-9725-FCEEED1A2634}">
  <dimension ref="A1:CB43"/>
  <sheetViews>
    <sheetView tabSelected="1" topLeftCell="R16" workbookViewId="0">
      <selection activeCell="U25" sqref="U25"/>
    </sheetView>
  </sheetViews>
  <sheetFormatPr defaultColWidth="11.43359375" defaultRowHeight="18.75" x14ac:dyDescent="0.25"/>
  <cols>
    <col min="1" max="1" width="24.75" style="1" bestFit="1" customWidth="1"/>
    <col min="2" max="2" width="8.875" style="1" bestFit="1" customWidth="1"/>
    <col min="3" max="3" width="9.14453125" style="1" bestFit="1" customWidth="1"/>
    <col min="4" max="4" width="9.28125" style="1" bestFit="1" customWidth="1"/>
    <col min="5" max="5" width="78.42578125" style="19" bestFit="1" customWidth="1"/>
    <col min="6" max="6" width="32.41796875" style="21" bestFit="1" customWidth="1"/>
    <col min="7" max="7" width="8.875" style="1" bestFit="1" customWidth="1"/>
    <col min="8" max="8" width="9.14453125" style="1" bestFit="1" customWidth="1"/>
    <col min="9" max="9" width="9.28125" style="1" bestFit="1" customWidth="1"/>
    <col min="10" max="10" width="73.44921875" style="19" bestFit="1" customWidth="1"/>
    <col min="11" max="11" width="57.84375" style="21" bestFit="1" customWidth="1"/>
    <col min="12" max="12" width="8.875" style="1" bestFit="1" customWidth="1"/>
    <col min="13" max="13" width="9.14453125" style="1" bestFit="1" customWidth="1"/>
    <col min="14" max="14" width="9.28125" style="1" bestFit="1" customWidth="1"/>
    <col min="15" max="15" width="99.0078125" style="19" bestFit="1" customWidth="1"/>
    <col min="16" max="16" width="20.04296875" style="21" bestFit="1" customWidth="1"/>
    <col min="17" max="17" width="8.875" style="1" bestFit="1" customWidth="1"/>
    <col min="18" max="18" width="9.14453125" style="1" bestFit="1" customWidth="1"/>
    <col min="19" max="19" width="4.9765625" style="1" bestFit="1" customWidth="1"/>
    <col min="20" max="20" width="68.47265625" style="19" bestFit="1" customWidth="1"/>
    <col min="21" max="21" width="74.390625" style="21" bestFit="1" customWidth="1"/>
    <col min="22" max="22" width="8.875" style="1" bestFit="1" customWidth="1"/>
    <col min="23" max="23" width="9.14453125" style="1" bestFit="1" customWidth="1"/>
    <col min="24" max="24" width="9.28125" style="1" bestFit="1" customWidth="1"/>
    <col min="25" max="25" width="112.86328125" style="19" bestFit="1" customWidth="1"/>
    <col min="26" max="26" width="18.4296875" style="21" bestFit="1" customWidth="1"/>
    <col min="27" max="27" width="8.875" style="1" bestFit="1" customWidth="1"/>
    <col min="28" max="28" width="9.14453125" style="1" bestFit="1" customWidth="1"/>
    <col min="29" max="29" width="4.9765625" style="1" bestFit="1" customWidth="1"/>
    <col min="30" max="30" width="64.43359375" style="19" bestFit="1" customWidth="1"/>
    <col min="31" max="31" width="42.91015625" style="21" bestFit="1" customWidth="1"/>
    <col min="32" max="32" width="8.875" style="1" bestFit="1" customWidth="1"/>
    <col min="33" max="33" width="9.14453125" style="1" bestFit="1" customWidth="1"/>
    <col min="34" max="34" width="9.28125" style="1" bestFit="1" customWidth="1"/>
    <col min="35" max="35" width="85.15234375" style="19" bestFit="1" customWidth="1"/>
    <col min="36" max="36" width="42.91015625" style="21" bestFit="1" customWidth="1"/>
    <col min="37" max="37" width="8.875" style="1" bestFit="1" customWidth="1"/>
    <col min="38" max="38" width="9.14453125" style="1" bestFit="1" customWidth="1"/>
    <col min="39" max="39" width="5.37890625" style="1" bestFit="1" customWidth="1"/>
    <col min="40" max="40" width="96.98828125" style="19" bestFit="1" customWidth="1"/>
    <col min="41" max="41" width="29.45703125" style="21" bestFit="1" customWidth="1"/>
    <col min="42" max="42" width="8.875" style="1" bestFit="1" customWidth="1"/>
    <col min="43" max="43" width="9.14453125" style="1" bestFit="1" customWidth="1"/>
    <col min="44" max="44" width="7.80078125" style="1" bestFit="1" customWidth="1"/>
    <col min="45" max="45" width="74.390625" style="19" bestFit="1" customWidth="1"/>
    <col min="46" max="46" width="70.48828125" style="21" bestFit="1" customWidth="1"/>
    <col min="47" max="47" width="8.875" style="1" bestFit="1" customWidth="1"/>
    <col min="48" max="48" width="9.14453125" style="1" bestFit="1" customWidth="1"/>
    <col min="49" max="49" width="9.28125" style="1" bestFit="1" customWidth="1"/>
    <col min="50" max="50" width="108.01953125" style="19" bestFit="1" customWidth="1"/>
    <col min="51" max="51" width="37.26171875" style="21" bestFit="1" customWidth="1"/>
    <col min="52" max="52" width="8.875" style="1" bestFit="1" customWidth="1"/>
    <col min="53" max="53" width="9.14453125" style="1" bestFit="1" customWidth="1"/>
    <col min="54" max="54" width="4.9765625" style="1" bestFit="1" customWidth="1"/>
    <col min="55" max="55" width="85.421875" style="19" bestFit="1" customWidth="1"/>
    <col min="56" max="56" width="31.34375" style="21" bestFit="1" customWidth="1"/>
    <col min="57" max="57" width="8.875" style="1" bestFit="1" customWidth="1"/>
    <col min="58" max="58" width="9.14453125" style="1" bestFit="1" customWidth="1"/>
    <col min="59" max="59" width="7.80078125" style="1" bestFit="1" customWidth="1"/>
    <col min="60" max="60" width="82.328125" style="19" bestFit="1" customWidth="1"/>
    <col min="61" max="61" width="60.8046875" style="21" bestFit="1" customWidth="1"/>
    <col min="62" max="62" width="8.875" style="1" bestFit="1" customWidth="1"/>
    <col min="63" max="63" width="9.14453125" style="1" bestFit="1" customWidth="1"/>
    <col min="64" max="64" width="9.28125" style="1" bestFit="1" customWidth="1"/>
    <col min="65" max="65" width="105.46484375" style="19" bestFit="1" customWidth="1"/>
    <col min="66" max="66" width="26.23046875" style="21" bestFit="1" customWidth="1"/>
    <col min="67" max="67" width="8.875" style="1" bestFit="1" customWidth="1"/>
    <col min="68" max="68" width="9.14453125" style="1" bestFit="1" customWidth="1"/>
    <col min="69" max="69" width="5.37890625" style="1" bestFit="1" customWidth="1"/>
    <col min="70" max="70" width="68.3359375" style="19" bestFit="1" customWidth="1"/>
    <col min="71" max="71" width="29.7265625" style="21" bestFit="1" customWidth="1"/>
    <col min="72" max="72" width="8.875" style="1" bestFit="1" customWidth="1"/>
    <col min="73" max="73" width="9.14453125" style="1" bestFit="1" customWidth="1"/>
    <col min="74" max="74" width="5.37890625" style="1" bestFit="1" customWidth="1"/>
    <col min="75" max="75" width="70.0859375" style="19" bestFit="1" customWidth="1"/>
    <col min="76" max="76" width="50.30859375" style="21" bestFit="1" customWidth="1"/>
    <col min="77" max="77" width="8.875" style="1" bestFit="1" customWidth="1"/>
    <col min="78" max="78" width="9.14453125" style="1" bestFit="1" customWidth="1"/>
    <col min="79" max="79" width="6.45703125" style="1" bestFit="1" customWidth="1"/>
    <col min="80" max="80" width="87.9765625" style="19" bestFit="1" customWidth="1"/>
    <col min="81" max="16384" width="11.43359375" style="1"/>
  </cols>
  <sheetData>
    <row r="1" spans="1:80" s="2" customFormat="1" x14ac:dyDescent="0.25">
      <c r="A1" s="2" t="s">
        <v>6</v>
      </c>
      <c r="B1" s="2" t="s">
        <v>1396</v>
      </c>
      <c r="C1" s="2" t="s">
        <v>9</v>
      </c>
      <c r="D1" s="2" t="str">
        <f>"d" &amp; SUM(C:C)</f>
        <v>d100</v>
      </c>
      <c r="E1" s="18" t="str">
        <f>"!import-table --" &amp; A1 &amp; " --show"</f>
        <v>!import-table --Magic-Item-Table-G --show</v>
      </c>
      <c r="F1" s="20" t="s">
        <v>1682</v>
      </c>
      <c r="G1" s="2" t="s">
        <v>1396</v>
      </c>
      <c r="H1" s="2" t="s">
        <v>9</v>
      </c>
      <c r="I1" s="2" t="str">
        <f>"d" &amp; SUM(H:H)</f>
        <v>d100</v>
      </c>
      <c r="J1" s="18" t="str">
        <f>"!import-table --" &amp; F1 &amp; " --show"</f>
        <v>!import-table --Apparel-G --show</v>
      </c>
      <c r="K1" s="20" t="s">
        <v>1527</v>
      </c>
      <c r="L1" s="2" t="s">
        <v>1396</v>
      </c>
      <c r="M1" s="2" t="s">
        <v>9</v>
      </c>
      <c r="N1" s="2" t="str">
        <f>"d" &amp; SUM(M:M)</f>
        <v>d100</v>
      </c>
      <c r="O1" s="18" t="str">
        <f>"!import-table --" &amp; K1 &amp; " --show"</f>
        <v>!import-table --Armor-G --show</v>
      </c>
      <c r="P1" s="20" t="s">
        <v>1375</v>
      </c>
      <c r="Q1" s="2" t="s">
        <v>1396</v>
      </c>
      <c r="R1" s="2" t="s">
        <v>9</v>
      </c>
      <c r="S1" s="2" t="str">
        <f>"d" &amp; SUM(R:R)</f>
        <v>d4</v>
      </c>
      <c r="T1" s="18" t="str">
        <f>"!import-table --" &amp; P1 &amp; " --show"</f>
        <v>!import-table --Molten-Armor-G --show</v>
      </c>
      <c r="U1" s="20" t="s">
        <v>1337</v>
      </c>
      <c r="V1" s="2" t="s">
        <v>1396</v>
      </c>
      <c r="W1" s="2" t="s">
        <v>9</v>
      </c>
      <c r="X1" s="2" t="str">
        <f>"d" &amp; SUM(W:W)</f>
        <v>d100</v>
      </c>
      <c r="Y1" s="18" t="str">
        <f>"!import-table --" &amp; U1 &amp; " --show"</f>
        <v>!import-table --Arms-G --show</v>
      </c>
      <c r="Z1" s="20" t="s">
        <v>1174</v>
      </c>
      <c r="AA1" s="2" t="s">
        <v>1396</v>
      </c>
      <c r="AB1" s="2" t="s">
        <v>9</v>
      </c>
      <c r="AC1" s="2" t="str">
        <f>"d" &amp; SUM(AB:AB)</f>
        <v>d6</v>
      </c>
      <c r="AD1" s="18" t="str">
        <f>"!import-table --" &amp; Z1 &amp; " --show"</f>
        <v>!import-table --Giant-Slayer-G --show</v>
      </c>
      <c r="AE1" s="20" t="s">
        <v>1338</v>
      </c>
      <c r="AF1" s="2" t="s">
        <v>1396</v>
      </c>
      <c r="AG1" s="2" t="s">
        <v>9</v>
      </c>
      <c r="AH1" s="2" t="str">
        <f>"d" &amp; SUM(AG:AG)</f>
        <v>d100</v>
      </c>
      <c r="AI1" s="18" t="str">
        <f>"!import-table --" &amp; AE1 &amp; " --show"</f>
        <v>!import-table --Jewelry-G --show</v>
      </c>
      <c r="AJ1" s="20" t="s">
        <v>446</v>
      </c>
      <c r="AK1" s="2" t="s">
        <v>1396</v>
      </c>
      <c r="AL1" s="2" t="s">
        <v>9</v>
      </c>
      <c r="AM1" s="2" t="str">
        <f>"d" &amp; SUM(AL:AL)</f>
        <v>d10</v>
      </c>
      <c r="AN1" s="18" t="str">
        <f>"!import-table --" &amp; AJ1 &amp; " --show"</f>
        <v>!import-table --Damage-Type-Gem-G --show</v>
      </c>
      <c r="AO1" s="20" t="s">
        <v>1566</v>
      </c>
      <c r="AP1" s="2" t="s">
        <v>1396</v>
      </c>
      <c r="AQ1" s="2" t="s">
        <v>9</v>
      </c>
      <c r="AR1" s="2" t="str">
        <f>"d" &amp; SUM(AQ:AQ)</f>
        <v>d20</v>
      </c>
      <c r="AS1" s="18" t="str">
        <f>"!import-table --" &amp; AO1 &amp; " --show"</f>
        <v>!import-table --Ioun-Stone-H --show</v>
      </c>
      <c r="AT1" s="20" t="s">
        <v>1691</v>
      </c>
      <c r="AU1" s="2" t="s">
        <v>1396</v>
      </c>
      <c r="AV1" s="2" t="s">
        <v>9</v>
      </c>
      <c r="AW1" s="2" t="str">
        <f>"d" &amp; SUM(AV:AV)</f>
        <v>d100</v>
      </c>
      <c r="AX1" s="18" t="str">
        <f>"!import-table --" &amp; AT1 &amp; " --show"</f>
        <v>!import-table --Misc-G --show</v>
      </c>
      <c r="AY1" s="20" t="s">
        <v>1568</v>
      </c>
      <c r="AZ1" s="2" t="s">
        <v>1396</v>
      </c>
      <c r="BA1" s="2" t="s">
        <v>9</v>
      </c>
      <c r="BB1" s="2" t="str">
        <f>"d" &amp; SUM(BA:BA)</f>
        <v>d8</v>
      </c>
      <c r="BC1" s="18" t="str">
        <f>"!import-table --" &amp; AY1 &amp; " --show"</f>
        <v>!import-table --Figurine-of-Wondrous-Power-G --show</v>
      </c>
      <c r="BD1" s="20" t="s">
        <v>401</v>
      </c>
      <c r="BE1" s="2" t="s">
        <v>1396</v>
      </c>
      <c r="BF1" s="2" t="s">
        <v>9</v>
      </c>
      <c r="BG1" s="2" t="str">
        <f>"d" &amp; SUM(BF:BF)</f>
        <v>d20</v>
      </c>
      <c r="BH1" s="18" t="str">
        <f>"!import-table --" &amp; BD1 &amp; " --show"</f>
        <v>!import-table --Horn-of-Valhalla-G --show</v>
      </c>
      <c r="BI1" s="20" t="s">
        <v>1707</v>
      </c>
      <c r="BJ1" s="2" t="s">
        <v>1396</v>
      </c>
      <c r="BK1" s="2" t="s">
        <v>9</v>
      </c>
      <c r="BL1" s="2" t="str">
        <f>"d" &amp; SUM(BK:BK)</f>
        <v>d100</v>
      </c>
      <c r="BM1" s="18" t="str">
        <f>"!import-table --" &amp; BI1 &amp; " --show"</f>
        <v>!import-table --Spellcaster-G --show</v>
      </c>
      <c r="BN1" s="20" t="s">
        <v>1365</v>
      </c>
      <c r="BO1" s="2" t="s">
        <v>1396</v>
      </c>
      <c r="BP1" s="2" t="s">
        <v>9</v>
      </c>
      <c r="BQ1" s="2" t="str">
        <f>"d" &amp; SUM(BP:BP)</f>
        <v>d12</v>
      </c>
      <c r="BR1" s="18" t="str">
        <f>"!import-table --" &amp; BN1 &amp; " --show"</f>
        <v>!import-table --Sorcerer-G --show</v>
      </c>
      <c r="BS1" s="20" t="s">
        <v>1364</v>
      </c>
      <c r="BT1" s="2" t="s">
        <v>1396</v>
      </c>
      <c r="BU1" s="2" t="s">
        <v>9</v>
      </c>
      <c r="BV1" s="2" t="str">
        <f>"d" &amp; SUM(BU:BU)</f>
        <v>d10</v>
      </c>
      <c r="BW1" s="18" t="str">
        <f>"!import-table --" &amp; BS1 &amp; " --show"</f>
        <v>!import-table --Wizard-G --show</v>
      </c>
      <c r="BX1" s="20" t="s">
        <v>1366</v>
      </c>
      <c r="BY1" s="2" t="s">
        <v>1396</v>
      </c>
      <c r="BZ1" s="2" t="s">
        <v>9</v>
      </c>
      <c r="CA1" s="2" t="str">
        <f>"d" &amp; SUM(BZ:BZ)</f>
        <v>d10</v>
      </c>
      <c r="CB1" s="18" t="str">
        <f>"!import-table --" &amp; BX1 &amp; " --show"</f>
        <v>!import-table --Bard-G --show</v>
      </c>
    </row>
    <row r="2" spans="1:80" x14ac:dyDescent="0.25">
      <c r="A2" s="25" t="s">
        <v>1694</v>
      </c>
      <c r="C2" s="1">
        <v>15</v>
      </c>
      <c r="D2" s="10" t="str">
        <f>IF(C2=0,"-",IF(C2=1,SUM(C$1:C1)+1,SUM(C$1:C1)+1 &amp; "-" &amp; SUM(C$1:C2)))</f>
        <v>1-15</v>
      </c>
      <c r="E2" s="19" t="str">
        <f t="shared" ref="E2:E7" si="0">"!import-table-item --" &amp; A$1 &amp; " --" &amp; A2 &amp; " --" &amp; C2</f>
        <v>!import-table-item --Magic-Item-Table-G --[[ 1t[Apparel-G] ]] --15</v>
      </c>
      <c r="F2" s="21" t="s">
        <v>168</v>
      </c>
      <c r="G2" s="1" t="s">
        <v>1397</v>
      </c>
      <c r="H2" s="1">
        <v>6</v>
      </c>
      <c r="I2" s="10" t="str">
        <f>IF(H2=0,"-",IF(H2=1,SUM(H$1:H1)+1,SUM(H$1:H1)+1 &amp; "-" &amp; SUM(H$1:H2)))</f>
        <v>1-6</v>
      </c>
      <c r="J2" s="19" t="str">
        <f t="shared" ref="J2:J28" si="1">"!import-table-item --" &amp; F$1 &amp; " --" &amp; F2 &amp; " --" &amp; H2</f>
        <v>!import-table-item --Apparel-G --Bracers of Defense --6</v>
      </c>
      <c r="K2" s="30" t="s">
        <v>1371</v>
      </c>
      <c r="L2" s="1" t="s">
        <v>1397</v>
      </c>
      <c r="M2" s="1">
        <v>12</v>
      </c>
      <c r="N2" s="10" t="str">
        <f>IF(M2=0,"-",IF(M2=1,SUM(M$1:M1)+1,SUM(M$1:M1)+1 &amp; "-" &amp; SUM(M$1:M2)))</f>
        <v>1-12</v>
      </c>
      <c r="O2" s="19" t="str">
        <f>"!import-table-item --" &amp; K$1 &amp; " --" &amp; K2 &amp; " --" &amp; M2</f>
        <v>!import-table-item --Armor-G --[[ 1t[Armor] ]] of [[ 1t[Damage-Type] ]] Resistance --12</v>
      </c>
      <c r="P2" s="21" t="s">
        <v>1360</v>
      </c>
      <c r="R2" s="1">
        <v>2</v>
      </c>
      <c r="S2" s="10" t="str">
        <f>IF(R2=0,"-",IF(R2=1,SUM(R$1:R1)+1,SUM(R$1:R1)+1 &amp; "-" &amp; SUM(R$1:R2)))</f>
        <v>1-2</v>
      </c>
      <c r="T2" s="19" t="str">
        <f>"!import-table-item --" &amp; P$1 &amp; " --" &amp; P2 &amp; " --" &amp; R2</f>
        <v>!import-table-item --Molten-Armor-G --Half Plate Armor --2</v>
      </c>
      <c r="U2" s="30" t="s">
        <v>1701</v>
      </c>
      <c r="V2" s="1" t="s">
        <v>1397</v>
      </c>
      <c r="W2" s="1">
        <v>10</v>
      </c>
      <c r="X2" s="10" t="str">
        <f>IF(W2=0,"-",IF(W2=1,SUM(W$1:W1)+1,SUM(W$1:W1)+1 &amp; "-" &amp; SUM(W$1:W2)))</f>
        <v>1-10</v>
      </c>
      <c r="Y2" s="19" t="str">
        <f t="shared" ref="Y2:Y43" si="2">"!import-table-item --" &amp; U$1 &amp; " --" &amp; U2 &amp; " --" &amp; W2</f>
        <v>!import-table-item --Arms-G --[[ 1t[Weapons] ]], +2 --10</v>
      </c>
      <c r="Z2" s="30" t="s">
        <v>1085</v>
      </c>
      <c r="AB2" s="1">
        <v>4</v>
      </c>
      <c r="AC2" s="10" t="str">
        <f>IF(AB2=0,"-",IF(AB2=1,SUM(AB$1:AB1)+1,SUM(AB$1:AB1)+1 &amp; "-" &amp; SUM(AB$1:AB2)))</f>
        <v>1-4</v>
      </c>
      <c r="AD2" s="19" t="str">
        <f>"!import-table-item --" &amp; Z$1 &amp; " --" &amp; Z2 &amp; " --" &amp; AB2</f>
        <v>!import-table-item --Giant-Slayer-G --[[ 1t[Axes] ]] --4</v>
      </c>
      <c r="AE2" s="30" t="s">
        <v>445</v>
      </c>
      <c r="AF2" s="1" t="s">
        <v>1397</v>
      </c>
      <c r="AG2" s="1">
        <v>30</v>
      </c>
      <c r="AH2" s="10" t="str">
        <f>IF(AG2=0,"-",IF(AG2=1,SUM(AG$1:AG1)+1,SUM(AG$1:AG1)+1 &amp; "-" &amp; SUM(AG$1:AG2)))</f>
        <v>1-30</v>
      </c>
      <c r="AI2" s="19" t="str">
        <f t="shared" ref="AI2:AI18" si="3">"!import-table-item --" &amp; AE$1 &amp; " --" &amp; AE2 &amp; " --" &amp; AG2</f>
        <v>!import-table-item --Jewelry-G --Ring of [[ 1t[Damage-Type-Gem-G] ]] --30</v>
      </c>
      <c r="AJ2" s="21" t="s">
        <v>426</v>
      </c>
      <c r="AK2" s="1" t="s">
        <v>1397</v>
      </c>
      <c r="AL2" s="1">
        <v>1</v>
      </c>
      <c r="AM2" s="10">
        <f>IF(AL2=0,"-",IF(AL2=1,SUM(AL$1:AL1)+1,SUM(AL$1:AL1)+1 &amp; "-" &amp; SUM(AL$1:AL2)))</f>
        <v>1</v>
      </c>
      <c r="AN2" s="19" t="str">
        <f t="shared" ref="AN2:AN11" si="4">"!import-table-item --" &amp; AJ$1 &amp; " --" &amp; AJ2 &amp; " --" &amp; AL2</f>
        <v>!import-table-item --Damage-Type-Gem-G --Acid Resistance, set with pearl --1</v>
      </c>
      <c r="AO2" s="21" t="s">
        <v>1724</v>
      </c>
      <c r="AP2" s="1" t="s">
        <v>1397</v>
      </c>
      <c r="AQ2" s="1">
        <v>3</v>
      </c>
      <c r="AR2" s="10" t="str">
        <f>IF(AQ2=0,"-",IF(AQ2=1,SUM(AQ$1:AQ1)+1,SUM(AQ$1:AQ1)+1 &amp; "-" &amp; SUM(AQ$1:AQ2)))</f>
        <v>1-3</v>
      </c>
      <c r="AS2" s="19" t="str">
        <f t="shared" ref="AS2:AS8" si="5">"!import-table-item --" &amp; AO$1 &amp; " --" &amp; AO2 &amp; " --" &amp; AQ2</f>
        <v>!import-table-item --Ioun-Stone-H --Ioun Stone of Agility --3</v>
      </c>
      <c r="AT2" s="21" t="s">
        <v>1277</v>
      </c>
      <c r="AU2" s="1" t="s">
        <v>1398</v>
      </c>
      <c r="AV2" s="1">
        <v>10</v>
      </c>
      <c r="AW2" s="10" t="str">
        <f>IF(AV2=0,"-",IF(AV2=1,SUM(AV$1:AV1)+1,SUM(AV$1:AV1)+1 &amp; "-" &amp; SUM(AV$1:AV2)))</f>
        <v>1-10</v>
      </c>
      <c r="AX2" s="19" t="str">
        <f t="shared" ref="AX2:AX40" si="6">"!import-table-item --" &amp; AT$1 &amp; " --" &amp; AT2 &amp; " --" &amp; AV2</f>
        <v>!import-table-item --Misc-G --Docent --10</v>
      </c>
      <c r="AY2" s="21" t="s">
        <v>365</v>
      </c>
      <c r="AZ2" s="1" t="s">
        <v>1397</v>
      </c>
      <c r="BA2" s="1">
        <v>1</v>
      </c>
      <c r="BB2" s="10">
        <f>IF(BA2=0,"-",IF(BA2=1,SUM(BA$1:BA1)+1,SUM(BA$1:BA1)+1 &amp; "-" &amp; SUM(BA$1:BA2)))</f>
        <v>1</v>
      </c>
      <c r="BC2" s="19" t="str">
        <f t="shared" ref="BC2:BC8" si="7">"!import-table-item --" &amp; AY$1 &amp; " --" &amp; AY2 &amp; " --" &amp; BA2</f>
        <v>!import-table-item --Figurine-of-Wondrous-Power-G --Bronze Griffon --1</v>
      </c>
      <c r="BD2" s="21" t="s">
        <v>402</v>
      </c>
      <c r="BE2" s="1" t="s">
        <v>1397</v>
      </c>
      <c r="BF2" s="1">
        <v>8</v>
      </c>
      <c r="BG2" s="10" t="str">
        <f>IF(BF2=0,"-",IF(BF2=1,SUM(BF$1:BF1)+1,SUM(BF$1:BF1)+1 &amp; "-" &amp; SUM(BF$1:BF2)))</f>
        <v>1-8</v>
      </c>
      <c r="BH2" s="19" t="str">
        <f>"!import-table-item --" &amp; BD$1 &amp; " --" &amp; BD2 &amp; " --" &amp; BF2</f>
        <v>!import-table-item --Horn-of-Valhalla-G --Silver --8</v>
      </c>
      <c r="BI2" s="30" t="s">
        <v>1368</v>
      </c>
      <c r="BK2" s="1">
        <v>20</v>
      </c>
      <c r="BL2" s="10" t="str">
        <f>IF(BK2=0,"-",IF(BK2=1,SUM(BK$1:BK1)+1,SUM(BK$1:BK1)+1 &amp; "-" &amp; SUM(BK$1:BK2)))</f>
        <v>1-20</v>
      </c>
      <c r="BM2" s="19" t="str">
        <f t="shared" ref="BM2:BM21" si="8">"!import-table-item --" &amp; BI$1 &amp; " --" &amp; BI2 &amp; " --" &amp; BK2</f>
        <v>!import-table-item --Spellcaster-G --[[ 1t[Sorcerer-G] ]] --20</v>
      </c>
      <c r="BN2" s="21" t="s">
        <v>1345</v>
      </c>
      <c r="BO2" s="1" t="s">
        <v>1402</v>
      </c>
      <c r="BP2" s="1">
        <v>1</v>
      </c>
      <c r="BQ2" s="10">
        <f>IF(BP2=0,"-",IF(BP2=1,SUM(BP$1:BP1)+1,SUM(BP$1:BP1)+1 &amp; "-" &amp; SUM(BP$1:BP2)))</f>
        <v>1</v>
      </c>
      <c r="BR2" s="19" t="str">
        <f t="shared" ref="BR2:BR13" si="9">"!import-table-item --" &amp; BN$1 &amp; " --" &amp; BN2 &amp; " --" &amp; BP2</f>
        <v>!import-table-item --Sorcerer-G --Bloodwell Vial, +2 --1</v>
      </c>
      <c r="BS2" s="21" t="s">
        <v>1344</v>
      </c>
      <c r="BT2" s="1" t="s">
        <v>1402</v>
      </c>
      <c r="BU2" s="1">
        <v>1</v>
      </c>
      <c r="BV2" s="10">
        <f>IF(BU2=0,"-",IF(BU2=1,SUM(BU$1:BU1)+1,SUM(BU$1:BU1)+1 &amp; "-" &amp; SUM(BU$1:BU2)))</f>
        <v>1</v>
      </c>
      <c r="BW2" s="19" t="str">
        <f t="shared" ref="BW2:BW11" si="10">"!import-table-item --" &amp; BS$1 &amp; " --" &amp; BS2 &amp; " --" &amp; BU2</f>
        <v>!import-table-item --Wizard-G --Arcane Grimoire, +2 --1</v>
      </c>
      <c r="BX2" s="21" t="s">
        <v>1348</v>
      </c>
      <c r="BY2" s="1" t="s">
        <v>1402</v>
      </c>
      <c r="BZ2" s="1">
        <v>2</v>
      </c>
      <c r="CA2" s="10" t="str">
        <f>IF(BZ2=0,"-",IF(BZ2=1,SUM(BZ$1:BZ1)+1,SUM(BZ$1:BZ1)+1 &amp; "-" &amp; SUM(BZ$1:BZ2)))</f>
        <v>1-2</v>
      </c>
      <c r="CB2" s="19" t="str">
        <f>"!import-table-item --" &amp; BX$1 &amp; " --" &amp; BX2 &amp; " --" &amp; BZ2</f>
        <v>!import-table-item --Bard-G --Rhythm-Maker's Drum, +2 --2</v>
      </c>
    </row>
    <row r="3" spans="1:80" x14ac:dyDescent="0.25">
      <c r="A3" s="25" t="s">
        <v>1528</v>
      </c>
      <c r="C3" s="1">
        <v>15</v>
      </c>
      <c r="D3" s="10" t="str">
        <f>IF(C3=0,"-",IF(C3=1,SUM(C$1:C2)+1,SUM(C$1:C2)+1 &amp; "-" &amp; SUM(C$1:C3)))</f>
        <v>16-30</v>
      </c>
      <c r="E3" s="19" t="str">
        <f t="shared" si="0"/>
        <v>!import-table-item --Magic-Item-Table-G --[[ 1t[Armor-G] ]] --15</v>
      </c>
      <c r="F3" s="21" t="s">
        <v>1346</v>
      </c>
      <c r="G3" s="1" t="s">
        <v>1403</v>
      </c>
      <c r="H3" s="1">
        <v>6</v>
      </c>
      <c r="I3" s="10" t="str">
        <f>IF(H3=0,"-",IF(H3=1,SUM(H$1:H2)+1,SUM(H$1:H2)+1 &amp; "-" &amp; SUM(H$1:H3)))</f>
        <v>7-12</v>
      </c>
      <c r="J3" s="19" t="str">
        <f t="shared" si="1"/>
        <v>!import-table-item --Apparel-G --Dragonhide Belt, +2 --6</v>
      </c>
      <c r="K3" s="30" t="s">
        <v>1372</v>
      </c>
      <c r="L3" s="1" t="s">
        <v>1397</v>
      </c>
      <c r="M3" s="1">
        <v>12</v>
      </c>
      <c r="N3" s="10" t="str">
        <f>IF(M3=0,"-",IF(M3=1,SUM(M$1:M2)+1,SUM(M$1:M2)+1 &amp; "-" &amp; SUM(M$1:M3)))</f>
        <v>13-24</v>
      </c>
      <c r="O3" s="19" t="str">
        <f t="shared" ref="O3:O17" si="11">"!import-table-item --" &amp; K$1 &amp; " --" &amp; K3 &amp; " --" &amp; M3</f>
        <v>!import-table-item --Armor-G --[[ 1t[Armor] ]], +1 --12</v>
      </c>
      <c r="P3" s="21" t="s">
        <v>1358</v>
      </c>
      <c r="R3" s="1">
        <v>2</v>
      </c>
      <c r="S3" s="10" t="str">
        <f>IF(R3=0,"-",IF(R3=1,SUM(R$1:R2)+1,SUM(R$1:R2)+1 &amp; "-" &amp; SUM(R$1:R3)))</f>
        <v>3-4</v>
      </c>
      <c r="T3" s="19" t="str">
        <f>"!import-table-item --" &amp; P$1 &amp; " --" &amp; P3 &amp; " --" &amp; R3</f>
        <v>!import-table-item --Molten-Armor-G --Plate Armor --2</v>
      </c>
      <c r="U3" s="21" t="s">
        <v>1096</v>
      </c>
      <c r="V3" s="1" t="s">
        <v>1398</v>
      </c>
      <c r="W3" s="1">
        <v>3</v>
      </c>
      <c r="X3" s="10" t="str">
        <f>IF(W3=0,"-",IF(W3=1,SUM(W$1:W2)+1,SUM(W$1:W2)+1 &amp; "-" &amp; SUM(W$1:W3)))</f>
        <v>11-13</v>
      </c>
      <c r="Y3" s="19" t="str">
        <f t="shared" si="2"/>
        <v>!import-table-item --Arms-G --Arcane Propulsion Arm --3</v>
      </c>
      <c r="Z3" s="30" t="s">
        <v>1084</v>
      </c>
      <c r="AB3" s="1">
        <v>2</v>
      </c>
      <c r="AC3" s="10" t="str">
        <f>IF(AB3=0,"-",IF(AB3=1,SUM(AB$1:AB2)+1,SUM(AB$1:AB2)+1 &amp; "-" &amp; SUM(AB$1:AB3)))</f>
        <v>5-6</v>
      </c>
      <c r="AD3" s="19" t="str">
        <f>"!import-table-item --" &amp; Z$1 &amp; " --" &amp; Z3 &amp; " --" &amp; AB3</f>
        <v>!import-table-item --Giant-Slayer-G --[[ 1t[Swords] ]] --2</v>
      </c>
      <c r="AE3" s="30" t="s">
        <v>1567</v>
      </c>
      <c r="AF3" s="1" t="s">
        <v>1397</v>
      </c>
      <c r="AG3" s="1">
        <v>10</v>
      </c>
      <c r="AH3" s="10" t="str">
        <f>IF(AG3=0,"-",IF(AG3=1,SUM(AG$1:AG2)+1,SUM(AG$1:AG2)+1 &amp; "-" &amp; SUM(AG$1:AG3)))</f>
        <v>31-40</v>
      </c>
      <c r="AI3" s="19" t="str">
        <f t="shared" si="3"/>
        <v>!import-table-item --Jewelry-G --[[ 1t[Ioun-Stone-H] ]] --10</v>
      </c>
      <c r="AJ3" s="21" t="s">
        <v>425</v>
      </c>
      <c r="AK3" s="1" t="s">
        <v>1397</v>
      </c>
      <c r="AL3" s="1">
        <v>1</v>
      </c>
      <c r="AM3" s="10">
        <f>IF(AL3=0,"-",IF(AL3=1,SUM(AL$1:AL2)+1,SUM(AL$1:AL2)+1 &amp; "-" &amp; SUM(AL$1:AL3)))</f>
        <v>2</v>
      </c>
      <c r="AN3" s="19" t="str">
        <f t="shared" si="4"/>
        <v>!import-table-item --Damage-Type-Gem-G --Cold Resistance, set with tourmaline --1</v>
      </c>
      <c r="AO3" s="21" t="s">
        <v>1725</v>
      </c>
      <c r="AP3" s="1" t="s">
        <v>1397</v>
      </c>
      <c r="AQ3" s="1">
        <v>3</v>
      </c>
      <c r="AR3" s="10" t="str">
        <f>IF(AQ3=0,"-",IF(AQ3=1,SUM(AQ$1:AQ2)+1,SUM(AQ$1:AQ2)+1 &amp; "-" &amp; SUM(AQ$1:AQ3)))</f>
        <v>4-6</v>
      </c>
      <c r="AS3" s="19" t="str">
        <f t="shared" si="5"/>
        <v>!import-table-item --Ioun-Stone-H --Ioun Stone of Fortitude --3</v>
      </c>
      <c r="AT3" s="21" t="s">
        <v>1263</v>
      </c>
      <c r="AU3" s="1" t="s">
        <v>1399</v>
      </c>
      <c r="AV3" s="1">
        <v>3</v>
      </c>
      <c r="AW3" s="10" t="str">
        <f>IF(AV3=0,"-",IF(AV3=1,SUM(AV$1:AV2)+1,SUM(AV$1:AV2)+1 &amp; "-" &amp; SUM(AV$1:AV3)))</f>
        <v>11-13</v>
      </c>
      <c r="AX3" s="19" t="str">
        <f t="shared" si="6"/>
        <v>!import-table-item --Misc-G --Banner of the Krig Rune --3</v>
      </c>
      <c r="AY3" s="21" t="s">
        <v>366</v>
      </c>
      <c r="AZ3" s="1" t="s">
        <v>1397</v>
      </c>
      <c r="BA3" s="1">
        <v>1</v>
      </c>
      <c r="BB3" s="10">
        <f>IF(BA3=0,"-",IF(BA3=1,SUM(BA$1:BA2)+1,SUM(BA$1:BA2)+1 &amp; "-" &amp; SUM(BA$1:BA3)))</f>
        <v>2</v>
      </c>
      <c r="BC3" s="19" t="str">
        <f t="shared" si="7"/>
        <v>!import-table-item --Figurine-of-Wondrous-Power-G --Ebony Fly --1</v>
      </c>
      <c r="BD3" s="21" t="s">
        <v>403</v>
      </c>
      <c r="BE3" s="1" t="s">
        <v>1397</v>
      </c>
      <c r="BF3" s="1">
        <v>7</v>
      </c>
      <c r="BG3" s="10" t="str">
        <f>IF(BF3=0,"-",IF(BF3=1,SUM(BF$1:BF2)+1,SUM(BF$1:BF2)+1 &amp; "-" &amp; SUM(BF$1:BF3)))</f>
        <v>9-15</v>
      </c>
      <c r="BH3" s="19" t="str">
        <f>"!import-table-item --" &amp; BD$1 &amp; " --" &amp; BD3 &amp; " --" &amp; BF3</f>
        <v>!import-table-item --Horn-of-Valhalla-G --Brass --7</v>
      </c>
      <c r="BI3" s="30" t="s">
        <v>1369</v>
      </c>
      <c r="BK3" s="1">
        <v>20</v>
      </c>
      <c r="BL3" s="10" t="str">
        <f>IF(BK3=0,"-",IF(BK3=1,SUM(BK$1:BK2)+1,SUM(BK$1:BK2)+1 &amp; "-" &amp; SUM(BK$1:BK3)))</f>
        <v>21-40</v>
      </c>
      <c r="BM3" s="19" t="str">
        <f t="shared" si="8"/>
        <v>!import-table-item --Spellcaster-G --[[ 1t[Wizard-G] ]] --20</v>
      </c>
      <c r="BN3" s="21" t="s">
        <v>1377</v>
      </c>
      <c r="BO3" s="1" t="s">
        <v>1402</v>
      </c>
      <c r="BP3" s="1">
        <v>1</v>
      </c>
      <c r="BQ3" s="10">
        <f>IF(BP3=0,"-",IF(BP3=1,SUM(BP$1:BP2)+1,SUM(BP$1:BP2)+1 &amp; "-" &amp; SUM(BP$1:BP3)))</f>
        <v>2</v>
      </c>
      <c r="BR3" s="19" t="str">
        <f t="shared" si="9"/>
        <v>!import-table-item --Sorcerer-G --Chaotic Essence Shard --1</v>
      </c>
      <c r="BS3" s="21" t="s">
        <v>1258</v>
      </c>
      <c r="BT3" s="1" t="s">
        <v>1402</v>
      </c>
      <c r="BU3" s="1">
        <v>1</v>
      </c>
      <c r="BV3" s="10">
        <f>IF(BU3=0,"-",IF(BU3=1,SUM(BU$1:BU2)+1,SUM(BU$1:BU2)+1 &amp; "-" &amp; SUM(BU$1:BU3)))</f>
        <v>2</v>
      </c>
      <c r="BW3" s="19" t="str">
        <f t="shared" si="10"/>
        <v>!import-table-item --Wizard-G --Alchemical Compendium --1</v>
      </c>
      <c r="BX3" s="21" t="s">
        <v>203</v>
      </c>
      <c r="BY3" s="1" t="s">
        <v>1397</v>
      </c>
      <c r="BZ3" s="1">
        <v>2</v>
      </c>
      <c r="CA3" s="10" t="str">
        <f>IF(BZ3=0,"-",IF(BZ3=1,SUM(BZ$1:BZ2)+1,SUM(BZ$1:BZ2)+1 &amp; "-" &amp; SUM(BZ$1:BZ3)))</f>
        <v>3-4</v>
      </c>
      <c r="CB3" s="19" t="str">
        <f>"!import-table-item --" &amp; BX$1 &amp; " --" &amp; BX3 &amp; " --" &amp; BZ3</f>
        <v>!import-table-item --Bard-G --Instrument of the Bards (Canaith mandolin) --2</v>
      </c>
    </row>
    <row r="4" spans="1:80" x14ac:dyDescent="0.25">
      <c r="A4" s="25" t="s">
        <v>1340</v>
      </c>
      <c r="C4" s="1">
        <v>20</v>
      </c>
      <c r="D4" s="10" t="str">
        <f>IF(C4=0,"-",IF(C4=1,SUM(C$1:C3)+1,SUM(C$1:C3)+1 &amp; "-" &amp; SUM(C$1:C4)))</f>
        <v>31-50</v>
      </c>
      <c r="E4" s="19" t="str">
        <f t="shared" si="0"/>
        <v>!import-table-item --Magic-Item-Table-G --[[ 1t[Arms-G] ]] --20</v>
      </c>
      <c r="F4" s="21" t="s">
        <v>1293</v>
      </c>
      <c r="G4" s="1" t="s">
        <v>1480</v>
      </c>
      <c r="H4" s="1">
        <v>6</v>
      </c>
      <c r="I4" s="10" t="str">
        <f>IF(H4=0,"-",IF(H4=1,SUM(H$1:H3)+1,SUM(H$1:H3)+1 &amp; "-" &amp; SUM(H$1:H4)))</f>
        <v>13-18</v>
      </c>
      <c r="J4" s="19" t="str">
        <f t="shared" si="1"/>
        <v>!import-table-item --Apparel-G --Kagonesti Forest Shroud --6</v>
      </c>
      <c r="K4" s="21" t="s">
        <v>1898</v>
      </c>
      <c r="L4" s="1" t="s">
        <v>1875</v>
      </c>
      <c r="M4" s="1">
        <v>8</v>
      </c>
      <c r="N4" s="10" t="str">
        <f>IF(M4=0,"-",IF(M4=1,SUM(M$1:M3)+1,SUM(M$1:M3)+1 &amp; "-" &amp; SUM(M$1:M4)))</f>
        <v>25-32</v>
      </c>
      <c r="O4" s="19" t="str">
        <f t="shared" si="11"/>
        <v>!import-table-item --Armor-G --Breastplate of Balance --8</v>
      </c>
      <c r="S4" s="10"/>
      <c r="U4" s="21" t="s">
        <v>1341</v>
      </c>
      <c r="V4" s="1" t="s">
        <v>1477</v>
      </c>
      <c r="W4" s="1">
        <v>3</v>
      </c>
      <c r="X4" s="10" t="str">
        <f>IF(W4=0,"-",IF(W4=1,SUM(W$1:W3)+1,SUM(W$1:W3)+1 &amp; "-" &amp; SUM(W$1:W4)))</f>
        <v>14-16</v>
      </c>
      <c r="Y4" s="19" t="str">
        <f t="shared" si="2"/>
        <v>!import-table-item --Arms-G --Bonecounter --3</v>
      </c>
      <c r="AC4" s="10"/>
      <c r="AE4" s="21" t="s">
        <v>1259</v>
      </c>
      <c r="AF4" s="1" t="s">
        <v>1479</v>
      </c>
      <c r="AG4" s="1">
        <v>4</v>
      </c>
      <c r="AH4" s="10" t="str">
        <f>IF(AG4=0,"-",IF(AG4=1,SUM(AG$1:AG3)+1,SUM(AG$1:AG3)+1 &amp; "-" &amp; SUM(AG$1:AG4)))</f>
        <v>41-44</v>
      </c>
      <c r="AI4" s="19" t="str">
        <f t="shared" si="3"/>
        <v>!import-table-item --Jewelry-G --Amulet of Protection from Turning --4</v>
      </c>
      <c r="AJ4" s="21" t="s">
        <v>424</v>
      </c>
      <c r="AK4" s="1" t="s">
        <v>1397</v>
      </c>
      <c r="AL4" s="1">
        <v>1</v>
      </c>
      <c r="AM4" s="10">
        <f>IF(AL4=0,"-",IF(AL4=1,SUM(AL$1:AL3)+1,SUM(AL$1:AL3)+1 &amp; "-" &amp; SUM(AL$1:AL4)))</f>
        <v>3</v>
      </c>
      <c r="AN4" s="19" t="str">
        <f t="shared" si="4"/>
        <v>!import-table-item --Damage-Type-Gem-G --Fire Resistance, set with garnet --1</v>
      </c>
      <c r="AO4" s="21" t="s">
        <v>1726</v>
      </c>
      <c r="AP4" s="1" t="s">
        <v>1397</v>
      </c>
      <c r="AQ4" s="1">
        <v>3</v>
      </c>
      <c r="AR4" s="10" t="str">
        <f>IF(AQ4=0,"-",IF(AQ4=1,SUM(AQ$1:AQ3)+1,SUM(AQ$1:AQ3)+1 &amp; "-" &amp; SUM(AQ$1:AQ4)))</f>
        <v>7-9</v>
      </c>
      <c r="AS4" s="19" t="str">
        <f t="shared" si="5"/>
        <v>!import-table-item --Ioun-Stone-H --Ioun Stone of Insight --3</v>
      </c>
      <c r="AT4" s="21" t="s">
        <v>167</v>
      </c>
      <c r="AU4" s="1" t="s">
        <v>1397</v>
      </c>
      <c r="AV4" s="1">
        <v>3</v>
      </c>
      <c r="AW4" s="10" t="str">
        <f>IF(AV4=0,"-",IF(AV4=1,SUM(AV$1:AV3)+1,SUM(AV$1:AV3)+1 &amp; "-" &amp; SUM(AV$1:AV4)))</f>
        <v>14-16</v>
      </c>
      <c r="AX4" s="19" t="str">
        <f t="shared" si="6"/>
        <v>!import-table-item --Misc-G --Bowl of Commanding Water Elementals --3</v>
      </c>
      <c r="AY4" s="21" t="s">
        <v>367</v>
      </c>
      <c r="AZ4" s="1" t="s">
        <v>1397</v>
      </c>
      <c r="BA4" s="1">
        <v>1</v>
      </c>
      <c r="BB4" s="10">
        <f>IF(BA4=0,"-",IF(BA4=1,SUM(BA$1:BA3)+1,SUM(BA$1:BA3)+1 &amp; "-" &amp; SUM(BA$1:BA4)))</f>
        <v>3</v>
      </c>
      <c r="BC4" s="19" t="str">
        <f t="shared" si="7"/>
        <v>!import-table-item --Figurine-of-Wondrous-Power-G --Golden Lions --1</v>
      </c>
      <c r="BD4" s="21" t="s">
        <v>1336</v>
      </c>
      <c r="BF4" s="1">
        <v>5</v>
      </c>
      <c r="BG4" s="10" t="str">
        <f>IF(BF4=0,"-",IF(BF4=1,SUM(BF$1:BF3)+1,SUM(BF$1:BF3)+1 &amp; "-" &amp; SUM(BF$1:BF4)))</f>
        <v>16-20</v>
      </c>
      <c r="BH4" s="19" t="str">
        <f>"!import-table-item --" &amp; BD$1 &amp; " --" &amp; BD4 &amp; " --" &amp; BF4</f>
        <v>!import-table-item --Horn-of-Valhalla-G --[[ 1t[Horn-of-Valhalla-G] ]] --5</v>
      </c>
      <c r="BI4" s="30" t="s">
        <v>1367</v>
      </c>
      <c r="BK4" s="1">
        <v>6</v>
      </c>
      <c r="BL4" s="10" t="str">
        <f>IF(BK4=0,"-",IF(BK4=1,SUM(BK$1:BK3)+1,SUM(BK$1:BK3)+1 &amp; "-" &amp; SUM(BK$1:BK4)))</f>
        <v>41-46</v>
      </c>
      <c r="BM4" s="19" t="str">
        <f t="shared" si="8"/>
        <v>!import-table-item --Spellcaster-G --[[ 1t[Bard-G] ]] --6</v>
      </c>
      <c r="BN4" s="21" t="s">
        <v>1378</v>
      </c>
      <c r="BO4" s="1" t="s">
        <v>1402</v>
      </c>
      <c r="BP4" s="1">
        <v>1</v>
      </c>
      <c r="BQ4" s="10">
        <f>IF(BP4=0,"-",IF(BP4=1,SUM(BP$1:BP3)+1,SUM(BP$1:BP3)+1 &amp; "-" &amp; SUM(BP$1:BP4)))</f>
        <v>3</v>
      </c>
      <c r="BR4" s="19" t="str">
        <f t="shared" si="9"/>
        <v>!import-table-item --Sorcerer-G --Evil Essence Shard --1</v>
      </c>
      <c r="BS4" s="21" t="s">
        <v>1261</v>
      </c>
      <c r="BT4" s="1" t="s">
        <v>1402</v>
      </c>
      <c r="BU4" s="1">
        <v>1</v>
      </c>
      <c r="BV4" s="10">
        <f>IF(BU4=0,"-",IF(BU4=1,SUM(BU$1:BU3)+1,SUM(BU$1:BU3)+1 &amp; "-" &amp; SUM(BU$1:BU4)))</f>
        <v>3</v>
      </c>
      <c r="BW4" s="19" t="str">
        <f t="shared" si="10"/>
        <v>!import-table-item --Wizard-G --Astromancy Archive --1</v>
      </c>
      <c r="BX4" s="21" t="s">
        <v>191</v>
      </c>
      <c r="BY4" s="1" t="s">
        <v>1397</v>
      </c>
      <c r="BZ4" s="1">
        <v>2</v>
      </c>
      <c r="CA4" s="10" t="str">
        <f>IF(BZ4=0,"-",IF(BZ4=1,SUM(BZ$1:BZ3)+1,SUM(BZ$1:BZ3)+1 &amp; "-" &amp; SUM(BZ$1:BZ4)))</f>
        <v>5-6</v>
      </c>
      <c r="CB4" s="19" t="str">
        <f>"!import-table-item --" &amp; BX$1 &amp; " --" &amp; BX4 &amp; " --" &amp; BZ4</f>
        <v>!import-table-item --Bard-G --Instrument of the Bards (Cli lyre) --2</v>
      </c>
    </row>
    <row r="5" spans="1:80" x14ac:dyDescent="0.25">
      <c r="A5" s="25" t="s">
        <v>1339</v>
      </c>
      <c r="C5" s="1">
        <v>15</v>
      </c>
      <c r="D5" s="10" t="str">
        <f>IF(C5=0,"-",IF(C5=1,SUM(C$1:C4)+1,SUM(C$1:C4)+1 &amp; "-" &amp; SUM(C$1:C5)))</f>
        <v>51-65</v>
      </c>
      <c r="E5" s="19" t="str">
        <f t="shared" si="0"/>
        <v>!import-table-item --Magic-Item-Table-G --[[ 1t[Jewelry-G] ]] --15</v>
      </c>
      <c r="F5" s="21" t="s">
        <v>1349</v>
      </c>
      <c r="G5" s="1" t="s">
        <v>1402</v>
      </c>
      <c r="H5" s="1">
        <v>6</v>
      </c>
      <c r="I5" s="10" t="str">
        <f>IF(H5=0,"-",IF(H5=1,SUM(H$1:H4)+1,SUM(H$1:H4)+1 &amp; "-" &amp; SUM(H$1:H5)))</f>
        <v>19-24</v>
      </c>
      <c r="J5" s="19" t="str">
        <f t="shared" si="1"/>
        <v>!import-table-item --Apparel-G --Medium Barrier Tattoo --6</v>
      </c>
      <c r="K5" s="21" t="s">
        <v>1684</v>
      </c>
      <c r="L5" s="1" t="s">
        <v>1397</v>
      </c>
      <c r="M5" s="1">
        <v>8</v>
      </c>
      <c r="N5" s="10" t="str">
        <f>IF(M5=0,"-",IF(M5=1,SUM(M$1:M4)+1,SUM(M$1:M4)+1 &amp; "-" &amp; SUM(M$1:M5)))</f>
        <v>33-40</v>
      </c>
      <c r="O5" s="19" t="str">
        <f t="shared" si="11"/>
        <v>!import-table-item --Armor-G --Elven Chain Shirt, +1 --8</v>
      </c>
      <c r="S5" s="10"/>
      <c r="U5" s="21" t="s">
        <v>1266</v>
      </c>
      <c r="V5" s="1" t="s">
        <v>1439</v>
      </c>
      <c r="W5" s="1">
        <v>3</v>
      </c>
      <c r="X5" s="10" t="str">
        <f>IF(W5=0,"-",IF(W5=1,SUM(W$1:W4)+1,SUM(W$1:W4)+1 &amp; "-" &amp; SUM(W$1:W5)))</f>
        <v>17-19</v>
      </c>
      <c r="Y5" s="19" t="str">
        <f t="shared" si="2"/>
        <v>!import-table-item --Arms-G --Bracer of Flying Daggers --3</v>
      </c>
      <c r="AC5" s="10"/>
      <c r="AE5" s="21" t="s">
        <v>1269</v>
      </c>
      <c r="AF5" s="1" t="s">
        <v>1481</v>
      </c>
      <c r="AG5" s="1">
        <v>4</v>
      </c>
      <c r="AH5" s="10" t="str">
        <f>IF(AG5=0,"-",IF(AG5=1,SUM(AG$1:AG4)+1,SUM(AG$1:AG4)+1 &amp; "-" &amp; SUM(AG$1:AG5)))</f>
        <v>45-48</v>
      </c>
      <c r="AI5" s="19" t="str">
        <f t="shared" si="3"/>
        <v>!import-table-item --Jewelry-G --Charm of Plant Command --4</v>
      </c>
      <c r="AJ5" s="21" t="s">
        <v>423</v>
      </c>
      <c r="AK5" s="1" t="s">
        <v>1397</v>
      </c>
      <c r="AL5" s="1">
        <v>1</v>
      </c>
      <c r="AM5" s="10">
        <f>IF(AL5=0,"-",IF(AL5=1,SUM(AL$1:AL4)+1,SUM(AL$1:AL4)+1 &amp; "-" &amp; SUM(AL$1:AL5)))</f>
        <v>4</v>
      </c>
      <c r="AN5" s="19" t="str">
        <f t="shared" si="4"/>
        <v>!import-table-item --Damage-Type-Gem-G --Force Resistance, set with sapphire --1</v>
      </c>
      <c r="AO5" s="21" t="s">
        <v>1727</v>
      </c>
      <c r="AP5" s="1" t="s">
        <v>1397</v>
      </c>
      <c r="AQ5" s="1">
        <v>3</v>
      </c>
      <c r="AR5" s="10" t="str">
        <f>IF(AQ5=0,"-",IF(AQ5=1,SUM(AQ$1:AQ4)+1,SUM(AQ$1:AQ4)+1 &amp; "-" &amp; SUM(AQ$1:AQ5)))</f>
        <v>10-12</v>
      </c>
      <c r="AS5" s="19" t="str">
        <f t="shared" si="5"/>
        <v>!import-table-item --Ioun-Stone-H --Ioun Stone of Intellect --3</v>
      </c>
      <c r="AT5" s="21" t="s">
        <v>169</v>
      </c>
      <c r="AU5" s="1" t="s">
        <v>1397</v>
      </c>
      <c r="AV5" s="1">
        <v>3</v>
      </c>
      <c r="AW5" s="10" t="str">
        <f>IF(AV5=0,"-",IF(AV5=1,SUM(AV$1:AV4)+1,SUM(AV$1:AV4)+1 &amp; "-" &amp; SUM(AV$1:AV5)))</f>
        <v>17-19</v>
      </c>
      <c r="AX5" s="19" t="str">
        <f t="shared" si="6"/>
        <v>!import-table-item --Misc-G --Brazier of Commanding Fire Elementals --3</v>
      </c>
      <c r="AY5" s="21" t="s">
        <v>368</v>
      </c>
      <c r="AZ5" s="1" t="s">
        <v>1397</v>
      </c>
      <c r="BA5" s="1">
        <v>1</v>
      </c>
      <c r="BB5" s="10">
        <f>IF(BA5=0,"-",IF(BA5=1,SUM(BA$1:BA4)+1,SUM(BA$1:BA4)+1 &amp; "-" &amp; SUM(BA$1:BA5)))</f>
        <v>4</v>
      </c>
      <c r="BC5" s="19" t="str">
        <f t="shared" si="7"/>
        <v>!import-table-item --Figurine-of-Wondrous-Power-G --Ivory Goats --1</v>
      </c>
      <c r="BG5" s="10"/>
      <c r="BI5" s="21" t="s">
        <v>1342</v>
      </c>
      <c r="BJ5" s="1" t="s">
        <v>1402</v>
      </c>
      <c r="BK5" s="1">
        <v>6</v>
      </c>
      <c r="BL5" s="10" t="str">
        <f>IF(BK5=0,"-",IF(BK5=1,SUM(BK$1:BK4)+1,SUM(BK$1:BK4)+1 &amp; "-" &amp; SUM(BK$1:BK5)))</f>
        <v>47-52</v>
      </c>
      <c r="BM5" s="19" t="str">
        <f t="shared" si="8"/>
        <v>!import-table-item --Spellcaster-G --All-Purpose Tool, +2 --6</v>
      </c>
      <c r="BN5" s="21" t="s">
        <v>1379</v>
      </c>
      <c r="BO5" s="1" t="s">
        <v>1402</v>
      </c>
      <c r="BP5" s="1">
        <v>1</v>
      </c>
      <c r="BQ5" s="10">
        <f>IF(BP5=0,"-",IF(BP5=1,SUM(BP$1:BP4)+1,SUM(BP$1:BP4)+1 &amp; "-" &amp; SUM(BP$1:BP5)))</f>
        <v>4</v>
      </c>
      <c r="BR5" s="19" t="str">
        <f t="shared" si="9"/>
        <v>!import-table-item --Sorcerer-G --Good Essence Shard --1</v>
      </c>
      <c r="BS5" s="21" t="s">
        <v>1262</v>
      </c>
      <c r="BT5" s="1" t="s">
        <v>1402</v>
      </c>
      <c r="BU5" s="1">
        <v>1</v>
      </c>
      <c r="BV5" s="10">
        <f>IF(BU5=0,"-",IF(BU5=1,SUM(BU$1:BU4)+1,SUM(BU$1:BU4)+1 &amp; "-" &amp; SUM(BU$1:BU5)))</f>
        <v>4</v>
      </c>
      <c r="BW5" s="19" t="str">
        <f t="shared" si="10"/>
        <v>!import-table-item --Wizard-G --Atlas of Endless Horizons --1</v>
      </c>
      <c r="BX5" s="21" t="s">
        <v>1297</v>
      </c>
      <c r="BY5" s="1" t="s">
        <v>1402</v>
      </c>
      <c r="BZ5" s="1">
        <v>2</v>
      </c>
      <c r="CA5" s="10" t="str">
        <f>IF(BZ5=0,"-",IF(BZ5=1,SUM(BZ$1:BZ4)+1,SUM(BZ$1:BZ4)+1 &amp; "-" &amp; SUM(BZ$1:BZ5)))</f>
        <v>7-8</v>
      </c>
      <c r="CB5" s="19" t="str">
        <f>"!import-table-item --" &amp; BX$1 &amp; " --" &amp; BX5 &amp; " --" &amp; BZ5</f>
        <v>!import-table-item --Bard-G --Lyre of Building --2</v>
      </c>
    </row>
    <row r="6" spans="1:80" x14ac:dyDescent="0.25">
      <c r="A6" s="25" t="s">
        <v>1692</v>
      </c>
      <c r="C6" s="1">
        <v>15</v>
      </c>
      <c r="D6" s="10" t="str">
        <f>IF(C6=0,"-",IF(C6=1,SUM(C$1:C5)+1,SUM(C$1:C5)+1 &amp; "-" &amp; SUM(C$1:C6)))</f>
        <v>66-80</v>
      </c>
      <c r="E6" s="19" t="str">
        <f t="shared" si="0"/>
        <v>!import-table-item --Magic-Item-Table-G --[[ 1t[Misc-G] ]] --15</v>
      </c>
      <c r="F6" s="21" t="s">
        <v>1870</v>
      </c>
      <c r="G6" s="1" t="s">
        <v>1853</v>
      </c>
      <c r="H6" s="1">
        <v>6</v>
      </c>
      <c r="I6" s="10" t="str">
        <f>IF(H6=0,"-",IF(H6=1,SUM(H$1:H5)+1,SUM(H$1:H5)+1 &amp; "-" &amp; SUM(H$1:H6)))</f>
        <v>25-30</v>
      </c>
      <c r="J6" s="19" t="str">
        <f t="shared" si="1"/>
        <v>!import-table-item --Apparel-G --Shadow Sibling --6</v>
      </c>
      <c r="K6" s="30" t="s">
        <v>1902</v>
      </c>
      <c r="L6" s="1" t="s">
        <v>1875</v>
      </c>
      <c r="M6" s="1">
        <v>8</v>
      </c>
      <c r="N6" s="10" t="str">
        <f>IF(M6=0,"-",IF(M6=1,SUM(M$1:M5)+1,SUM(M$1:M5)+1 &amp; "-" &amp; SUM(M$1:M6)))</f>
        <v>41-48</v>
      </c>
      <c r="O6" s="19" t="str">
        <f t="shared" si="11"/>
        <v>!import-table-item --Armor-G --Feywrought [[ 1t[Armor] ]] --8</v>
      </c>
      <c r="S6" s="10"/>
      <c r="U6" s="21" t="s">
        <v>1901</v>
      </c>
      <c r="V6" s="1" t="s">
        <v>1875</v>
      </c>
      <c r="W6" s="1">
        <v>3</v>
      </c>
      <c r="X6" s="10" t="str">
        <f>IF(W6=0,"-",IF(W6=1,SUM(W$1:W5)+1,SUM(W$1:W5)+1 &amp; "-" &amp; SUM(W$1:W6)))</f>
        <v>20-22</v>
      </c>
      <c r="Y6" s="19" t="str">
        <f t="shared" si="2"/>
        <v>!import-table-item --Arms-G --Donjon's Sundering Sphere --3</v>
      </c>
      <c r="AC6" s="10"/>
      <c r="AE6" s="21" t="s">
        <v>205</v>
      </c>
      <c r="AF6" s="1" t="s">
        <v>1397</v>
      </c>
      <c r="AG6" s="1">
        <v>4</v>
      </c>
      <c r="AH6" s="10" t="str">
        <f>IF(AG6=0,"-",IF(AG6=1,SUM(AG$1:AG5)+1,SUM(AG$1:AG5)+1 &amp; "-" &amp; SUM(AG$1:AG6)))</f>
        <v>49-52</v>
      </c>
      <c r="AI6" s="19" t="str">
        <f t="shared" si="3"/>
        <v>!import-table-item --Jewelry-G --Necklace of Prayer Beads --4</v>
      </c>
      <c r="AJ6" s="21" t="s">
        <v>422</v>
      </c>
      <c r="AK6" s="1" t="s">
        <v>1397</v>
      </c>
      <c r="AL6" s="1">
        <v>1</v>
      </c>
      <c r="AM6" s="10">
        <f>IF(AL6=0,"-",IF(AL6=1,SUM(AL$1:AL5)+1,SUM(AL$1:AL5)+1 &amp; "-" &amp; SUM(AL$1:AL6)))</f>
        <v>5</v>
      </c>
      <c r="AN6" s="19" t="str">
        <f t="shared" si="4"/>
        <v>!import-table-item --Damage-Type-Gem-G --Lightning Resistance, set with citrine --1</v>
      </c>
      <c r="AO6" s="21" t="s">
        <v>1729</v>
      </c>
      <c r="AP6" s="1" t="s">
        <v>1397</v>
      </c>
      <c r="AQ6" s="1">
        <v>3</v>
      </c>
      <c r="AR6" s="10" t="str">
        <f>IF(AQ6=0,"-",IF(AQ6=1,SUM(AQ$1:AQ5)+1,SUM(AQ$1:AQ5)+1 &amp; "-" &amp; SUM(AQ$1:AQ6)))</f>
        <v>13-15</v>
      </c>
      <c r="AS6" s="19" t="str">
        <f t="shared" si="5"/>
        <v>!import-table-item --Ioun-Stone-H --Ioun Stone of Leadership --3</v>
      </c>
      <c r="AT6" s="21" t="s">
        <v>171</v>
      </c>
      <c r="AU6" s="1" t="s">
        <v>1397</v>
      </c>
      <c r="AV6" s="1">
        <v>3</v>
      </c>
      <c r="AW6" s="10" t="str">
        <f>IF(AV6=0,"-",IF(AV6=1,SUM(AV$1:AV5)+1,SUM(AV$1:AV5)+1 &amp; "-" &amp; SUM(AV$1:AV6)))</f>
        <v>20-22</v>
      </c>
      <c r="AX6" s="19" t="str">
        <f t="shared" si="6"/>
        <v>!import-table-item --Misc-G --Censer of Controlling Air Elementals --3</v>
      </c>
      <c r="AY6" s="21" t="s">
        <v>369</v>
      </c>
      <c r="AZ6" s="1" t="s">
        <v>1397</v>
      </c>
      <c r="BA6" s="1">
        <v>1</v>
      </c>
      <c r="BB6" s="10">
        <f>IF(BA6=0,"-",IF(BA6=1,SUM(BA$1:BA5)+1,SUM(BA$1:BA5)+1 &amp; "-" &amp; SUM(BA$1:BA6)))</f>
        <v>5</v>
      </c>
      <c r="BC6" s="19" t="str">
        <f t="shared" si="7"/>
        <v>!import-table-item --Figurine-of-Wondrous-Power-G --Marble Elephant --1</v>
      </c>
      <c r="BG6" s="10"/>
      <c r="BI6" s="21" t="s">
        <v>223</v>
      </c>
      <c r="BJ6" s="1" t="s">
        <v>1397</v>
      </c>
      <c r="BK6" s="1">
        <v>4</v>
      </c>
      <c r="BL6" s="10" t="str">
        <f>IF(BK6=0,"-",IF(BK6=1,SUM(BK$1:BK5)+1,SUM(BK$1:BK5)+1 &amp; "-" &amp; SUM(BK$1:BK6)))</f>
        <v>53-56</v>
      </c>
      <c r="BM6" s="19" t="str">
        <f t="shared" si="8"/>
        <v>!import-table-item --Spellcaster-G --Staff of Charming --4</v>
      </c>
      <c r="BN6" s="21" t="s">
        <v>1380</v>
      </c>
      <c r="BO6" s="1" t="s">
        <v>1402</v>
      </c>
      <c r="BP6" s="1">
        <v>1</v>
      </c>
      <c r="BQ6" s="10">
        <f>IF(BP6=0,"-",IF(BP6=1,SUM(BP$1:BP5)+1,SUM(BP$1:BP5)+1 &amp; "-" &amp; SUM(BP$1:BP6)))</f>
        <v>5</v>
      </c>
      <c r="BR6" s="19" t="str">
        <f t="shared" si="9"/>
        <v>!import-table-item --Sorcerer-G --Lawful Essence Shard --1</v>
      </c>
      <c r="BS6" s="21" t="s">
        <v>1278</v>
      </c>
      <c r="BT6" s="1" t="s">
        <v>1402</v>
      </c>
      <c r="BU6" s="1">
        <v>1</v>
      </c>
      <c r="BV6" s="10">
        <f>IF(BU6=0,"-",IF(BU6=1,SUM(BU$1:BU5)+1,SUM(BU$1:BU5)+1 &amp; "-" &amp; SUM(BU$1:BU6)))</f>
        <v>5</v>
      </c>
      <c r="BW6" s="19" t="str">
        <f t="shared" si="10"/>
        <v>!import-table-item --Wizard-G --Duplicitous Manuscript --1</v>
      </c>
      <c r="BX6" s="21" t="s">
        <v>1309</v>
      </c>
      <c r="BY6" s="1" t="s">
        <v>1402</v>
      </c>
      <c r="BZ6" s="1">
        <v>2</v>
      </c>
      <c r="CA6" s="10" t="str">
        <f>IF(BZ6=0,"-",IF(BZ6=1,SUM(BZ$1:BZ5)+1,SUM(BZ$1:BZ5)+1 &amp; "-" &amp; SUM(BZ$1:BZ6)))</f>
        <v>9-10</v>
      </c>
      <c r="CB6" s="19" t="str">
        <f>"!import-table-item --" &amp; BX$1 &amp; " --" &amp; BX6 &amp; " --" &amp; BZ6</f>
        <v>!import-table-item --Bard-G --Reveler's Concertina --2</v>
      </c>
    </row>
    <row r="7" spans="1:80" x14ac:dyDescent="0.25">
      <c r="A7" s="25" t="s">
        <v>1693</v>
      </c>
      <c r="C7" s="1">
        <v>20</v>
      </c>
      <c r="D7" s="10" t="str">
        <f>IF(C7=0,"-",IF(C7=1,SUM(C$1:C6)+1,SUM(C$1:C6)+1 &amp; "-" &amp; SUM(C$1:C7)))</f>
        <v>81-100</v>
      </c>
      <c r="E7" s="19" t="str">
        <f t="shared" si="0"/>
        <v>!import-table-item --Magic-Item-Table-G --[[ 1t[Spellcaster-G] ]] --20</v>
      </c>
      <c r="F7" s="21" t="s">
        <v>1314</v>
      </c>
      <c r="G7" s="1" t="s">
        <v>1402</v>
      </c>
      <c r="H7" s="1">
        <v>6</v>
      </c>
      <c r="I7" s="10" t="str">
        <f>IF(H7=0,"-",IF(H7=1,SUM(H$1:H6)+1,SUM(H$1:H6)+1 &amp; "-" &amp; SUM(H$1:H7)))</f>
        <v>31-36</v>
      </c>
      <c r="J7" s="19" t="str">
        <f t="shared" si="1"/>
        <v>!import-table-item --Apparel-G --Shadowfell Brand Tattoo --6</v>
      </c>
      <c r="K7" s="21" t="s">
        <v>1685</v>
      </c>
      <c r="L7" s="1" t="s">
        <v>1397</v>
      </c>
      <c r="M7" s="1">
        <v>8</v>
      </c>
      <c r="N7" s="10" t="str">
        <f>IF(M7=0,"-",IF(M7=1,SUM(M$1:M6)+1,SUM(M$1:M6)+1 &amp; "-" &amp; SUM(M$1:M7)))</f>
        <v>49-56</v>
      </c>
      <c r="O7" s="19" t="str">
        <f t="shared" si="11"/>
        <v>!import-table-item --Armor-G --Glamoured Studded Leather, +1 --8</v>
      </c>
      <c r="S7" s="10"/>
      <c r="U7" s="30" t="s">
        <v>1903</v>
      </c>
      <c r="V7" s="1" t="s">
        <v>1875</v>
      </c>
      <c r="W7" s="1">
        <v>3</v>
      </c>
      <c r="X7" s="10" t="str">
        <f>IF(W7=0,"-",IF(W7=1,SUM(W$1:W6)+1,SUM(W$1:W6)+1 &amp; "-" &amp; SUM(W$1:W7)))</f>
        <v>23-25</v>
      </c>
      <c r="Y7" s="19" t="str">
        <f t="shared" si="2"/>
        <v>!import-table-item --Arms-G --Glimmering Moon [[ 1t[Bows] ]] --3</v>
      </c>
      <c r="AC7" s="10"/>
      <c r="AE7" s="21" t="s">
        <v>206</v>
      </c>
      <c r="AF7" s="1" t="s">
        <v>1397</v>
      </c>
      <c r="AG7" s="1">
        <v>4</v>
      </c>
      <c r="AH7" s="10" t="str">
        <f>IF(AG7=0,"-",IF(AG7=1,SUM(AG$1:AG6)+1,SUM(AG$1:AG6)+1 &amp; "-" &amp; SUM(AG$1:AG7)))</f>
        <v>53-56</v>
      </c>
      <c r="AI7" s="19" t="str">
        <f t="shared" si="3"/>
        <v>!import-table-item --Jewelry-G --Periapt of Proof Against Poison --4</v>
      </c>
      <c r="AJ7" s="21" t="s">
        <v>420</v>
      </c>
      <c r="AK7" s="1" t="s">
        <v>1397</v>
      </c>
      <c r="AL7" s="1">
        <v>1</v>
      </c>
      <c r="AM7" s="10">
        <f>IF(AL7=0,"-",IF(AL7=1,SUM(AL$1:AL6)+1,SUM(AL$1:AL6)+1 &amp; "-" &amp; SUM(AL$1:AL7)))</f>
        <v>6</v>
      </c>
      <c r="AN7" s="19" t="str">
        <f t="shared" si="4"/>
        <v>!import-table-item --Damage-Type-Gem-G --Necrotic Resistance, set with jet --1</v>
      </c>
      <c r="AO7" s="21" t="s">
        <v>1728</v>
      </c>
      <c r="AP7" s="1" t="s">
        <v>1397</v>
      </c>
      <c r="AQ7" s="1">
        <v>3</v>
      </c>
      <c r="AR7" s="10" t="str">
        <f>IF(AQ7=0,"-",IF(AQ7=1,SUM(AQ$1:AQ6)+1,SUM(AQ$1:AQ6)+1 &amp; "-" &amp; SUM(AQ$1:AQ7)))</f>
        <v>16-18</v>
      </c>
      <c r="AS7" s="19" t="str">
        <f t="shared" si="5"/>
        <v>!import-table-item --Ioun-Stone-H --Ioun Stone of Strength --3</v>
      </c>
      <c r="AT7" s="21" t="s">
        <v>1270</v>
      </c>
      <c r="AU7" s="1" t="s">
        <v>1399</v>
      </c>
      <c r="AV7" s="1">
        <v>3</v>
      </c>
      <c r="AW7" s="10" t="str">
        <f>IF(AV7=0,"-",IF(AV7=1,SUM(AV$1:AV6)+1,SUM(AV$1:AV6)+1 &amp; "-" &amp; SUM(AV$1:AV7)))</f>
        <v>23-25</v>
      </c>
      <c r="AX7" s="19" t="str">
        <f t="shared" si="6"/>
        <v>!import-table-item --Misc-G --Claw of the Wyrm Rune --3</v>
      </c>
      <c r="AY7" s="21" t="s">
        <v>370</v>
      </c>
      <c r="AZ7" s="1" t="s">
        <v>1397</v>
      </c>
      <c r="BA7" s="1">
        <v>2</v>
      </c>
      <c r="BB7" s="10" t="str">
        <f>IF(BA7=0,"-",IF(BA7=1,SUM(BA$1:BA6)+1,SUM(BA$1:BA6)+1 &amp; "-" &amp; SUM(BA$1:BA7)))</f>
        <v>6-7</v>
      </c>
      <c r="BC7" s="19" t="str">
        <f t="shared" si="7"/>
        <v>!import-table-item --Figurine-of-Wondrous-Power-G --Onyx Dog --2</v>
      </c>
      <c r="BG7" s="10"/>
      <c r="BI7" s="21" t="s">
        <v>374</v>
      </c>
      <c r="BJ7" s="1" t="s">
        <v>1397</v>
      </c>
      <c r="BK7" s="1">
        <v>4</v>
      </c>
      <c r="BL7" s="10" t="str">
        <f>IF(BK7=0,"-",IF(BK7=1,SUM(BK$1:BK6)+1,SUM(BK$1:BK6)+1 &amp; "-" &amp; SUM(BK$1:BK7)))</f>
        <v>57-60</v>
      </c>
      <c r="BM7" s="19" t="str">
        <f t="shared" si="8"/>
        <v>!import-table-item --Spellcaster-G --Staff of Healing --4</v>
      </c>
      <c r="BN7" s="21" t="s">
        <v>1381</v>
      </c>
      <c r="BO7" s="1" t="s">
        <v>1402</v>
      </c>
      <c r="BP7" s="1">
        <v>1</v>
      </c>
      <c r="BQ7" s="10">
        <f>IF(BP7=0,"-",IF(BP7=1,SUM(BP$1:BP6)+1,SUM(BP$1:BP6)+1 &amp; "-" &amp; SUM(BP$1:BP7)))</f>
        <v>6</v>
      </c>
      <c r="BR7" s="19" t="str">
        <f t="shared" si="9"/>
        <v>!import-table-item --Sorcerer-G --Air Essence Shard --1</v>
      </c>
      <c r="BS7" s="21" t="s">
        <v>1284</v>
      </c>
      <c r="BT7" s="1" t="s">
        <v>1402</v>
      </c>
      <c r="BU7" s="1">
        <v>1</v>
      </c>
      <c r="BV7" s="10">
        <f>IF(BU7=0,"-",IF(BU7=1,SUM(BU$1:BU6)+1,SUM(BU$1:BU6)+1 &amp; "-" &amp; SUM(BU$1:BU7)))</f>
        <v>6</v>
      </c>
      <c r="BW7" s="19" t="str">
        <f t="shared" si="10"/>
        <v>!import-table-item --Wizard-G --Fulminating Treatise --1</v>
      </c>
      <c r="CA7" s="10"/>
    </row>
    <row r="8" spans="1:80" x14ac:dyDescent="0.25">
      <c r="D8" s="10"/>
      <c r="F8" s="21" t="s">
        <v>162</v>
      </c>
      <c r="G8" s="1" t="s">
        <v>1397</v>
      </c>
      <c r="H8" s="1">
        <v>5</v>
      </c>
      <c r="I8" s="10" t="str">
        <f>IF(H8=0,"-",IF(H8=1,SUM(H$1:H7)+1,SUM(H$1:H7)+1 &amp; "-" &amp; SUM(H$1:H8)))</f>
        <v>37-41</v>
      </c>
      <c r="J8" s="19" t="str">
        <f t="shared" si="1"/>
        <v>!import-table-item --Apparel-G --Belt of Dwarvenkind --5</v>
      </c>
      <c r="K8" s="30" t="s">
        <v>1904</v>
      </c>
      <c r="L8" s="1" t="s">
        <v>1875</v>
      </c>
      <c r="M8" s="1">
        <v>8</v>
      </c>
      <c r="N8" s="10" t="str">
        <f>IF(M8=0,"-",IF(M8=1,SUM(M$1:M7)+1,SUM(M$1:M7)+1 &amp; "-" &amp; SUM(M$1:M8)))</f>
        <v>57-64</v>
      </c>
      <c r="O8" s="19" t="str">
        <f t="shared" si="11"/>
        <v>!import-table-item --Armor-G --Gloomwrought Armor [[ 1t[Armor] ]] --8</v>
      </c>
      <c r="S8" s="10"/>
      <c r="U8" s="21" t="s">
        <v>1294</v>
      </c>
      <c r="V8" s="1" t="s">
        <v>1401</v>
      </c>
      <c r="W8" s="1">
        <v>3</v>
      </c>
      <c r="X8" s="10" t="str">
        <f>IF(W8=0,"-",IF(W8=1,SUM(W$1:W7)+1,SUM(W$1:W7)+1 &amp; "-" &amp; SUM(W$1:W8)))</f>
        <v>26-28</v>
      </c>
      <c r="Y8" s="19" t="str">
        <f t="shared" si="2"/>
        <v>!import-table-item --Arms-G --Lash of Immolation --3</v>
      </c>
      <c r="AC8" s="10"/>
      <c r="AE8" s="21" t="s">
        <v>207</v>
      </c>
      <c r="AF8" s="1" t="s">
        <v>1397</v>
      </c>
      <c r="AG8" s="1">
        <v>4</v>
      </c>
      <c r="AH8" s="10" t="str">
        <f>IF(AG8=0,"-",IF(AG8=1,SUM(AG$1:AG7)+1,SUM(AG$1:AG7)+1 &amp; "-" &amp; SUM(AG$1:AG8)))</f>
        <v>57-60</v>
      </c>
      <c r="AI8" s="19" t="str">
        <f t="shared" si="3"/>
        <v>!import-table-item --Jewelry-G --Ring of Animal Influence --4</v>
      </c>
      <c r="AJ8" s="21" t="s">
        <v>421</v>
      </c>
      <c r="AK8" s="1" t="s">
        <v>1397</v>
      </c>
      <c r="AL8" s="1">
        <v>1</v>
      </c>
      <c r="AM8" s="10">
        <f>IF(AL8=0,"-",IF(AL8=1,SUM(AL$1:AL7)+1,SUM(AL$1:AL7)+1 &amp; "-" &amp; SUM(AL$1:AL8)))</f>
        <v>7</v>
      </c>
      <c r="AN8" s="19" t="str">
        <f t="shared" si="4"/>
        <v>!import-table-item --Damage-Type-Gem-G --Poison Resistance, set with amethyst --1</v>
      </c>
      <c r="AO8" s="21" t="s">
        <v>1730</v>
      </c>
      <c r="AP8" s="1" t="s">
        <v>1397</v>
      </c>
      <c r="AQ8" s="1">
        <v>2</v>
      </c>
      <c r="AR8" s="10" t="str">
        <f>IF(AQ8=0,"-",IF(AQ8=1,SUM(AQ$1:AQ7)+1,SUM(AQ$1:AQ7)+1 &amp; "-" &amp; SUM(AQ$1:AQ8)))</f>
        <v>19-20</v>
      </c>
      <c r="AS8" s="19" t="str">
        <f t="shared" si="5"/>
        <v>!import-table-item --Ioun-Stone-H --Ioun Stone of Absorption --2</v>
      </c>
      <c r="AT8" s="21" t="s">
        <v>1900</v>
      </c>
      <c r="AU8" s="1" t="s">
        <v>1875</v>
      </c>
      <c r="AV8" s="1">
        <v>3</v>
      </c>
      <c r="AW8" s="10" t="str">
        <f>IF(AV8=0,"-",IF(AV8=1,SUM(AV$1:AV7)+1,SUM(AV$1:AV7)+1 &amp; "-" &amp; SUM(AV$1:AV8)))</f>
        <v>26-28</v>
      </c>
      <c r="AX8" s="19" t="str">
        <f t="shared" si="6"/>
        <v>!import-table-item --Misc-G --Deck of Oracles --3</v>
      </c>
      <c r="AY8" s="21" t="s">
        <v>371</v>
      </c>
      <c r="AZ8" s="1" t="s">
        <v>1397</v>
      </c>
      <c r="BA8" s="1">
        <v>1</v>
      </c>
      <c r="BB8" s="10">
        <f>IF(BA8=0,"-",IF(BA8=1,SUM(BA$1:BA7)+1,SUM(BA$1:BA7)+1 &amp; "-" &amp; SUM(BA$1:BA8)))</f>
        <v>8</v>
      </c>
      <c r="BC8" s="19" t="str">
        <f t="shared" si="7"/>
        <v>!import-table-item --Figurine-of-Wondrous-Power-G --Serpentine Owl --1</v>
      </c>
      <c r="BG8" s="10"/>
      <c r="BI8" s="21" t="s">
        <v>224</v>
      </c>
      <c r="BJ8" s="1" t="s">
        <v>1397</v>
      </c>
      <c r="BK8" s="1">
        <v>4</v>
      </c>
      <c r="BL8" s="10" t="str">
        <f>IF(BK8=0,"-",IF(BK8=1,SUM(BK$1:BK7)+1,SUM(BK$1:BK7)+1 &amp; "-" &amp; SUM(BK$1:BK8)))</f>
        <v>61-64</v>
      </c>
      <c r="BM8" s="19" t="str">
        <f t="shared" si="8"/>
        <v>!import-table-item --Spellcaster-G --Staff of Swarming Insects --4</v>
      </c>
      <c r="BN8" s="21" t="s">
        <v>1382</v>
      </c>
      <c r="BO8" s="1" t="s">
        <v>1402</v>
      </c>
      <c r="BP8" s="1">
        <v>1</v>
      </c>
      <c r="BQ8" s="10">
        <f>IF(BP8=0,"-",IF(BP8=1,SUM(BP$1:BP7)+1,SUM(BP$1:BP7)+1 &amp; "-" &amp; SUM(BP$1:BP8)))</f>
        <v>7</v>
      </c>
      <c r="BR8" s="19" t="str">
        <f t="shared" si="9"/>
        <v>!import-table-item --Sorcerer-G --Earth Essence Shard --1</v>
      </c>
      <c r="BS8" s="21" t="s">
        <v>1289</v>
      </c>
      <c r="BT8" s="1" t="s">
        <v>1402</v>
      </c>
      <c r="BU8" s="1">
        <v>1</v>
      </c>
      <c r="BV8" s="10">
        <f>IF(BU8=0,"-",IF(BU8=1,SUM(BU$1:BU7)+1,SUM(BU$1:BU7)+1 &amp; "-" &amp; SUM(BU$1:BU8)))</f>
        <v>7</v>
      </c>
      <c r="BW8" s="19" t="str">
        <f t="shared" si="10"/>
        <v>!import-table-item --Wizard-G --Heart Weaver's Primer --1</v>
      </c>
      <c r="CA8" s="10"/>
    </row>
    <row r="9" spans="1:80" x14ac:dyDescent="0.25">
      <c r="D9" s="10"/>
      <c r="F9" s="21" t="s">
        <v>163</v>
      </c>
      <c r="G9" s="1" t="s">
        <v>1397</v>
      </c>
      <c r="H9" s="1">
        <v>5</v>
      </c>
      <c r="I9" s="10" t="str">
        <f>IF(H9=0,"-",IF(H9=1,SUM(H$1:H8)+1,SUM(H$1:H8)+1 &amp; "-" &amp; SUM(H$1:H9)))</f>
        <v>42-46</v>
      </c>
      <c r="J9" s="19" t="str">
        <f t="shared" si="1"/>
        <v>!import-table-item --Apparel-G --Belt of Hill Giant Strength --5</v>
      </c>
      <c r="K9" s="30" t="s">
        <v>1376</v>
      </c>
      <c r="L9" s="1" t="s">
        <v>1400</v>
      </c>
      <c r="M9" s="1">
        <v>8</v>
      </c>
      <c r="N9" s="10" t="str">
        <f>IF(M9=0,"-",IF(M9=1,SUM(M$1:M8)+1,SUM(M$1:M8)+1 &amp; "-" &amp; SUM(M$1:M9)))</f>
        <v>65-72</v>
      </c>
      <c r="O9" s="19" t="str">
        <f t="shared" si="11"/>
        <v>!import-table-item --Armor-G --Molten Bronze Skin [[ 1t[Molten-Armor-G] ]] --8</v>
      </c>
      <c r="S9" s="10"/>
      <c r="U9" s="30" t="s">
        <v>1353</v>
      </c>
      <c r="V9" s="1" t="s">
        <v>1679</v>
      </c>
      <c r="W9" s="1">
        <v>3</v>
      </c>
      <c r="X9" s="10" t="str">
        <f>IF(W9=0,"-",IF(W9=1,SUM(W$1:W8)+1,SUM(W$1:W8)+1 &amp; "-" &amp; SUM(W$1:W9)))</f>
        <v>29-31</v>
      </c>
      <c r="Y9" s="19" t="str">
        <f t="shared" si="2"/>
        <v>!import-table-item --Arms-G --Oceanic [[ 1t[Ranged] ]] --3</v>
      </c>
      <c r="AC9" s="10"/>
      <c r="AE9" s="21" t="s">
        <v>208</v>
      </c>
      <c r="AF9" s="1" t="s">
        <v>1397</v>
      </c>
      <c r="AG9" s="1">
        <v>4</v>
      </c>
      <c r="AH9" s="10" t="str">
        <f>IF(AG9=0,"-",IF(AG9=1,SUM(AG$1:AG8)+1,SUM(AG$1:AG8)+1 &amp; "-" &amp; SUM(AG$1:AG9)))</f>
        <v>61-64</v>
      </c>
      <c r="AI9" s="19" t="str">
        <f t="shared" si="3"/>
        <v>!import-table-item --Jewelry-G --Ring of Evasion --4</v>
      </c>
      <c r="AJ9" s="21" t="s">
        <v>417</v>
      </c>
      <c r="AK9" s="1" t="s">
        <v>1397</v>
      </c>
      <c r="AL9" s="1">
        <v>1</v>
      </c>
      <c r="AM9" s="10">
        <f>IF(AL9=0,"-",IF(AL9=1,SUM(AL$1:AL8)+1,SUM(AL$1:AL8)+1 &amp; "-" &amp; SUM(AL$1:AL9)))</f>
        <v>8</v>
      </c>
      <c r="AN9" s="19" t="str">
        <f t="shared" si="4"/>
        <v>!import-table-item --Damage-Type-Gem-G --Psychic Resistace, set with jade --1</v>
      </c>
      <c r="AT9" s="21" t="s">
        <v>1279</v>
      </c>
      <c r="AU9" s="1" t="s">
        <v>1679</v>
      </c>
      <c r="AV9" s="1">
        <v>3</v>
      </c>
      <c r="AW9" s="10" t="str">
        <f>IF(AV9=0,"-",IF(AV9=1,SUM(AV$1:AV8)+1,SUM(AV$1:AV8)+1 &amp; "-" &amp; SUM(AV$1:AV9)))</f>
        <v>29-31</v>
      </c>
      <c r="AX9" s="19" t="str">
        <f t="shared" si="6"/>
        <v>!import-table-item --Misc-G --Earthboard --3</v>
      </c>
      <c r="BB9" s="10"/>
      <c r="BG9" s="10"/>
      <c r="BI9" s="21" t="s">
        <v>1320</v>
      </c>
      <c r="BJ9" s="1" t="s">
        <v>1409</v>
      </c>
      <c r="BK9" s="1">
        <v>4</v>
      </c>
      <c r="BL9" s="10" t="str">
        <f>IF(BK9=0,"-",IF(BK9=1,SUM(BK$1:BK8)+1,SUM(BK$1:BK8)+1 &amp; "-" &amp; SUM(BK$1:BK9)))</f>
        <v>65-68</v>
      </c>
      <c r="BM9" s="19" t="str">
        <f t="shared" si="8"/>
        <v>!import-table-item --Spellcaster-G --Staff of the Ivory Claw --4</v>
      </c>
      <c r="BN9" s="21" t="s">
        <v>1383</v>
      </c>
      <c r="BO9" s="1" t="s">
        <v>1402</v>
      </c>
      <c r="BP9" s="1">
        <v>1</v>
      </c>
      <c r="BQ9" s="10">
        <f>IF(BP9=0,"-",IF(BP9=1,SUM(BP$1:BP8)+1,SUM(BP$1:BP8)+1 &amp; "-" &amp; SUM(BP$1:BP9)))</f>
        <v>8</v>
      </c>
      <c r="BR9" s="19" t="str">
        <f t="shared" si="9"/>
        <v>!import-table-item --Sorcerer-G --Fire Essence Shard --1</v>
      </c>
      <c r="BS9" s="21" t="s">
        <v>1295</v>
      </c>
      <c r="BT9" s="1" t="s">
        <v>1402</v>
      </c>
      <c r="BU9" s="1">
        <v>1</v>
      </c>
      <c r="BV9" s="10">
        <f>IF(BU9=0,"-",IF(BU9=1,SUM(BU$1:BU8)+1,SUM(BU$1:BU8)+1 &amp; "-" &amp; SUM(BU$1:BU9)))</f>
        <v>8</v>
      </c>
      <c r="BW9" s="19" t="str">
        <f t="shared" si="10"/>
        <v>!import-table-item --Wizard-G --Libram of Souls and Flesh --1</v>
      </c>
      <c r="CA9" s="10"/>
    </row>
    <row r="10" spans="1:80" x14ac:dyDescent="0.25">
      <c r="D10" s="10"/>
      <c r="F10" s="21" t="s">
        <v>165</v>
      </c>
      <c r="G10" s="1" t="s">
        <v>1397</v>
      </c>
      <c r="H10" s="1">
        <v>3</v>
      </c>
      <c r="I10" s="10" t="str">
        <f>IF(H10=0,"-",IF(H10=1,SUM(H$1:H9)+1,SUM(H$1:H9)+1 &amp; "-" &amp; SUM(H$1:H10)))</f>
        <v>47-49</v>
      </c>
      <c r="J10" s="19" t="str">
        <f t="shared" si="1"/>
        <v>!import-table-item --Apparel-G --Boots of Levitation --3</v>
      </c>
      <c r="K10" s="30" t="s">
        <v>1363</v>
      </c>
      <c r="L10" s="1" t="s">
        <v>1401</v>
      </c>
      <c r="M10" s="1">
        <v>8</v>
      </c>
      <c r="N10" s="10" t="str">
        <f>IF(M10=0,"-",IF(M10=1,SUM(M$1:M9)+1,SUM(M$1:M9)+1 &amp; "-" &amp; SUM(M$1:M10)))</f>
        <v>73-80</v>
      </c>
      <c r="O10" s="19" t="str">
        <f t="shared" si="11"/>
        <v>!import-table-item --Armor-G --Zephyr [[ 1t[Light-Armor] ]] --8</v>
      </c>
      <c r="S10" s="10"/>
      <c r="U10" s="21" t="s">
        <v>1321</v>
      </c>
      <c r="V10" s="1" t="s">
        <v>1401</v>
      </c>
      <c r="W10" s="1">
        <v>3</v>
      </c>
      <c r="X10" s="10" t="str">
        <f>IF(W10=0,"-",IF(W10=1,SUM(W$1:W9)+1,SUM(W$1:W9)+1 &amp; "-" &amp; SUM(W$1:W10)))</f>
        <v>32-34</v>
      </c>
      <c r="Y10" s="19" t="str">
        <f t="shared" si="2"/>
        <v>!import-table-item --Arms-G --Staff of the Rooted Hills --3</v>
      </c>
      <c r="AC10" s="10"/>
      <c r="AE10" s="21" t="s">
        <v>373</v>
      </c>
      <c r="AF10" s="1" t="s">
        <v>1397</v>
      </c>
      <c r="AG10" s="1">
        <v>4</v>
      </c>
      <c r="AH10" s="10" t="str">
        <f>IF(AG10=0,"-",IF(AG10=1,SUM(AG$1:AG9)+1,SUM(AG$1:AG9)+1 &amp; "-" &amp; SUM(AG$1:AG10)))</f>
        <v>65-68</v>
      </c>
      <c r="AI10" s="19" t="str">
        <f t="shared" si="3"/>
        <v>!import-table-item --Jewelry-G --Ring of Feather Falling --4</v>
      </c>
      <c r="AJ10" s="21" t="s">
        <v>418</v>
      </c>
      <c r="AK10" s="1" t="s">
        <v>1397</v>
      </c>
      <c r="AL10" s="1">
        <v>1</v>
      </c>
      <c r="AM10" s="10">
        <f>IF(AL10=0,"-",IF(AL10=1,SUM(AL$1:AL9)+1,SUM(AL$1:AL9)+1 &amp; "-" &amp; SUM(AL$1:AL10)))</f>
        <v>9</v>
      </c>
      <c r="AN10" s="19" t="str">
        <f t="shared" si="4"/>
        <v>!import-table-item --Damage-Type-Gem-G --Radiant Resistance, set with topaz --1</v>
      </c>
      <c r="AT10" s="21" t="s">
        <v>1282</v>
      </c>
      <c r="AU10" s="1" t="s">
        <v>1679</v>
      </c>
      <c r="AV10" s="1">
        <v>3</v>
      </c>
      <c r="AW10" s="10" t="str">
        <f>IF(AV10=0,"-",IF(AV10=1,SUM(AV$1:AV9)+1,SUM(AV$1:AV9)+1 &amp; "-" &amp; SUM(AV$1:AV10)))</f>
        <v>32-34</v>
      </c>
      <c r="AX10" s="19" t="str">
        <f t="shared" si="6"/>
        <v>!import-table-item --Misc-G --Flamefriend Lantern --3</v>
      </c>
      <c r="BB10" s="10"/>
      <c r="BG10" s="10"/>
      <c r="BI10" s="21" t="s">
        <v>225</v>
      </c>
      <c r="BJ10" s="1" t="s">
        <v>1397</v>
      </c>
      <c r="BK10" s="1">
        <v>4</v>
      </c>
      <c r="BL10" s="10" t="str">
        <f>IF(BK10=0,"-",IF(BK10=1,SUM(BK$1:BK9)+1,SUM(BK$1:BK9)+1 &amp; "-" &amp; SUM(BK$1:BK10)))</f>
        <v>69-72</v>
      </c>
      <c r="BM10" s="19" t="str">
        <f t="shared" si="8"/>
        <v>!import-table-item --Spellcaster-G --Staff of the Woodlands --4</v>
      </c>
      <c r="BN10" s="21" t="s">
        <v>1384</v>
      </c>
      <c r="BO10" s="1" t="s">
        <v>1402</v>
      </c>
      <c r="BP10" s="1">
        <v>1</v>
      </c>
      <c r="BQ10" s="10">
        <f>IF(BP10=0,"-",IF(BP10=1,SUM(BP$1:BP9)+1,SUM(BP$1:BP9)+1 &amp; "-" &amp; SUM(BP$1:BP10)))</f>
        <v>9</v>
      </c>
      <c r="BR10" s="19" t="str">
        <f t="shared" si="9"/>
        <v>!import-table-item --Sorcerer-G --Water Essence Shard --1</v>
      </c>
      <c r="BS10" s="21" t="s">
        <v>1304</v>
      </c>
      <c r="BT10" s="1" t="s">
        <v>1402</v>
      </c>
      <c r="BU10" s="1">
        <v>1</v>
      </c>
      <c r="BV10" s="10">
        <f>IF(BU10=0,"-",IF(BU10=1,SUM(BU$1:BU9)+1,SUM(BU$1:BU9)+1 &amp; "-" &amp; SUM(BU$1:BU10)))</f>
        <v>9</v>
      </c>
      <c r="BW10" s="19" t="str">
        <f t="shared" si="10"/>
        <v>!import-table-item --Wizard-G --Planecaller's Codex --1</v>
      </c>
      <c r="CA10" s="10"/>
    </row>
    <row r="11" spans="1:80" x14ac:dyDescent="0.25">
      <c r="D11" s="10"/>
      <c r="F11" s="21" t="s">
        <v>166</v>
      </c>
      <c r="G11" s="1" t="s">
        <v>1397</v>
      </c>
      <c r="H11" s="1">
        <v>3</v>
      </c>
      <c r="I11" s="10" t="str">
        <f>IF(H11=0,"-",IF(H11=1,SUM(H$1:H10)+1,SUM(H$1:H10)+1 &amp; "-" &amp; SUM(H$1:H11)))</f>
        <v>50-52</v>
      </c>
      <c r="J11" s="19" t="str">
        <f t="shared" si="1"/>
        <v>!import-table-item --Apparel-G --Boots of Speed --3</v>
      </c>
      <c r="K11" s="21" t="s">
        <v>161</v>
      </c>
      <c r="L11" s="1" t="s">
        <v>1397</v>
      </c>
      <c r="M11" s="1">
        <v>4</v>
      </c>
      <c r="N11" s="10" t="str">
        <f>IF(M11=0,"-",IF(M11=1,SUM(M$1:M10)+1,SUM(M$1:M10)+1 &amp; "-" &amp; SUM(M$1:M11)))</f>
        <v>81-84</v>
      </c>
      <c r="O11" s="19" t="str">
        <f t="shared" si="11"/>
        <v>!import-table-item --Armor-G --Arrow-Catching Shield --4</v>
      </c>
      <c r="S11" s="10"/>
      <c r="U11" s="30" t="s">
        <v>1910</v>
      </c>
      <c r="V11" s="1" t="s">
        <v>1875</v>
      </c>
      <c r="W11" s="1">
        <v>3</v>
      </c>
      <c r="X11" s="10" t="str">
        <f>IF(W11=0,"-",IF(W11=1,SUM(W$1:W10)+1,SUM(W$1:W10)+1 &amp; "-" &amp; SUM(W$1:W11)))</f>
        <v>35-37</v>
      </c>
      <c r="Y11" s="19" t="str">
        <f t="shared" si="2"/>
        <v>!import-table-item --Arms-G --Starshot [[ 1t[Bows] ]] --3</v>
      </c>
      <c r="AC11" s="10"/>
      <c r="AE11" s="21" t="s">
        <v>209</v>
      </c>
      <c r="AF11" s="1" t="s">
        <v>1397</v>
      </c>
      <c r="AG11" s="1">
        <v>4</v>
      </c>
      <c r="AH11" s="10" t="str">
        <f>IF(AG11=0,"-",IF(AG11=1,SUM(AG$1:AG10)+1,SUM(AG$1:AG10)+1 &amp; "-" &amp; SUM(AG$1:AG11)))</f>
        <v>69-72</v>
      </c>
      <c r="AI11" s="19" t="str">
        <f t="shared" si="3"/>
        <v>!import-table-item --Jewelry-G --Ring of Free Action --4</v>
      </c>
      <c r="AJ11" s="21" t="s">
        <v>419</v>
      </c>
      <c r="AK11" s="1" t="s">
        <v>1397</v>
      </c>
      <c r="AL11" s="1">
        <v>1</v>
      </c>
      <c r="AM11" s="10">
        <f>IF(AL11=0,"-",IF(AL11=1,SUM(AL$1:AL10)+1,SUM(AL$1:AL10)+1 &amp; "-" &amp; SUM(AL$1:AL11)))</f>
        <v>10</v>
      </c>
      <c r="AN11" s="19" t="str">
        <f t="shared" si="4"/>
        <v>!import-table-item --Damage-Type-Gem-G --Thunder Resistance, set with spinel --1</v>
      </c>
      <c r="AT11" s="21" t="s">
        <v>1257</v>
      </c>
      <c r="AU11" s="1" t="s">
        <v>1400</v>
      </c>
      <c r="AV11" s="1">
        <v>3</v>
      </c>
      <c r="AW11" s="10" t="str">
        <f>IF(AV11=0,"-",IF(AV11=1,SUM(AV$1:AV10)+1,SUM(AV$1:AV10)+1 &amp; "-" &amp; SUM(AV$1:AV11)))</f>
        <v>35-37</v>
      </c>
      <c r="AX11" s="19" t="str">
        <f t="shared" si="6"/>
        <v>!import-table-item --Misc-G --Flying Chariot --3</v>
      </c>
      <c r="BB11" s="10"/>
      <c r="BG11" s="10"/>
      <c r="BI11" s="21" t="s">
        <v>226</v>
      </c>
      <c r="BJ11" s="1" t="s">
        <v>1397</v>
      </c>
      <c r="BK11" s="1">
        <v>4</v>
      </c>
      <c r="BL11" s="10" t="str">
        <f>IF(BK11=0,"-",IF(BK11=1,SUM(BK$1:BK10)+1,SUM(BK$1:BK10)+1 &amp; "-" &amp; SUM(BK$1:BK11)))</f>
        <v>73-76</v>
      </c>
      <c r="BM11" s="19" t="str">
        <f t="shared" si="8"/>
        <v>!import-table-item --Spellcaster-G --Staff of Withering --4</v>
      </c>
      <c r="BN11" s="21" t="s">
        <v>1260</v>
      </c>
      <c r="BO11" s="1" t="s">
        <v>1402</v>
      </c>
      <c r="BP11" s="1">
        <v>1</v>
      </c>
      <c r="BQ11" s="10">
        <f>IF(BP11=0,"-",IF(BP11=1,SUM(BP$1:BP10)+1,SUM(BP$1:BP10)+1 &amp; "-" &amp; SUM(BP$1:BP11)))</f>
        <v>10</v>
      </c>
      <c r="BR11" s="19" t="str">
        <f t="shared" si="9"/>
        <v>!import-table-item --Sorcerer-G --Astral Shard --1</v>
      </c>
      <c r="BS11" s="21" t="s">
        <v>1308</v>
      </c>
      <c r="BT11" s="1" t="s">
        <v>1402</v>
      </c>
      <c r="BU11" s="1">
        <v>1</v>
      </c>
      <c r="BV11" s="10">
        <f>IF(BU11=0,"-",IF(BU11=1,SUM(BU$1:BU10)+1,SUM(BU$1:BU10)+1 &amp; "-" &amp; SUM(BU$1:BU11)))</f>
        <v>10</v>
      </c>
      <c r="BW11" s="19" t="str">
        <f t="shared" si="10"/>
        <v>!import-table-item --Wizard-G --Protective Verses --1</v>
      </c>
      <c r="CA11" s="10"/>
    </row>
    <row r="12" spans="1:80" x14ac:dyDescent="0.25">
      <c r="D12" s="10"/>
      <c r="F12" s="21" t="s">
        <v>1267</v>
      </c>
      <c r="G12" s="1" t="s">
        <v>1476</v>
      </c>
      <c r="H12" s="1">
        <v>3</v>
      </c>
      <c r="I12" s="10" t="str">
        <f>IF(H12=0,"-",IF(H12=1,SUM(H$1:H11)+1,SUM(H$1:H11)+1 &amp; "-" &amp; SUM(H$1:H12)))</f>
        <v>53-55</v>
      </c>
      <c r="J12" s="19" t="str">
        <f t="shared" si="1"/>
        <v>!import-table-item --Apparel-G --Bracers of Celerity --3</v>
      </c>
      <c r="K12" s="21" t="s">
        <v>1264</v>
      </c>
      <c r="L12" s="1" t="s">
        <v>1409</v>
      </c>
      <c r="M12" s="1">
        <v>4</v>
      </c>
      <c r="N12" s="10" t="str">
        <f>IF(M12=0,"-",IF(M12=1,SUM(M$1:M11)+1,SUM(M$1:M11)+1 &amp; "-" &amp; SUM(M$1:M12)))</f>
        <v>85-88</v>
      </c>
      <c r="O12" s="19" t="str">
        <f t="shared" si="11"/>
        <v>!import-table-item --Armor-G --Battering Shield --4</v>
      </c>
      <c r="S12" s="10"/>
      <c r="U12" s="21" t="s">
        <v>1328</v>
      </c>
      <c r="V12" s="1" t="s">
        <v>1400</v>
      </c>
      <c r="W12" s="1">
        <v>3</v>
      </c>
      <c r="X12" s="10" t="str">
        <f>IF(W12=0,"-",IF(W12=1,SUM(W$1:W11)+1,SUM(W$1:W11)+1 &amp; "-" &amp; SUM(W$1:W12)))</f>
        <v>38-40</v>
      </c>
      <c r="Y12" s="19" t="str">
        <f t="shared" si="2"/>
        <v>!import-table-item --Arms-G --Two-Birds Sling --3</v>
      </c>
      <c r="AC12" s="10"/>
      <c r="AE12" s="21" t="s">
        <v>1516</v>
      </c>
      <c r="AF12" s="1" t="s">
        <v>1679</v>
      </c>
      <c r="AG12" s="1">
        <v>4</v>
      </c>
      <c r="AH12" s="10" t="str">
        <f>IF(AG12=0,"-",IF(AG12=1,SUM(AG$1:AG11)+1,SUM(AG$1:AG11)+1 &amp; "-" &amp; SUM(AG$1:AG12)))</f>
        <v>73-76</v>
      </c>
      <c r="AI12" s="19" t="str">
        <f t="shared" si="3"/>
        <v>!import-table-item --Jewelry-G --Ring of Protection, +2 --4</v>
      </c>
      <c r="AM12" s="10"/>
      <c r="AT12" s="21" t="s">
        <v>1286</v>
      </c>
      <c r="AU12" s="1" t="s">
        <v>1399</v>
      </c>
      <c r="AV12" s="1">
        <v>3</v>
      </c>
      <c r="AW12" s="10" t="str">
        <f>IF(AV12=0,"-",IF(AV12=1,SUM(AV$1:AV11)+1,SUM(AV$1:AV11)+1 &amp; "-" &amp; SUM(AV$1:AV12)))</f>
        <v>38-40</v>
      </c>
      <c r="AX12" s="19" t="str">
        <f t="shared" si="6"/>
        <v>!import-table-item --Misc-G --Gavel of the Venn Rune --3</v>
      </c>
      <c r="BB12" s="10"/>
      <c r="BG12" s="10"/>
      <c r="BI12" s="21" t="s">
        <v>217</v>
      </c>
      <c r="BJ12" s="1" t="s">
        <v>1397</v>
      </c>
      <c r="BK12" s="1">
        <v>3</v>
      </c>
      <c r="BL12" s="10" t="str">
        <f>IF(BK12=0,"-",IF(BK12=1,SUM(BK$1:BK11)+1,SUM(BK$1:BK11)+1 &amp; "-" &amp; SUM(BK$1:BK12)))</f>
        <v>77-79</v>
      </c>
      <c r="BM12" s="19" t="str">
        <f t="shared" si="8"/>
        <v>!import-table-item --Spellcaster-G --Rod of the Pact Keeper, +2 --3</v>
      </c>
      <c r="BN12" s="21" t="s">
        <v>1280</v>
      </c>
      <c r="BO12" s="1" t="s">
        <v>1402</v>
      </c>
      <c r="BP12" s="1">
        <v>1</v>
      </c>
      <c r="BQ12" s="10">
        <f>IF(BP12=0,"-",IF(BP12=1,SUM(BP$1:BP11)+1,SUM(BP$1:BP11)+1 &amp; "-" &amp; SUM(BP$1:BP12)))</f>
        <v>11</v>
      </c>
      <c r="BR12" s="19" t="str">
        <f t="shared" si="9"/>
        <v>!import-table-item --Sorcerer-G --Far Realm Shard --1</v>
      </c>
      <c r="BV12" s="10"/>
      <c r="CA12" s="10"/>
    </row>
    <row r="13" spans="1:80" x14ac:dyDescent="0.25">
      <c r="D13" s="10"/>
      <c r="F13" s="21" t="s">
        <v>1268</v>
      </c>
      <c r="G13" s="1" t="s">
        <v>1409</v>
      </c>
      <c r="H13" s="1">
        <v>3</v>
      </c>
      <c r="I13" s="10" t="str">
        <f>IF(H13=0,"-",IF(H13=1,SUM(H$1:H12)+1,SUM(H$1:H12)+1 &amp; "-" &amp; SUM(H$1:H13)))</f>
        <v>56-58</v>
      </c>
      <c r="J13" s="19" t="str">
        <f t="shared" si="1"/>
        <v>!import-table-item --Apparel-G --Butcher's Bib --3</v>
      </c>
      <c r="K13" s="21" t="s">
        <v>1303</v>
      </c>
      <c r="L13" s="1" t="s">
        <v>1424</v>
      </c>
      <c r="M13" s="1">
        <v>4</v>
      </c>
      <c r="N13" s="10" t="str">
        <f>IF(M13=0,"-",IF(M13=1,SUM(M$1:M12)+1,SUM(M$1:M12)+1 &amp; "-" &amp; SUM(M$1:M13)))</f>
        <v>89-92</v>
      </c>
      <c r="O13" s="19" t="str">
        <f t="shared" si="11"/>
        <v>!import-table-item --Armor-G --Pariah's Shield --4</v>
      </c>
      <c r="S13" s="10"/>
      <c r="U13" s="30" t="s">
        <v>1899</v>
      </c>
      <c r="V13" s="1" t="s">
        <v>1875</v>
      </c>
      <c r="W13" s="1">
        <v>2</v>
      </c>
      <c r="X13" s="10" t="str">
        <f>IF(W13=0,"-",IF(W13=1,SUM(W$1:W12)+1,SUM(W$1:W12)+1 &amp; "-" &amp; SUM(W$1:W13)))</f>
        <v>41-42</v>
      </c>
      <c r="Y13" s="19" t="str">
        <f t="shared" si="2"/>
        <v>!import-table-item --Arms-G --[[ 1t[Bows] ]] of Conflagration --2</v>
      </c>
      <c r="AC13" s="10"/>
      <c r="AE13" s="21" t="s">
        <v>212</v>
      </c>
      <c r="AF13" s="1" t="s">
        <v>1397</v>
      </c>
      <c r="AG13" s="1">
        <v>4</v>
      </c>
      <c r="AH13" s="10" t="str">
        <f>IF(AG13=0,"-",IF(AG13=1,SUM(AG$1:AG12)+1,SUM(AG$1:AG12)+1 &amp; "-" &amp; SUM(AG$1:AG13)))</f>
        <v>77-80</v>
      </c>
      <c r="AI13" s="19" t="str">
        <f t="shared" si="3"/>
        <v>!import-table-item --Jewelry-G --Ring of Spell Storing --4</v>
      </c>
      <c r="AM13" s="10"/>
      <c r="AT13" s="21" t="s">
        <v>1301</v>
      </c>
      <c r="AU13" s="1" t="s">
        <v>1399</v>
      </c>
      <c r="AV13" s="1">
        <v>3</v>
      </c>
      <c r="AW13" s="10" t="str">
        <f>IF(AV13=0,"-",IF(AV13=1,SUM(AV$1:AV12)+1,SUM(AV$1:AV12)+1 &amp; "-" &amp; SUM(AV$1:AV13)))</f>
        <v>41-43</v>
      </c>
      <c r="AX13" s="19" t="str">
        <f t="shared" si="6"/>
        <v>!import-table-item --Misc-G --Opal of the Ild Rune --3</v>
      </c>
      <c r="BB13" s="10"/>
      <c r="BG13" s="10"/>
      <c r="BI13" s="21" t="s">
        <v>1319</v>
      </c>
      <c r="BJ13" s="1" t="s">
        <v>1478</v>
      </c>
      <c r="BK13" s="1">
        <v>3</v>
      </c>
      <c r="BL13" s="10" t="str">
        <f>IF(BK13=0,"-",IF(BK13=1,SUM(BK$1:BK12)+1,SUM(BK$1:BK12)+1 &amp; "-" &amp; SUM(BK$1:BK13)))</f>
        <v>80-82</v>
      </c>
      <c r="BM13" s="19" t="str">
        <f t="shared" si="8"/>
        <v>!import-table-item --Spellcaster-G --Staff of Defense --3</v>
      </c>
      <c r="BN13" s="21" t="s">
        <v>1315</v>
      </c>
      <c r="BO13" s="1" t="s">
        <v>1402</v>
      </c>
      <c r="BP13" s="1">
        <v>1</v>
      </c>
      <c r="BQ13" s="10">
        <f>IF(BP13=0,"-",IF(BP13=1,SUM(BP$1:BP12)+1,SUM(BP$1:BP12)+1 &amp; "-" &amp; SUM(BP$1:BP13)))</f>
        <v>12</v>
      </c>
      <c r="BR13" s="19" t="str">
        <f t="shared" si="9"/>
        <v>!import-table-item --Sorcerer-G --Shadowfell Shard --1</v>
      </c>
      <c r="BV13" s="10"/>
      <c r="CA13" s="10"/>
    </row>
    <row r="14" spans="1:80" x14ac:dyDescent="0.25">
      <c r="D14" s="10"/>
      <c r="F14" s="21" t="s">
        <v>170</v>
      </c>
      <c r="G14" s="1" t="s">
        <v>1397</v>
      </c>
      <c r="H14" s="1">
        <v>3</v>
      </c>
      <c r="I14" s="10" t="str">
        <f>IF(H14=0,"-",IF(H14=1,SUM(H$1:H13)+1,SUM(H$1:H13)+1 &amp; "-" &amp; SUM(H$1:H14)))</f>
        <v>59-61</v>
      </c>
      <c r="J14" s="19" t="str">
        <f t="shared" si="1"/>
        <v>!import-table-item --Apparel-G --Cape of the Mountebank --3</v>
      </c>
      <c r="K14" s="21" t="s">
        <v>222</v>
      </c>
      <c r="L14" s="1" t="s">
        <v>1397</v>
      </c>
      <c r="M14" s="1">
        <v>4</v>
      </c>
      <c r="N14" s="10" t="str">
        <f>IF(M14=0,"-",IF(M14=1,SUM(M$1:M13)+1,SUM(M$1:M13)+1 &amp; "-" &amp; SUM(M$1:M14)))</f>
        <v>93-96</v>
      </c>
      <c r="O14" s="19" t="str">
        <f t="shared" si="11"/>
        <v>!import-table-item --Armor-G --Shield of Missile Attraction --4</v>
      </c>
      <c r="S14" s="10"/>
      <c r="U14" s="30" t="s">
        <v>1091</v>
      </c>
      <c r="V14" s="1" t="s">
        <v>1397</v>
      </c>
      <c r="W14" s="1">
        <v>2</v>
      </c>
      <c r="X14" s="10" t="str">
        <f>IF(W14=0,"-",IF(W14=1,SUM(W$1:W13)+1,SUM(W$1:W13)+1 &amp; "-" &amp; SUM(W$1:W14)))</f>
        <v>43-44</v>
      </c>
      <c r="Y14" s="19" t="str">
        <f t="shared" si="2"/>
        <v>!import-table-item --Arms-G --[[ 1t[Swords] ]] of Life Stealing --2</v>
      </c>
      <c r="AC14" s="10"/>
      <c r="AE14" s="21" t="s">
        <v>1310</v>
      </c>
      <c r="AF14" s="1" t="s">
        <v>1409</v>
      </c>
      <c r="AG14" s="1">
        <v>4</v>
      </c>
      <c r="AH14" s="10" t="str">
        <f>IF(AG14=0,"-",IF(AG14=1,SUM(AG$1:AG13)+1,SUM(AG$1:AG13)+1 &amp; "-" &amp; SUM(AG$1:AG14)))</f>
        <v>81-84</v>
      </c>
      <c r="AI14" s="19" t="str">
        <f t="shared" si="3"/>
        <v>!import-table-item --Jewelry-G --Ring of Temporal Salvation --4</v>
      </c>
      <c r="AM14" s="10"/>
      <c r="AT14" s="21" t="s">
        <v>1302</v>
      </c>
      <c r="AU14" s="1" t="s">
        <v>1399</v>
      </c>
      <c r="AV14" s="1">
        <v>3</v>
      </c>
      <c r="AW14" s="10" t="str">
        <f>IF(AV14=0,"-",IF(AV14=1,SUM(AV$1:AV13)+1,SUM(AV$1:AV13)+1 &amp; "-" &amp; SUM(AV$1:AV14)))</f>
        <v>44-46</v>
      </c>
      <c r="AX14" s="19" t="str">
        <f t="shared" si="6"/>
        <v>!import-table-item --Misc-G --Orb of the Stein Rune --3</v>
      </c>
      <c r="BB14" s="10"/>
      <c r="BG14" s="10"/>
      <c r="BI14" s="30" t="s">
        <v>1674</v>
      </c>
      <c r="BJ14" s="1" t="s">
        <v>1403</v>
      </c>
      <c r="BK14" s="1">
        <v>3</v>
      </c>
      <c r="BL14" s="10" t="str">
        <f>IF(BK14=0,"-",IF(BK14=1,SUM(BK$1:BK13)+1,SUM(BK$1:BK13)+1 &amp; "-" &amp; SUM(BK$1:BK14)))</f>
        <v>83-85</v>
      </c>
      <c r="BM14" s="19" t="str">
        <f t="shared" si="8"/>
        <v>!import-table-item --Spellcaster-G --Stirring [[ 1t[FTD-Dragons] ]]-Dragon-Touched Focus --3</v>
      </c>
      <c r="BQ14" s="10"/>
      <c r="BV14" s="10"/>
      <c r="CA14" s="10"/>
    </row>
    <row r="15" spans="1:80" x14ac:dyDescent="0.25">
      <c r="D15" s="10"/>
      <c r="F15" s="21" t="s">
        <v>176</v>
      </c>
      <c r="G15" s="1" t="s">
        <v>1397</v>
      </c>
      <c r="H15" s="1">
        <v>3</v>
      </c>
      <c r="I15" s="10" t="str">
        <f>IF(H15=0,"-",IF(H15=1,SUM(H$1:H14)+1,SUM(H$1:H14)+1 &amp; "-" &amp; SUM(H$1:H15)))</f>
        <v>62-64</v>
      </c>
      <c r="J15" s="19" t="str">
        <f t="shared" si="1"/>
        <v>!import-table-item --Apparel-G --Cloak of Displacement --3</v>
      </c>
      <c r="K15" s="21" t="s">
        <v>221</v>
      </c>
      <c r="L15" s="1" t="s">
        <v>1397</v>
      </c>
      <c r="M15" s="1">
        <v>4</v>
      </c>
      <c r="N15" s="10" t="str">
        <f>IF(M15=0,"-",IF(M15=1,SUM(M$1:M14)+1,SUM(M$1:M14)+1 &amp; "-" &amp; SUM(M$1:M15)))</f>
        <v>97-100</v>
      </c>
      <c r="O15" s="19" t="str">
        <f t="shared" si="11"/>
        <v>!import-table-item --Armor-G --Shield, +2 --4</v>
      </c>
      <c r="S15" s="10"/>
      <c r="U15" s="30" t="s">
        <v>1092</v>
      </c>
      <c r="V15" s="1" t="s">
        <v>1397</v>
      </c>
      <c r="W15" s="1">
        <v>2</v>
      </c>
      <c r="X15" s="10" t="str">
        <f>IF(W15=0,"-",IF(W15=1,SUM(W$1:W14)+1,SUM(W$1:W14)+1 &amp; "-" &amp; SUM(W$1:W15)))</f>
        <v>45-46</v>
      </c>
      <c r="Y15" s="19" t="str">
        <f t="shared" si="2"/>
        <v>!import-table-item --Arms-G --[[ 1t[Swords] ]] of Wounding --2</v>
      </c>
      <c r="AC15" s="10"/>
      <c r="AE15" s="21" t="s">
        <v>213</v>
      </c>
      <c r="AF15" s="1" t="s">
        <v>1397</v>
      </c>
      <c r="AG15" s="1">
        <v>4</v>
      </c>
      <c r="AH15" s="10" t="str">
        <f>IF(AG15=0,"-",IF(AG15=1,SUM(AG$1:AG14)+1,SUM(AG$1:AG14)+1 &amp; "-" &amp; SUM(AG$1:AG15)))</f>
        <v>85-88</v>
      </c>
      <c r="AI15" s="19" t="str">
        <f t="shared" si="3"/>
        <v>!import-table-item --Jewelry-G --Ring of the Ram --4</v>
      </c>
      <c r="AM15" s="10"/>
      <c r="AT15" s="21" t="s">
        <v>1573</v>
      </c>
      <c r="AU15" s="1" t="s">
        <v>1401</v>
      </c>
      <c r="AV15" s="1">
        <v>3</v>
      </c>
      <c r="AW15" s="10" t="str">
        <f>IF(AV15=0,"-",IF(AV15=1,SUM(AV$1:AV14)+1,SUM(AV$1:AV14)+1 &amp; "-" &amp; SUM(AV$1:AV15)))</f>
        <v>47-49</v>
      </c>
      <c r="AX15" s="19" t="str">
        <f t="shared" si="6"/>
        <v>!import-table-item --Misc-G --Prehistoric Figurine of Wondrous Power, Kyanite Pteranodon --3</v>
      </c>
      <c r="BB15" s="10"/>
      <c r="BG15" s="10"/>
      <c r="BI15" s="21" t="s">
        <v>239</v>
      </c>
      <c r="BJ15" s="1" t="s">
        <v>1397</v>
      </c>
      <c r="BK15" s="1">
        <v>3</v>
      </c>
      <c r="BL15" s="10" t="str">
        <f>IF(BK15=0,"-",IF(BK15=1,SUM(BK$1:BK14)+1,SUM(BK$1:BK14)+1 &amp; "-" &amp; SUM(BK$1:BK15)))</f>
        <v>86-88</v>
      </c>
      <c r="BM15" s="19" t="str">
        <f t="shared" si="8"/>
        <v>!import-table-item --Spellcaster-G --Wand of the War Mage, +2 --3</v>
      </c>
      <c r="BQ15" s="10"/>
      <c r="BV15" s="10"/>
      <c r="CA15" s="10"/>
    </row>
    <row r="16" spans="1:80" x14ac:dyDescent="0.25">
      <c r="D16" s="10"/>
      <c r="F16" s="21" t="s">
        <v>177</v>
      </c>
      <c r="G16" s="1" t="s">
        <v>1397</v>
      </c>
      <c r="H16" s="1">
        <v>3</v>
      </c>
      <c r="I16" s="10" t="str">
        <f>IF(H16=0,"-",IF(H16=1,SUM(H$1:H15)+1,SUM(H$1:H15)+1 &amp; "-" &amp; SUM(H$1:H16)))</f>
        <v>65-67</v>
      </c>
      <c r="J16" s="19" t="str">
        <f t="shared" si="1"/>
        <v>!import-table-item --Apparel-G --Cloak of the Bat --3</v>
      </c>
      <c r="K16" s="30" t="s">
        <v>1511</v>
      </c>
      <c r="L16" s="1" t="s">
        <v>1397</v>
      </c>
      <c r="M16" s="1">
        <v>0</v>
      </c>
      <c r="N16" s="10" t="str">
        <f>IF(M16=0,"-",IF(M16=1,SUM(M$1:M15)+1,SUM(M$1:M15)+1 &amp; "-" &amp; SUM(M$1:M16)))</f>
        <v>-</v>
      </c>
      <c r="O16" s="19" t="str">
        <f t="shared" si="11"/>
        <v>!import-table-item --Armor-G --[[ 1t[Heavy-Armor] ]] of Vulnerability --0</v>
      </c>
      <c r="S16" s="10"/>
      <c r="U16" s="30" t="s">
        <v>1700</v>
      </c>
      <c r="V16" s="1" t="s">
        <v>1409</v>
      </c>
      <c r="W16" s="1">
        <v>2</v>
      </c>
      <c r="X16" s="10" t="str">
        <f>IF(W16=0,"-",IF(W16=1,SUM(W$1:W15)+1,SUM(W$1:W15)+1 &amp; "-" &amp; SUM(W$1:W16)))</f>
        <v>47-48</v>
      </c>
      <c r="Y16" s="19" t="str">
        <f t="shared" si="2"/>
        <v>!import-table-item --Arms-G --[[ 1t[Weapons] ]] of Certain Death --2</v>
      </c>
      <c r="AC16" s="10"/>
      <c r="AE16" s="21" t="s">
        <v>214</v>
      </c>
      <c r="AF16" s="1" t="s">
        <v>1397</v>
      </c>
      <c r="AG16" s="1">
        <v>4</v>
      </c>
      <c r="AH16" s="10" t="str">
        <f>IF(AG16=0,"-",IF(AG16=1,SUM(AG$1:AG15)+1,SUM(AG$1:AG15)+1 &amp; "-" &amp; SUM(AG$1:AG16)))</f>
        <v>89-92</v>
      </c>
      <c r="AI16" s="19" t="str">
        <f t="shared" si="3"/>
        <v>!import-table-item --Jewelry-G --Ring of X-Ray Vision --4</v>
      </c>
      <c r="AM16" s="10"/>
      <c r="AT16" s="21" t="s">
        <v>1332</v>
      </c>
      <c r="AU16" s="1" t="s">
        <v>1423</v>
      </c>
      <c r="AV16" s="1">
        <v>3</v>
      </c>
      <c r="AW16" s="10" t="str">
        <f>IF(AV16=0,"-",IF(AV16=1,SUM(AV$1:AV15)+1,SUM(AV$1:AV15)+1 &amp; "-" &amp; SUM(AV$1:AV16)))</f>
        <v>50-52</v>
      </c>
      <c r="AX16" s="19" t="str">
        <f t="shared" si="6"/>
        <v>!import-table-item --Misc-G --Weird Tank --3</v>
      </c>
      <c r="BB16" s="10"/>
      <c r="BG16" s="10"/>
      <c r="BI16" s="21" t="s">
        <v>1343</v>
      </c>
      <c r="BJ16" s="1" t="s">
        <v>1402</v>
      </c>
      <c r="BK16" s="1">
        <v>2</v>
      </c>
      <c r="BL16" s="10" t="str">
        <f>IF(BK16=0,"-",IF(BK16=1,SUM(BK$1:BK15)+1,SUM(BK$1:BK15)+1 &amp; "-" &amp; SUM(BK$1:BK16)))</f>
        <v>89-90</v>
      </c>
      <c r="BM16" s="19" t="str">
        <f t="shared" si="8"/>
        <v>!import-table-item --Spellcaster-G --Amulet of the Devout, +2 --2</v>
      </c>
      <c r="BQ16" s="10"/>
      <c r="BV16" s="10"/>
      <c r="CA16" s="10"/>
    </row>
    <row r="17" spans="4:79" x14ac:dyDescent="0.25">
      <c r="D17" s="10"/>
      <c r="F17" s="21" t="s">
        <v>1271</v>
      </c>
      <c r="G17" s="1" t="s">
        <v>1679</v>
      </c>
      <c r="H17" s="1">
        <v>3</v>
      </c>
      <c r="I17" s="10" t="str">
        <f>IF(H17=0,"-",IF(H17=1,SUM(H$1:H16)+1,SUM(H$1:H16)+1 &amp; "-" &amp; SUM(H$1:H17)))</f>
        <v>68-70</v>
      </c>
      <c r="J17" s="19" t="str">
        <f t="shared" si="1"/>
        <v>!import-table-item --Apparel-G --Coat of the Crest --3</v>
      </c>
      <c r="K17" s="30" t="s">
        <v>1912</v>
      </c>
      <c r="L17" s="1" t="s">
        <v>1875</v>
      </c>
      <c r="M17" s="1">
        <v>0</v>
      </c>
      <c r="N17" s="10" t="str">
        <f>IF(M17=0,"-",IF(M17=1,SUM(M$1:M16)+1,SUM(M$1:M16)+1 &amp; "-" &amp; SUM(M$1:M17)))</f>
        <v>-</v>
      </c>
      <c r="O17" s="19" t="str">
        <f t="shared" si="11"/>
        <v>!import-table-item --Armor-G --Voidwalker [[ 1t[Armor] ]] --0</v>
      </c>
      <c r="S17" s="10"/>
      <c r="U17" s="30" t="s">
        <v>1474</v>
      </c>
      <c r="V17" s="1" t="s">
        <v>1409</v>
      </c>
      <c r="W17" s="1">
        <v>2</v>
      </c>
      <c r="X17" s="10" t="str">
        <f>IF(W17=0,"-",IF(W17=1,SUM(W$1:W16)+1,SUM(W$1:W16)+1 &amp; "-" &amp; SUM(W$1:W17)))</f>
        <v>49-50</v>
      </c>
      <c r="Y17" s="19" t="str">
        <f t="shared" si="2"/>
        <v>!import-table-item --Arms-G --Acheron [[ 1t[Swords] ]] --2</v>
      </c>
      <c r="AC17" s="10"/>
      <c r="AE17" s="21" t="s">
        <v>1908</v>
      </c>
      <c r="AF17" s="1" t="s">
        <v>1875</v>
      </c>
      <c r="AG17" s="1">
        <v>4</v>
      </c>
      <c r="AH17" s="10" t="str">
        <f>IF(AG17=0,"-",IF(AG17=1,SUM(AG$1:AG16)+1,SUM(AG$1:AG16)+1 &amp; "-" &amp; SUM(AG$1:AG17)))</f>
        <v>93-96</v>
      </c>
      <c r="AI17" s="19" t="str">
        <f t="shared" si="3"/>
        <v>!import-table-item --Jewelry-G --Sage's Serpent Signet --4</v>
      </c>
      <c r="AM17" s="10"/>
      <c r="AT17" s="30" t="s">
        <v>1572</v>
      </c>
      <c r="AU17" s="1" t="s">
        <v>1397</v>
      </c>
      <c r="AV17" s="1">
        <v>2</v>
      </c>
      <c r="AW17" s="10" t="str">
        <f>IF(AV17=0,"-",IF(AV17=1,SUM(AV$1:AV16)+1,SUM(AV$1:AV16)+1 &amp; "-" &amp; SUM(AV$1:AV17)))</f>
        <v>53-54</v>
      </c>
      <c r="AX17" s="19" t="str">
        <f t="shared" si="6"/>
        <v>!import-table-item --Misc-G --[[ 1t[Figurine-of-Wondrous-Power-G] ]] --2</v>
      </c>
      <c r="BB17" s="10"/>
      <c r="BG17" s="10"/>
      <c r="BI17" s="21" t="s">
        <v>1265</v>
      </c>
      <c r="BJ17" s="1" t="s">
        <v>1402</v>
      </c>
      <c r="BK17" s="1">
        <v>2</v>
      </c>
      <c r="BL17" s="10" t="str">
        <f>IF(BK17=0,"-",IF(BK17=1,SUM(BK$1:BK16)+1,SUM(BK$1:BK16)+1 &amp; "-" &amp; SUM(BK$1:BK17)))</f>
        <v>91-92</v>
      </c>
      <c r="BM17" s="19" t="str">
        <f t="shared" si="8"/>
        <v>!import-table-item --Spellcaster-G --Bell Branch --2</v>
      </c>
      <c r="BQ17" s="10"/>
      <c r="BV17" s="10"/>
      <c r="CA17" s="10"/>
    </row>
    <row r="18" spans="4:79" x14ac:dyDescent="0.25">
      <c r="D18" s="10"/>
      <c r="F18" s="21" t="s">
        <v>1272</v>
      </c>
      <c r="G18" s="1" t="s">
        <v>1401</v>
      </c>
      <c r="H18" s="1">
        <v>3</v>
      </c>
      <c r="I18" s="10" t="str">
        <f>IF(H18=0,"-",IF(H18=1,SUM(H$1:H17)+1,SUM(H$1:H17)+1 &amp; "-" &amp; SUM(H$1:H18)))</f>
        <v>71-73</v>
      </c>
      <c r="J18" s="19" t="str">
        <f t="shared" si="1"/>
        <v>!import-table-item --Apparel-G --Crown of the Wrath Bringer --3</v>
      </c>
      <c r="S18" s="10"/>
      <c r="U18" s="30" t="s">
        <v>1475</v>
      </c>
      <c r="V18" s="1" t="s">
        <v>1409</v>
      </c>
      <c r="W18" s="1">
        <v>2</v>
      </c>
      <c r="X18" s="10" t="str">
        <f>IF(W18=0,"-",IF(W18=1,SUM(W$1:W17)+1,SUM(W$1:W17)+1 &amp; "-" &amp; SUM(W$1:W18)))</f>
        <v>51-52</v>
      </c>
      <c r="Y18" s="19" t="str">
        <f t="shared" si="2"/>
        <v>!import-table-item --Arms-G --Corpse Slayer [[ 1t[Weapons] ]] --2</v>
      </c>
      <c r="AC18" s="10"/>
      <c r="AE18" s="21" t="s">
        <v>2022</v>
      </c>
      <c r="AF18" s="1" t="s">
        <v>1875</v>
      </c>
      <c r="AG18" s="1">
        <v>4</v>
      </c>
      <c r="AH18" s="10" t="str">
        <f>IF(AG18=0,"-",IF(AG18=1,SUM(AG$1:AG17)+1,SUM(AG$1:AG17)+1 &amp; "-" &amp; SUM(AG$1:AG18)))</f>
        <v>97-100</v>
      </c>
      <c r="AI18" s="19" t="str">
        <f t="shared" si="3"/>
        <v>!import-table-item --Jewelry-G --Sage's Songbird Signet --4</v>
      </c>
      <c r="AM18" s="10"/>
      <c r="AT18" s="30" t="s">
        <v>1723</v>
      </c>
      <c r="AU18" s="1" t="s">
        <v>1397</v>
      </c>
      <c r="AV18" s="1">
        <v>2</v>
      </c>
      <c r="AW18" s="10" t="str">
        <f>IF(AV18=0,"-",IF(AV18=1,SUM(AV$1:AV17)+1,SUM(AV$1:AV17)+1 &amp; "-" &amp; SUM(AV$1:AV18)))</f>
        <v>55-56</v>
      </c>
      <c r="AX18" s="19" t="str">
        <f t="shared" si="6"/>
        <v>!import-table-item --Misc-G --[[ 1t[Horn-of-Valhalla-G] ]] Horn of Valhalla --2</v>
      </c>
      <c r="BB18" s="10"/>
      <c r="BG18" s="10"/>
      <c r="BI18" s="21" t="s">
        <v>1276</v>
      </c>
      <c r="BJ18" s="1" t="s">
        <v>1402</v>
      </c>
      <c r="BK18" s="1">
        <v>2</v>
      </c>
      <c r="BL18" s="10" t="str">
        <f>IF(BK18=0,"-",IF(BK18=1,SUM(BK$1:BK17)+1,SUM(BK$1:BK17)+1 &amp; "-" &amp; SUM(BK$1:BK18)))</f>
        <v>93-94</v>
      </c>
      <c r="BM18" s="19" t="str">
        <f t="shared" si="8"/>
        <v>!import-table-item --Spellcaster-G --Devotee's Censer --2</v>
      </c>
      <c r="BQ18" s="10"/>
      <c r="BV18" s="10"/>
      <c r="CA18" s="10"/>
    </row>
    <row r="19" spans="4:79" x14ac:dyDescent="0.25">
      <c r="D19" s="10"/>
      <c r="F19" s="21" t="s">
        <v>1275</v>
      </c>
      <c r="G19" s="1" t="s">
        <v>1401</v>
      </c>
      <c r="H19" s="1">
        <v>3</v>
      </c>
      <c r="I19" s="10" t="str">
        <f>IF(H19=0,"-",IF(H19=1,SUM(H$1:H18)+1,SUM(H$1:H18)+1 &amp; "-" &amp; SUM(H$1:H19)))</f>
        <v>74-76</v>
      </c>
      <c r="J19" s="19" t="str">
        <f t="shared" si="1"/>
        <v>!import-table-item --Apparel-G --Delver's Claws --3</v>
      </c>
      <c r="S19" s="10"/>
      <c r="U19" s="30" t="s">
        <v>1350</v>
      </c>
      <c r="V19" s="1" t="s">
        <v>1403</v>
      </c>
      <c r="W19" s="1">
        <v>2</v>
      </c>
      <c r="X19" s="10" t="str">
        <f>IF(W19=0,"-",IF(W19=1,SUM(W$1:W18)+1,SUM(W$1:W18)+1 &amp; "-" &amp; SUM(W$1:W19)))</f>
        <v>53-54</v>
      </c>
      <c r="Y19" s="19" t="str">
        <f t="shared" si="2"/>
        <v>!import-table-item --Arms-G --Crystal [[ 1t[Swords] ]] --2</v>
      </c>
      <c r="AC19" s="10"/>
      <c r="AH19" s="10"/>
      <c r="AM19" s="10"/>
      <c r="AT19" s="21" t="s">
        <v>178</v>
      </c>
      <c r="AU19" s="1" t="s">
        <v>1397</v>
      </c>
      <c r="AV19" s="1">
        <v>2</v>
      </c>
      <c r="AW19" s="10" t="str">
        <f>IF(AV19=0,"-",IF(AV19=1,SUM(AV$1:AV18)+1,SUM(AV$1:AV18)+1 &amp; "-" &amp; SUM(AV$1:AV19)))</f>
        <v>57-58</v>
      </c>
      <c r="AX19" s="19" t="str">
        <f t="shared" si="6"/>
        <v>!import-table-item --Misc-G --Cube of Force --2</v>
      </c>
      <c r="BB19" s="10"/>
      <c r="BG19" s="10"/>
      <c r="BI19" s="21" t="s">
        <v>1946</v>
      </c>
      <c r="BJ19" s="1" t="s">
        <v>1875</v>
      </c>
      <c r="BK19" s="1">
        <v>2</v>
      </c>
      <c r="BL19" s="10" t="str">
        <f>IF(BK19=0,"-",IF(BK19=1,SUM(BK$1:BK18)+1,SUM(BK$1:BK18)+1 &amp; "-" &amp; SUM(BK$1:BK19)))</f>
        <v>95-96</v>
      </c>
      <c r="BM19" s="19" t="str">
        <f t="shared" si="8"/>
        <v>!import-table-item --Spellcaster-G --Fate Dealer's Deck, +1 --2</v>
      </c>
      <c r="BQ19" s="10"/>
      <c r="BV19" s="10"/>
      <c r="CA19" s="10"/>
    </row>
    <row r="20" spans="4:79" x14ac:dyDescent="0.25">
      <c r="D20" s="10"/>
      <c r="F20" s="21" t="s">
        <v>188</v>
      </c>
      <c r="G20" s="1" t="s">
        <v>1397</v>
      </c>
      <c r="H20" s="1">
        <v>3</v>
      </c>
      <c r="I20" s="10" t="str">
        <f>IF(H20=0,"-",IF(H20=1,SUM(H$1:H19)+1,SUM(H$1:H19)+1 &amp; "-" &amp; SUM(H$1:H20)))</f>
        <v>77-79</v>
      </c>
      <c r="J20" s="19" t="str">
        <f t="shared" si="1"/>
        <v>!import-table-item --Apparel-G --Helm of Teleportation --3</v>
      </c>
      <c r="S20" s="10"/>
      <c r="U20" s="21" t="s">
        <v>1274</v>
      </c>
      <c r="V20" s="1" t="s">
        <v>1409</v>
      </c>
      <c r="W20" s="1">
        <v>2</v>
      </c>
      <c r="X20" s="10" t="str">
        <f>IF(W20=0,"-",IF(W20=1,SUM(W$1:W19)+1,SUM(W$1:W19)+1 &amp; "-" &amp; SUM(W$1:W20)))</f>
        <v>55-56</v>
      </c>
      <c r="Y20" s="19" t="str">
        <f t="shared" si="2"/>
        <v>!import-table-item --Arms-G --Dagger of Denial --2</v>
      </c>
      <c r="AC20" s="10"/>
      <c r="AH20" s="10"/>
      <c r="AM20" s="10"/>
      <c r="AT20" s="21" t="s">
        <v>179</v>
      </c>
      <c r="AU20" s="1" t="s">
        <v>1397</v>
      </c>
      <c r="AV20" s="1">
        <v>2</v>
      </c>
      <c r="AW20" s="10" t="str">
        <f>IF(AV20=0,"-",IF(AV20=1,SUM(AV$1:AV19)+1,SUM(AV$1:AV19)+1 &amp; "-" &amp; SUM(AV$1:AV20)))</f>
        <v>59-60</v>
      </c>
      <c r="AX20" s="19" t="str">
        <f t="shared" si="6"/>
        <v>!import-table-item --Misc-G --Daern's Instant Fortress --2</v>
      </c>
      <c r="BB20" s="10"/>
      <c r="BG20" s="10"/>
      <c r="BI20" s="21" t="s">
        <v>1347</v>
      </c>
      <c r="BJ20" s="1" t="s">
        <v>1402</v>
      </c>
      <c r="BK20" s="1">
        <v>2</v>
      </c>
      <c r="BL20" s="10" t="str">
        <f>IF(BK20=0,"-",IF(BK20=1,SUM(BK$1:BK19)+1,SUM(BK$1:BK19)+1 &amp; "-" &amp; SUM(BK$1:BK20)))</f>
        <v>97-98</v>
      </c>
      <c r="BM20" s="19" t="str">
        <f t="shared" si="8"/>
        <v>!import-table-item --Spellcaster-G --Moon Sickle, +2 --2</v>
      </c>
      <c r="BQ20" s="10"/>
      <c r="BV20" s="10"/>
      <c r="CA20" s="10"/>
    </row>
    <row r="21" spans="4:79" x14ac:dyDescent="0.25">
      <c r="D21" s="10"/>
      <c r="F21" s="21" t="s">
        <v>1290</v>
      </c>
      <c r="G21" s="1" t="s">
        <v>1400</v>
      </c>
      <c r="H21" s="1">
        <v>3</v>
      </c>
      <c r="I21" s="10" t="str">
        <f>IF(H21=0,"-",IF(H21=1,SUM(H$1:H20)+1,SUM(H$1:H20)+1 &amp; "-" &amp; SUM(H$1:H21)))</f>
        <v>80-82</v>
      </c>
      <c r="J21" s="19" t="str">
        <f t="shared" si="1"/>
        <v>!import-table-item --Apparel-G --Helm of the Gods --3</v>
      </c>
      <c r="S21" s="10"/>
      <c r="U21" s="21" t="s">
        <v>180</v>
      </c>
      <c r="V21" s="1" t="s">
        <v>1397</v>
      </c>
      <c r="W21" s="1">
        <v>2</v>
      </c>
      <c r="X21" s="10" t="str">
        <f>IF(W21=0,"-",IF(W21=1,SUM(W$1:W20)+1,SUM(W$1:W20)+1 &amp; "-" &amp; SUM(W$1:W21)))</f>
        <v>57-58</v>
      </c>
      <c r="Y21" s="19" t="str">
        <f t="shared" si="2"/>
        <v>!import-table-item --Arms-G --Dagger of Venom --2</v>
      </c>
      <c r="AC21" s="10"/>
      <c r="AH21" s="10"/>
      <c r="AM21" s="10"/>
      <c r="AT21" s="21" t="s">
        <v>181</v>
      </c>
      <c r="AU21" s="1" t="s">
        <v>1397</v>
      </c>
      <c r="AV21" s="1">
        <v>2</v>
      </c>
      <c r="AW21" s="10" t="str">
        <f>IF(AV21=0,"-",IF(AV21=1,SUM(AV$1:AV20)+1,SUM(AV$1:AV20)+1 &amp; "-" &amp; SUM(AV$1:AV21)))</f>
        <v>61-62</v>
      </c>
      <c r="AX21" s="19" t="str">
        <f t="shared" si="6"/>
        <v>!import-table-item --Misc-G --Dimensional Shackles --2</v>
      </c>
      <c r="BB21" s="10"/>
      <c r="BG21" s="10"/>
      <c r="BI21" s="21" t="s">
        <v>1911</v>
      </c>
      <c r="BJ21" s="1" t="s">
        <v>1875</v>
      </c>
      <c r="BK21" s="1">
        <v>2</v>
      </c>
      <c r="BL21" s="10" t="str">
        <f>IF(BK21=0,"-",IF(BK21=1,SUM(BK$1:BK20)+1,SUM(BK$1:BK20)+1 &amp; "-" &amp; SUM(BK$1:BK21)))</f>
        <v>99-100</v>
      </c>
      <c r="BM21" s="19" t="str">
        <f t="shared" si="8"/>
        <v>!import-table-item --Spellcaster-G --Sun Staff --2</v>
      </c>
      <c r="BQ21" s="10"/>
      <c r="BV21" s="10"/>
      <c r="CA21" s="10"/>
    </row>
    <row r="22" spans="4:79" x14ac:dyDescent="0.25">
      <c r="D22" s="10"/>
      <c r="F22" s="21" t="s">
        <v>201</v>
      </c>
      <c r="G22" s="1" t="s">
        <v>1397</v>
      </c>
      <c r="H22" s="1">
        <v>3</v>
      </c>
      <c r="I22" s="10" t="str">
        <f>IF(H22=0,"-",IF(H22=1,SUM(H$1:H21)+1,SUM(H$1:H21)+1 &amp; "-" &amp; SUM(H$1:H22)))</f>
        <v>83-85</v>
      </c>
      <c r="J22" s="19" t="str">
        <f t="shared" si="1"/>
        <v>!import-table-item --Apparel-G --Mantle of Spell Resistance --3</v>
      </c>
      <c r="S22" s="10"/>
      <c r="U22" s="30" t="s">
        <v>1697</v>
      </c>
      <c r="V22" s="1" t="s">
        <v>1397</v>
      </c>
      <c r="W22" s="1">
        <v>2</v>
      </c>
      <c r="X22" s="10" t="str">
        <f>IF(W22=0,"-",IF(W22=1,SUM(W$1:W21)+1,SUM(W$1:W21)+1 &amp; "-" &amp; SUM(W$1:W22)))</f>
        <v>59-60</v>
      </c>
      <c r="Y22" s="19" t="str">
        <f t="shared" si="2"/>
        <v>!import-table-item --Arms-G --Dragon Slayer [[ 1t[Swords] ]] --2</v>
      </c>
      <c r="AC22" s="10"/>
      <c r="AH22" s="10"/>
      <c r="AM22" s="10"/>
      <c r="AT22" s="21" t="s">
        <v>185</v>
      </c>
      <c r="AU22" s="1" t="s">
        <v>1397</v>
      </c>
      <c r="AV22" s="1">
        <v>2</v>
      </c>
      <c r="AW22" s="10" t="str">
        <f>IF(AV22=0,"-",IF(AV22=1,SUM(AV$1:AV21)+1,SUM(AV$1:AV21)+1 &amp; "-" &amp; SUM(AV$1:AV22)))</f>
        <v>63-64</v>
      </c>
      <c r="AX22" s="19" t="str">
        <f t="shared" si="6"/>
        <v>!import-table-item --Misc-G --Gem of Seeing --2</v>
      </c>
      <c r="BB22" s="10"/>
      <c r="BG22" s="10"/>
      <c r="BL22" s="10"/>
      <c r="BQ22" s="10"/>
      <c r="BV22" s="10"/>
      <c r="CA22" s="10"/>
    </row>
    <row r="23" spans="4:79" x14ac:dyDescent="0.25">
      <c r="D23" s="10"/>
      <c r="F23" s="21" t="s">
        <v>215</v>
      </c>
      <c r="G23" s="1" t="s">
        <v>1397</v>
      </c>
      <c r="H23" s="1">
        <v>3</v>
      </c>
      <c r="I23" s="10" t="str">
        <f>IF(H23=0,"-",IF(H23=1,SUM(H$1:H22)+1,SUM(H$1:H22)+1 &amp; "-" &amp; SUM(H$1:H23)))</f>
        <v>86-88</v>
      </c>
      <c r="J23" s="19" t="str">
        <f t="shared" si="1"/>
        <v>!import-table-item --Apparel-G --Robe of Eyes --3</v>
      </c>
      <c r="S23" s="10"/>
      <c r="U23" s="30" t="s">
        <v>1696</v>
      </c>
      <c r="V23" s="1" t="s">
        <v>1397</v>
      </c>
      <c r="W23" s="1">
        <v>2</v>
      </c>
      <c r="X23" s="10" t="str">
        <f>IF(W23=0,"-",IF(W23=1,SUM(W$1:W22)+1,SUM(W$1:W22)+1 &amp; "-" &amp; SUM(W$1:W23)))</f>
        <v>61-62</v>
      </c>
      <c r="Y23" s="19" t="str">
        <f t="shared" si="2"/>
        <v>!import-table-item --Arms-G --Flame Tongue [[ 1t[Swords] ]] --2</v>
      </c>
      <c r="AC23" s="10"/>
      <c r="AH23" s="10"/>
      <c r="AM23" s="10"/>
      <c r="AT23" s="21" t="s">
        <v>189</v>
      </c>
      <c r="AU23" s="1" t="s">
        <v>1397</v>
      </c>
      <c r="AV23" s="1">
        <v>2</v>
      </c>
      <c r="AW23" s="10" t="str">
        <f>IF(AV23=0,"-",IF(AV23=1,SUM(AV$1:AV22)+1,SUM(AV$1:AV22)+1 &amp; "-" &amp; SUM(AV$1:AV23)))</f>
        <v>65-66</v>
      </c>
      <c r="AX23" s="19" t="str">
        <f t="shared" si="6"/>
        <v>!import-table-item --Misc-G --Horn of Blasting --2</v>
      </c>
      <c r="BB23" s="10"/>
      <c r="BG23" s="10"/>
      <c r="BL23" s="10"/>
      <c r="BQ23" s="10"/>
      <c r="BV23" s="10"/>
      <c r="CA23" s="10"/>
    </row>
    <row r="24" spans="4:79" x14ac:dyDescent="0.25">
      <c r="D24" s="10"/>
      <c r="F24" s="21" t="s">
        <v>1906</v>
      </c>
      <c r="G24" s="1" t="s">
        <v>1875</v>
      </c>
      <c r="H24" s="1">
        <v>3</v>
      </c>
      <c r="I24" s="10" t="str">
        <f>IF(H24=0,"-",IF(H24=1,SUM(H$1:H23)+1,SUM(H$1:H23)+1 &amp; "-" &amp; SUM(H$1:H24)))</f>
        <v>89-91</v>
      </c>
      <c r="J24" s="19" t="str">
        <f t="shared" si="1"/>
        <v>!import-table-item --Apparel-G --Rogue's Mantle --3</v>
      </c>
      <c r="S24" s="10"/>
      <c r="U24" s="21" t="s">
        <v>1283</v>
      </c>
      <c r="V24" s="1" t="s">
        <v>1476</v>
      </c>
      <c r="W24" s="1">
        <v>2</v>
      </c>
      <c r="X24" s="10" t="str">
        <f>IF(W24=0,"-",IF(W24=1,SUM(W$1:W23)+1,SUM(W$1:W23)+1 &amp; "-" &amp; SUM(W$1:W24)))</f>
        <v>63-64</v>
      </c>
      <c r="Y24" s="19" t="str">
        <f t="shared" si="2"/>
        <v>!import-table-item --Arms-G --Flayer Slayer --2</v>
      </c>
      <c r="AC24" s="10"/>
      <c r="AH24" s="10"/>
      <c r="AM24" s="10"/>
      <c r="AT24" s="21" t="s">
        <v>195</v>
      </c>
      <c r="AU24" s="1" t="s">
        <v>1397</v>
      </c>
      <c r="AV24" s="1">
        <v>2</v>
      </c>
      <c r="AW24" s="10" t="str">
        <f>IF(AV24=0,"-",IF(AV24=1,SUM(AV$1:AV23)+1,SUM(AV$1:AV23)+1 &amp; "-" &amp; SUM(AV$1:AV24)))</f>
        <v>67-68</v>
      </c>
      <c r="AX24" s="19" t="str">
        <f t="shared" si="6"/>
        <v>!import-table-item --Misc-G --Iron Bands of Bilarro --2</v>
      </c>
      <c r="BB24" s="10"/>
      <c r="BG24" s="10"/>
      <c r="BL24" s="10"/>
      <c r="BQ24" s="10"/>
      <c r="BV24" s="10"/>
      <c r="CA24" s="10"/>
    </row>
    <row r="25" spans="4:79" x14ac:dyDescent="0.25">
      <c r="D25" s="10"/>
      <c r="F25" s="1" t="s">
        <v>1683</v>
      </c>
      <c r="G25" s="1" t="s">
        <v>1403</v>
      </c>
      <c r="H25" s="1">
        <v>3</v>
      </c>
      <c r="I25" s="10" t="str">
        <f>IF(H25=0,"-",IF(H25=1,SUM(H$1:H24)+1,SUM(H$1:H24)+1 &amp; "-" &amp; SUM(H$1:H25)))</f>
        <v>92-94</v>
      </c>
      <c r="J25" s="19" t="str">
        <f t="shared" si="1"/>
        <v>!import-table-item --Apparel-G --Stirring Scaled Ornament --3</v>
      </c>
      <c r="S25" s="10"/>
      <c r="U25" s="30" t="s">
        <v>1695</v>
      </c>
      <c r="V25" s="1" t="s">
        <v>1397</v>
      </c>
      <c r="W25" s="1">
        <v>2</v>
      </c>
      <c r="X25" s="10" t="str">
        <f>IF(W25=0,"-",IF(W25=1,SUM(W$1:W24)+1,SUM(W$1:W24)+1 &amp; "-" &amp; SUM(W$1:W25)))</f>
        <v>65-66</v>
      </c>
      <c r="Y25" s="19" t="str">
        <f t="shared" si="2"/>
        <v>!import-table-item --Arms-G --Frost Brand [[ 1t[Swords] ]] --2</v>
      </c>
      <c r="AC25" s="10"/>
      <c r="AH25" s="10"/>
      <c r="AM25" s="10"/>
      <c r="AT25" s="21" t="s">
        <v>1448</v>
      </c>
      <c r="AU25" s="1" t="s">
        <v>1414</v>
      </c>
      <c r="AV25" s="1">
        <v>2</v>
      </c>
      <c r="AW25" s="10" t="str">
        <f>IF(AV25=0,"-",IF(AV25=1,SUM(AV$1:AV24)+1,SUM(AV$1:AV24)+1 &amp; "-" &amp; SUM(AV$1:AV25)))</f>
        <v>69-70</v>
      </c>
      <c r="AX25" s="19" t="str">
        <f t="shared" si="6"/>
        <v>!import-table-item --Misc-G --Ornithopter of Flying --2</v>
      </c>
      <c r="BB25" s="10"/>
      <c r="BG25" s="10"/>
      <c r="BL25" s="10"/>
      <c r="BQ25" s="10"/>
      <c r="BV25" s="10"/>
      <c r="CA25" s="10"/>
    </row>
    <row r="26" spans="4:79" x14ac:dyDescent="0.25">
      <c r="D26" s="10"/>
      <c r="F26" s="21" t="s">
        <v>1324</v>
      </c>
      <c r="G26" s="1" t="s">
        <v>1679</v>
      </c>
      <c r="H26" s="1">
        <v>3</v>
      </c>
      <c r="I26" s="10" t="str">
        <f>IF(H26=0,"-",IF(H26=1,SUM(H$1:H25)+1,SUM(H$1:H25)+1 &amp; "-" &amp; SUM(H$1:H26)))</f>
        <v>95-97</v>
      </c>
      <c r="J26" s="19" t="str">
        <f t="shared" si="1"/>
        <v>!import-table-item --Apparel-G --Stormrider Boots --3</v>
      </c>
      <c r="S26" s="10"/>
      <c r="U26" s="30" t="s">
        <v>1175</v>
      </c>
      <c r="V26" s="1" t="s">
        <v>1397</v>
      </c>
      <c r="W26" s="1">
        <v>2</v>
      </c>
      <c r="X26" s="10" t="str">
        <f>IF(W26=0,"-",IF(W26=1,SUM(W$1:W25)+1,SUM(W$1:W25)+1 &amp; "-" &amp; SUM(W$1:W26)))</f>
        <v>67-68</v>
      </c>
      <c r="Y26" s="19" t="str">
        <f t="shared" si="2"/>
        <v>!import-table-item --Arms-G --Giant Slayer [[ 1t[Giant-Slayer-G] ]] --2</v>
      </c>
      <c r="AC26" s="10"/>
      <c r="AH26" s="10"/>
      <c r="AM26" s="10"/>
      <c r="AT26" s="21" t="s">
        <v>216</v>
      </c>
      <c r="AU26" s="1" t="s">
        <v>1397</v>
      </c>
      <c r="AV26" s="1">
        <v>2</v>
      </c>
      <c r="AW26" s="10" t="str">
        <f>IF(AV26=0,"-",IF(AV26=1,SUM(AV$1:AV25)+1,SUM(AV$1:AV25)+1 &amp; "-" &amp; SUM(AV$1:AV26)))</f>
        <v>71-72</v>
      </c>
      <c r="AX26" s="19" t="str">
        <f t="shared" si="6"/>
        <v>!import-table-item --Misc-G --Rod of Rulership --2</v>
      </c>
      <c r="BB26" s="10"/>
      <c r="BG26" s="10"/>
      <c r="BL26" s="10"/>
      <c r="BQ26" s="10"/>
      <c r="BV26" s="10"/>
      <c r="CA26" s="10"/>
    </row>
    <row r="27" spans="4:79" x14ac:dyDescent="0.25">
      <c r="D27" s="10"/>
      <c r="F27" s="11" t="s">
        <v>1331</v>
      </c>
      <c r="G27" s="6" t="s">
        <v>1401</v>
      </c>
      <c r="H27" s="1">
        <v>3</v>
      </c>
      <c r="I27" s="10" t="str">
        <f>IF(H27=0,"-",IF(H27=1,SUM(H$1:H26)+1,SUM(H$1:H26)+1 &amp; "-" &amp; SUM(H$1:H27)))</f>
        <v>98-100</v>
      </c>
      <c r="J27" s="19" t="str">
        <f t="shared" si="1"/>
        <v>!import-table-item --Apparel-G --Wayfarer's Boots --3</v>
      </c>
      <c r="S27" s="10"/>
      <c r="U27" s="21" t="s">
        <v>1905</v>
      </c>
      <c r="V27" s="1" t="s">
        <v>1875</v>
      </c>
      <c r="W27" s="1">
        <v>2</v>
      </c>
      <c r="X27" s="10" t="str">
        <f>IF(W27=0,"-",IF(W27=1,SUM(W$1:W26)+1,SUM(W$1:W26)+1 &amp; "-" &amp; SUM(W$1:W27)))</f>
        <v>69-70</v>
      </c>
      <c r="Y27" s="19" t="str">
        <f t="shared" si="2"/>
        <v>!import-table-item --Arms-G --Grasping Whip --2</v>
      </c>
      <c r="AC27" s="10"/>
      <c r="AH27" s="10"/>
      <c r="AM27" s="10"/>
      <c r="AT27" s="21" t="s">
        <v>218</v>
      </c>
      <c r="AU27" s="1" t="s">
        <v>1397</v>
      </c>
      <c r="AV27" s="1">
        <v>2</v>
      </c>
      <c r="AW27" s="10" t="str">
        <f>IF(AV27=0,"-",IF(AV27=1,SUM(AV$1:AV26)+1,SUM(AV$1:AV26)+1 &amp; "-" &amp; SUM(AV$1:AV27)))</f>
        <v>73-74</v>
      </c>
      <c r="AX27" s="19" t="str">
        <f t="shared" si="6"/>
        <v>!import-table-item --Misc-G --Rope of Entanglement --2</v>
      </c>
      <c r="BB27" s="10"/>
      <c r="BG27" s="10"/>
      <c r="BL27" s="10"/>
      <c r="BQ27" s="10"/>
      <c r="BV27" s="10"/>
      <c r="CA27" s="10"/>
    </row>
    <row r="28" spans="4:79" x14ac:dyDescent="0.25">
      <c r="D28" s="10"/>
      <c r="F28" s="21" t="s">
        <v>1909</v>
      </c>
      <c r="G28" s="1" t="s">
        <v>1875</v>
      </c>
      <c r="H28" s="1">
        <v>0</v>
      </c>
      <c r="I28" s="10" t="str">
        <f>IF(H28=0,"-",IF(H28=1,SUM(H$1:H27)+1,SUM(H$1:H27)+1 &amp; "-" &amp; SUM(H$1:H28)))</f>
        <v>-</v>
      </c>
      <c r="J28" s="19" t="str">
        <f t="shared" si="1"/>
        <v>!import-table-item --Apparel-G --Shrieking Greaves --0</v>
      </c>
      <c r="S28" s="10"/>
      <c r="U28" s="21" t="s">
        <v>1292</v>
      </c>
      <c r="V28" s="1" t="s">
        <v>1679</v>
      </c>
      <c r="W28" s="1">
        <v>2</v>
      </c>
      <c r="X28" s="10" t="str">
        <f>IF(W28=0,"-",IF(W28=1,SUM(W$1:W27)+1,SUM(W$1:W27)+1 &amp; "-" &amp; SUM(W$1:W28)))</f>
        <v>71-72</v>
      </c>
      <c r="Y28" s="19" t="str">
        <f t="shared" si="2"/>
        <v>!import-table-item --Arms-G --Inescapable Lash --2</v>
      </c>
      <c r="AC28" s="10"/>
      <c r="AH28" s="10"/>
      <c r="AM28" s="10"/>
      <c r="AT28" s="21" t="s">
        <v>1322</v>
      </c>
      <c r="AU28" s="1" t="s">
        <v>1403</v>
      </c>
      <c r="AV28" s="1">
        <v>2</v>
      </c>
      <c r="AW28" s="10" t="str">
        <f>IF(AV28=0,"-",IF(AV28=1,SUM(AV$1:AV27)+1,SUM(AV$1:AV27)+1 &amp; "-" &amp; SUM(AV$1:AV28)))</f>
        <v>75-76</v>
      </c>
      <c r="AX28" s="19" t="str">
        <f t="shared" si="6"/>
        <v>!import-table-item --Misc-G --Stirring Dragon Vessel --2</v>
      </c>
      <c r="BB28" s="10"/>
      <c r="BG28" s="10"/>
      <c r="BQ28" s="10"/>
      <c r="BV28" s="10"/>
      <c r="CA28" s="10"/>
    </row>
    <row r="29" spans="4:79" x14ac:dyDescent="0.25">
      <c r="D29" s="10"/>
      <c r="S29" s="10"/>
      <c r="U29" s="21" t="s">
        <v>1296</v>
      </c>
      <c r="V29" s="1" t="s">
        <v>1476</v>
      </c>
      <c r="W29" s="1">
        <v>2</v>
      </c>
      <c r="X29" s="10" t="str">
        <f>IF(W29=0,"-",IF(W29=1,SUM(W$1:W28)+1,SUM(W$1:W28)+1 &amp; "-" &amp; SUM(W$1:W29)))</f>
        <v>73-74</v>
      </c>
      <c r="Y29" s="19" t="str">
        <f t="shared" si="2"/>
        <v>!import-table-item --Arms-G --Luminous War Pick --2</v>
      </c>
      <c r="AC29" s="10"/>
      <c r="AH29" s="10"/>
      <c r="AM29" s="10"/>
      <c r="AT29" s="21" t="s">
        <v>227</v>
      </c>
      <c r="AU29" s="1" t="s">
        <v>1397</v>
      </c>
      <c r="AV29" s="1">
        <v>2</v>
      </c>
      <c r="AW29" s="10" t="str">
        <f>IF(AV29=0,"-",IF(AV29=1,SUM(AV$1:AV28)+1,SUM(AV$1:AV28)+1 &amp; "-" &amp; SUM(AV$1:AV29)))</f>
        <v>77-78</v>
      </c>
      <c r="AX29" s="19" t="str">
        <f t="shared" si="6"/>
        <v>!import-table-item --Misc-G --Stone of Controlling Earth Elementals --2</v>
      </c>
      <c r="BB29" s="10"/>
      <c r="BG29" s="10"/>
      <c r="BQ29" s="10"/>
      <c r="BV29" s="10"/>
      <c r="CA29" s="10"/>
    </row>
    <row r="30" spans="4:79" x14ac:dyDescent="0.25">
      <c r="D30" s="10"/>
      <c r="S30" s="10"/>
      <c r="U30" s="21" t="s">
        <v>198</v>
      </c>
      <c r="V30" s="1" t="s">
        <v>1397</v>
      </c>
      <c r="W30" s="1">
        <v>2</v>
      </c>
      <c r="X30" s="10" t="str">
        <f>IF(W30=0,"-",IF(W30=1,SUM(W$1:W29)+1,SUM(W$1:W29)+1 &amp; "-" &amp; SUM(W$1:W30)))</f>
        <v>75-76</v>
      </c>
      <c r="Y30" s="19" t="str">
        <f t="shared" si="2"/>
        <v>!import-table-item --Arms-G --Mace of Disruption --2</v>
      </c>
      <c r="AC30" s="10"/>
      <c r="AH30" s="10"/>
      <c r="AM30" s="10"/>
      <c r="AT30" s="21" t="s">
        <v>1323</v>
      </c>
      <c r="AU30" s="1" t="s">
        <v>1463</v>
      </c>
      <c r="AV30" s="1">
        <v>2</v>
      </c>
      <c r="AW30" s="10" t="str">
        <f>IF(AV30=0,"-",IF(AV30=1,SUM(AV$1:AV29)+1,SUM(AV$1:AV29)+1 &amp; "-" &amp; SUM(AV$1:AV30)))</f>
        <v>79-80</v>
      </c>
      <c r="AX30" s="19" t="str">
        <f t="shared" si="6"/>
        <v>!import-table-item --Misc-G --Stonespeaker Crystal --2</v>
      </c>
      <c r="BB30" s="10"/>
      <c r="BG30" s="10"/>
      <c r="BQ30" s="10"/>
      <c r="BV30" s="10"/>
      <c r="CA30" s="10"/>
    </row>
    <row r="31" spans="4:79" x14ac:dyDescent="0.25">
      <c r="D31" s="10"/>
      <c r="U31" s="21" t="s">
        <v>199</v>
      </c>
      <c r="V31" s="1" t="s">
        <v>1397</v>
      </c>
      <c r="W31" s="1">
        <v>2</v>
      </c>
      <c r="X31" s="10" t="str">
        <f>IF(W31=0,"-",IF(W31=1,SUM(W$1:W30)+1,SUM(W$1:W30)+1 &amp; "-" &amp; SUM(W$1:W31)))</f>
        <v>77-78</v>
      </c>
      <c r="Y31" s="19" t="str">
        <f t="shared" si="2"/>
        <v>!import-table-item --Arms-G --Mace of Smiting --2</v>
      </c>
      <c r="AC31" s="10"/>
      <c r="AH31" s="10"/>
      <c r="AM31" s="10"/>
      <c r="AT31" s="21" t="s">
        <v>231</v>
      </c>
      <c r="AU31" s="1" t="s">
        <v>1397</v>
      </c>
      <c r="AV31" s="1">
        <v>2</v>
      </c>
      <c r="AW31" s="10" t="str">
        <f>IF(AV31=0,"-",IF(AV31=1,SUM(AV$1:AV30)+1,SUM(AV$1:AV30)+1 &amp; "-" &amp; SUM(AV$1:AV31)))</f>
        <v>81-82</v>
      </c>
      <c r="AX31" s="19" t="str">
        <f t="shared" si="6"/>
        <v>!import-table-item --Misc-G --Tentacle Rod --2</v>
      </c>
      <c r="BB31" s="10"/>
      <c r="BG31" s="10"/>
      <c r="BQ31" s="10"/>
      <c r="BV31" s="10"/>
      <c r="CA31" s="10"/>
    </row>
    <row r="32" spans="4:79" x14ac:dyDescent="0.25">
      <c r="U32" s="21" t="s">
        <v>200</v>
      </c>
      <c r="V32" s="1" t="s">
        <v>1397</v>
      </c>
      <c r="W32" s="1">
        <v>2</v>
      </c>
      <c r="X32" s="10" t="str">
        <f>IF(W32=0,"-",IF(W32=1,SUM(W$1:W31)+1,SUM(W$1:W31)+1 &amp; "-" &amp; SUM(W$1:W32)))</f>
        <v>79-80</v>
      </c>
      <c r="Y32" s="19" t="str">
        <f t="shared" si="2"/>
        <v>!import-table-item --Arms-G --Mace of Terror --2</v>
      </c>
      <c r="AT32" s="21" t="s">
        <v>233</v>
      </c>
      <c r="AU32" s="1" t="s">
        <v>1397</v>
      </c>
      <c r="AV32" s="1">
        <v>2</v>
      </c>
      <c r="AW32" s="10" t="str">
        <f>IF(AV32=0,"-",IF(AV32=1,SUM(AV$1:AV31)+1,SUM(AV$1:AV31)+1 &amp; "-" &amp; SUM(AV$1:AV32)))</f>
        <v>83-84</v>
      </c>
      <c r="AX32" s="19" t="str">
        <f t="shared" si="6"/>
        <v>!import-table-item --Misc-G --Wand of Binding --2</v>
      </c>
    </row>
    <row r="33" spans="21:50" x14ac:dyDescent="0.25">
      <c r="U33" s="21" t="s">
        <v>1298</v>
      </c>
      <c r="V33" s="1" t="s">
        <v>1679</v>
      </c>
      <c r="W33" s="1">
        <v>2</v>
      </c>
      <c r="X33" s="10" t="str">
        <f>IF(W33=0,"-",IF(W33=1,SUM(W$1:W32)+1,SUM(W$1:W32)+1 &amp; "-" &amp; SUM(W$1:W33)))</f>
        <v>81-82</v>
      </c>
      <c r="Y33" s="19" t="str">
        <f t="shared" si="2"/>
        <v>!import-table-item --Arms-G --Magician's Judge --2</v>
      </c>
      <c r="AT33" s="21" t="s">
        <v>234</v>
      </c>
      <c r="AU33" s="1" t="s">
        <v>1397</v>
      </c>
      <c r="AV33" s="1">
        <v>2</v>
      </c>
      <c r="AW33" s="10" t="str">
        <f>IF(AV33=0,"-",IF(AV33=1,SUM(AV$1:AV32)+1,SUM(AV$1:AV32)+1 &amp; "-" &amp; SUM(AV$1:AV33)))</f>
        <v>85-86</v>
      </c>
      <c r="AX33" s="19" t="str">
        <f t="shared" si="6"/>
        <v>!import-table-item --Misc-G --Wand of Enemy Detection --2</v>
      </c>
    </row>
    <row r="34" spans="21:50" x14ac:dyDescent="0.25">
      <c r="U34" s="21" t="s">
        <v>1907</v>
      </c>
      <c r="V34" s="1" t="s">
        <v>1875</v>
      </c>
      <c r="W34" s="1">
        <v>2</v>
      </c>
      <c r="X34" s="10" t="str">
        <f>IF(W34=0,"-",IF(W34=1,SUM(W$1:W33)+1,SUM(W$1:W33)+1 &amp; "-" &amp; SUM(W$1:W34)))</f>
        <v>83-84</v>
      </c>
      <c r="Y34" s="19" t="str">
        <f t="shared" si="2"/>
        <v>!import-table-item --Arms-G --Ruinous Flail --2</v>
      </c>
      <c r="AT34" s="21" t="s">
        <v>235</v>
      </c>
      <c r="AU34" s="1" t="s">
        <v>1397</v>
      </c>
      <c r="AV34" s="1">
        <v>2</v>
      </c>
      <c r="AW34" s="10" t="str">
        <f>IF(AV34=0,"-",IF(AV34=1,SUM(AV$1:AV33)+1,SUM(AV$1:AV33)+1 &amp; "-" &amp; SUM(AV$1:AV34)))</f>
        <v>87-88</v>
      </c>
      <c r="AX34" s="19" t="str">
        <f t="shared" si="6"/>
        <v>!import-table-item --Misc-G --Wand of Fear --2</v>
      </c>
    </row>
    <row r="35" spans="21:50" x14ac:dyDescent="0.25">
      <c r="U35" s="21" t="s">
        <v>1313</v>
      </c>
      <c r="V35" s="1" t="s">
        <v>1466</v>
      </c>
      <c r="W35" s="1">
        <v>2</v>
      </c>
      <c r="X35" s="10" t="str">
        <f>IF(W35=0,"-",IF(W35=1,SUM(W$1:W34)+1,SUM(W$1:W34)+1 &amp; "-" &amp; SUM(W$1:W35)))</f>
        <v>85-86</v>
      </c>
      <c r="Y35" s="19" t="str">
        <f t="shared" si="2"/>
        <v>!import-table-item --Arms-G --Serpent's Fang --2</v>
      </c>
      <c r="AT35" s="21" t="s">
        <v>236</v>
      </c>
      <c r="AU35" s="1" t="s">
        <v>1397</v>
      </c>
      <c r="AV35" s="1">
        <v>2</v>
      </c>
      <c r="AW35" s="10" t="str">
        <f>IF(AV35=0,"-",IF(AV35=1,SUM(AV$1:AV34)+1,SUM(AV$1:AV34)+1 &amp; "-" &amp; SUM(AV$1:AV35)))</f>
        <v>89-90</v>
      </c>
      <c r="AX35" s="19" t="str">
        <f t="shared" si="6"/>
        <v>!import-table-item --Misc-G --Wand of Fireballs --2</v>
      </c>
    </row>
    <row r="36" spans="21:50" x14ac:dyDescent="0.25">
      <c r="U36" s="30" t="s">
        <v>1708</v>
      </c>
      <c r="V36" s="1" t="s">
        <v>1403</v>
      </c>
      <c r="W36" s="1">
        <v>2</v>
      </c>
      <c r="X36" s="10" t="str">
        <f>IF(W36=0,"-",IF(W36=1,SUM(W$1:W35)+1,SUM(W$1:W35)+1 &amp; "-" &amp; SUM(W$1:W36)))</f>
        <v>87-88</v>
      </c>
      <c r="Y36" s="19" t="str">
        <f t="shared" si="2"/>
        <v>!import-table-item --Arms-G --Stirring Dragon's Wrath [[ 1t[Dragon-Breath] ]] [[ 1t[Weapons] ]] --2</v>
      </c>
      <c r="AT36" s="21" t="s">
        <v>237</v>
      </c>
      <c r="AU36" s="1" t="s">
        <v>1397</v>
      </c>
      <c r="AV36" s="1">
        <v>2</v>
      </c>
      <c r="AW36" s="10" t="str">
        <f>IF(AV36=0,"-",IF(AV36=1,SUM(AV$1:AV35)+1,SUM(AV$1:AV35)+1 &amp; "-" &amp; SUM(AV$1:AV36)))</f>
        <v>91-92</v>
      </c>
      <c r="AX36" s="19" t="str">
        <f t="shared" si="6"/>
        <v>!import-table-item --Misc-G --Wand of Lightning Bolts --2</v>
      </c>
    </row>
    <row r="37" spans="21:50" x14ac:dyDescent="0.25">
      <c r="U37" s="21" t="s">
        <v>1325</v>
      </c>
      <c r="V37" s="1" t="s">
        <v>1679</v>
      </c>
      <c r="W37" s="1">
        <v>2</v>
      </c>
      <c r="X37" s="10" t="str">
        <f>IF(W37=0,"-",IF(W37=1,SUM(W$1:W36)+1,SUM(W$1:W36)+1 &amp; "-" &amp; SUM(W$1:W37)))</f>
        <v>89-90</v>
      </c>
      <c r="Y37" s="19" t="str">
        <f t="shared" si="2"/>
        <v>!import-table-item --Arms-G --Summer's Dance --2</v>
      </c>
      <c r="AT37" s="21" t="s">
        <v>238</v>
      </c>
      <c r="AU37" s="1" t="s">
        <v>1397</v>
      </c>
      <c r="AV37" s="1">
        <v>2</v>
      </c>
      <c r="AW37" s="10" t="str">
        <f>IF(AV37=0,"-",IF(AV37=1,SUM(AV$1:AV36)+1,SUM(AV$1:AV36)+1 &amp; "-" &amp; SUM(AV$1:AV37)))</f>
        <v>93-94</v>
      </c>
      <c r="AX37" s="19" t="str">
        <f t="shared" si="6"/>
        <v>!import-table-item --Misc-G --Wand of Paralysis --2</v>
      </c>
    </row>
    <row r="38" spans="21:50" x14ac:dyDescent="0.25">
      <c r="U38" s="21" t="s">
        <v>228</v>
      </c>
      <c r="V38" s="1" t="s">
        <v>1397</v>
      </c>
      <c r="W38" s="1">
        <v>2</v>
      </c>
      <c r="X38" s="10" t="str">
        <f>IF(W38=0,"-",IF(W38=1,SUM(W$1:W37)+1,SUM(W$1:W37)+1 &amp; "-" &amp; SUM(W$1:W38)))</f>
        <v>91-92</v>
      </c>
      <c r="Y38" s="19" t="str">
        <f t="shared" si="2"/>
        <v>!import-table-item --Arms-G --Sun Blade --2</v>
      </c>
      <c r="AT38" s="21" t="s">
        <v>1329</v>
      </c>
      <c r="AU38" s="1" t="s">
        <v>1482</v>
      </c>
      <c r="AV38" s="1">
        <v>2</v>
      </c>
      <c r="AW38" s="10" t="str">
        <f>IF(AV38=0,"-",IF(AV38=1,SUM(AV$1:AV37)+1,SUM(AV$1:AV37)+1 &amp; "-" &amp; SUM(AV$1:AV38)))</f>
        <v>95-96</v>
      </c>
      <c r="AX38" s="19" t="str">
        <f t="shared" si="6"/>
        <v>!import-table-item --Misc-G --Wand of Winter --2</v>
      </c>
    </row>
    <row r="39" spans="21:50" x14ac:dyDescent="0.25">
      <c r="U39" s="21" t="s">
        <v>1326</v>
      </c>
      <c r="V39" s="1" t="s">
        <v>1424</v>
      </c>
      <c r="W39" s="1">
        <v>2</v>
      </c>
      <c r="X39" s="10" t="str">
        <f>IF(W39=0,"-",IF(W39=1,SUM(W$1:W38)+1,SUM(W$1:W38)+1 &amp; "-" &amp; SUM(W$1:W39)))</f>
        <v>93-94</v>
      </c>
      <c r="Y39" s="19" t="str">
        <f t="shared" si="2"/>
        <v>!import-table-item --Arms-G --Sunforger --2</v>
      </c>
      <c r="AT39" s="21" t="s">
        <v>240</v>
      </c>
      <c r="AU39" s="1" t="s">
        <v>1397</v>
      </c>
      <c r="AV39" s="1">
        <v>2</v>
      </c>
      <c r="AW39" s="10" t="str">
        <f>IF(AV39=0,"-",IF(AV39=1,SUM(AV$1:AV38)+1,SUM(AV$1:AV38)+1 &amp; "-" &amp; SUM(AV$1:AV39)))</f>
        <v>97-98</v>
      </c>
      <c r="AX39" s="19" t="str">
        <f t="shared" si="6"/>
        <v>!import-table-item --Misc-G --Wand of Wonder --2</v>
      </c>
    </row>
    <row r="40" spans="21:50" x14ac:dyDescent="0.25">
      <c r="U40" s="21" t="s">
        <v>1913</v>
      </c>
      <c r="V40" s="1" t="s">
        <v>1875</v>
      </c>
      <c r="W40" s="1">
        <v>2</v>
      </c>
      <c r="X40" s="10" t="str">
        <f>IF(W40=0,"-",IF(W40=1,SUM(W$1:W39)+1,SUM(W$1:W39)+1 &amp; "-" &amp; SUM(W$1:W40)))</f>
        <v>95-96</v>
      </c>
      <c r="Y40" s="19" t="str">
        <f t="shared" si="2"/>
        <v>!import-table-item --Arms-G --Warrior's Passkey --2</v>
      </c>
      <c r="AT40" s="21" t="s">
        <v>241</v>
      </c>
      <c r="AU40" s="1" t="s">
        <v>1397</v>
      </c>
      <c r="AV40" s="1">
        <v>2</v>
      </c>
      <c r="AW40" s="10" t="str">
        <f>IF(AV40=0,"-",IF(AV40=1,SUM(AV$1:AV39)+1,SUM(AV$1:AV39)+1 &amp; "-" &amp; SUM(AV$1:AV40)))</f>
        <v>99-100</v>
      </c>
      <c r="AX40" s="19" t="str">
        <f t="shared" si="6"/>
        <v>!import-table-item --Misc-G --Wings of Flying --2</v>
      </c>
    </row>
    <row r="41" spans="21:50" x14ac:dyDescent="0.25">
      <c r="U41" s="21" t="s">
        <v>1333</v>
      </c>
      <c r="V41" s="1" t="s">
        <v>1414</v>
      </c>
      <c r="W41" s="1">
        <v>2</v>
      </c>
      <c r="X41" s="10" t="str">
        <f>IF(W41=0,"-",IF(W41=1,SUM(W$1:W40)+1,SUM(W$1:W40)+1 &amp; "-" &amp; SUM(W$1:W41)))</f>
        <v>97-98</v>
      </c>
      <c r="Y41" s="19" t="str">
        <f t="shared" si="2"/>
        <v>!import-table-item --Arms-G --Woodcutter's Axe --2</v>
      </c>
    </row>
    <row r="42" spans="21:50" x14ac:dyDescent="0.25">
      <c r="U42" s="21" t="s">
        <v>1897</v>
      </c>
      <c r="V42" s="1" t="s">
        <v>1875</v>
      </c>
      <c r="W42" s="1">
        <v>2</v>
      </c>
      <c r="X42" s="10" t="str">
        <f>IF(W42=0,"-",IF(W42=1,SUM(W$1:W41)+1,SUM(W$1:W41)+1 &amp; "-" &amp; SUM(W$1:W42)))</f>
        <v>99-100</v>
      </c>
      <c r="Y42" s="19" t="str">
        <f t="shared" si="2"/>
        <v>!import-table-item --Arms-G --Wraps of Unarmed Prowess, +2 --2</v>
      </c>
    </row>
    <row r="43" spans="21:50" x14ac:dyDescent="0.25">
      <c r="U43" s="30" t="s">
        <v>1509</v>
      </c>
      <c r="V43" s="1" t="s">
        <v>1397</v>
      </c>
      <c r="W43" s="1">
        <v>0</v>
      </c>
      <c r="X43" s="10" t="str">
        <f>IF(W43=0,"-",IF(W43=1,SUM(W$1:W42)+1,SUM(W$1:W42)+1 &amp; "-" &amp; SUM(W$1:W43)))</f>
        <v>-</v>
      </c>
      <c r="Y43" s="19" t="str">
        <f t="shared" si="2"/>
        <v>!import-table-item --Arms-G --Berserker [[ 1t[Axes] ]] --0</v>
      </c>
    </row>
  </sheetData>
  <sortState xmlns:xlrd2="http://schemas.microsoft.com/office/spreadsheetml/2017/richdata2" ref="F2:J46">
    <sortCondition descending="1" ref="H2:H46"/>
  </sortState>
  <hyperlinks>
    <hyperlink ref="A2" location="'Table G Major Rare'!F:J" display="[[ 1t[Apparel-G] ]]" xr:uid="{B020FBCB-45DD-4633-B2FD-0FB2A1A7ECB8}"/>
    <hyperlink ref="A3" location="'Table G Major Rare'!K:O" display="[[ 1t[Armor-G] ]]" xr:uid="{783DB252-6E4A-42F9-9221-4D5BEC085C25}"/>
    <hyperlink ref="A4" location="'Table G Major Rare'!U:Y" display="[[ 1t[Arms-G] ]]" xr:uid="{CE9CFEBE-9D5D-4238-977F-7252A8393A33}"/>
    <hyperlink ref="A5" location="'Table G Major Rare'!AE:AI" display="[[ 1t[Jewelry-G] ]]" xr:uid="{E29898DB-BDC5-4AF5-AF44-690D648FFE78}"/>
    <hyperlink ref="A6" location="'Table G Major Rare'!AT:AX" display="[[ 1t[Misc-G] ]]" xr:uid="{9B438454-030F-4BD7-BBBE-3A47BB9DEC28}"/>
    <hyperlink ref="A7" location="'Table G Major Rare'!BI:BM" display="[[ 1t[Spellcaster-G] ]]" xr:uid="{50E81D0B-5649-4D45-8F88-61B96FA94610}"/>
    <hyperlink ref="K9" location="'Table G Major Rare'!P:T" display="Molten Bronze Skin [[ 1t[Molten-Armor-G] ]]" xr:uid="{5571565B-0DE5-4A51-96A3-564DDB982439}"/>
    <hyperlink ref="U26" location="'Table G Major Rare'!Z:AD" display="Giant Slayer [[ 1t[Giant-Slayer-G] ]]" xr:uid="{BF4478C7-06F0-417F-BB35-98B8BE2C542F}"/>
    <hyperlink ref="AE2" location="'Table G Major Rare'!AJ:AN" display="Ring of [[ 1t[Damage-Type-Gem-G] ]]" xr:uid="{02AE8558-B3FF-4D43-A008-EE97C3CC0B2A}"/>
    <hyperlink ref="AE3" location="'Table G Major Rare'!AO:AS" display="[[ 1t[Ioun-Stone-H] ]]" xr:uid="{206FDAED-20F0-403F-B45C-978D134193D6}"/>
    <hyperlink ref="AT17" location="'Table G Major Rare'!AY:BC" display="[[ 1t[Figurine-of-Wondrous-Power-G] ]]" xr:uid="{43B3F664-DC67-4A00-A823-08CB69B9C635}"/>
    <hyperlink ref="AT18" location="'Table G Major Rare'!BD:BH" display="[[ 1t[Horn-of-Valhalla-G] ]] Horn of Valhalla" xr:uid="{78778050-B5A0-46E0-A7C6-7F2BA42E1140}"/>
    <hyperlink ref="BI2" location="'Table G Major Rare'!BN:BR" display="[[ 1t[Sorcerer-G] ]]" xr:uid="{25EC6C12-01BF-41A4-BC08-39ACC3AA242B}"/>
    <hyperlink ref="BI3" location="'Table G Major Rare'!BS:BW" display="[[ 1t[Wizard-G] ]]" xr:uid="{0BBC111B-F259-40C5-8CCA-26547798FF7E}"/>
    <hyperlink ref="BI4" location="'Table G Major Rare'!BX:CB" display="[[ 1t[Bard-G] ]]" xr:uid="{136BD99E-9C22-4311-8B59-B12BBE31FF16}"/>
    <hyperlink ref="K2" location="'Supplemental Types'!A1" display="[[ 1t[Armor] ]] of [[ 1t[Damage-Type] ]] Resistance" xr:uid="{7E16E4FD-C587-46FF-96E2-83A66424B771}"/>
    <hyperlink ref="K3" location="'Supplemental Types'!B:F" display="[[ 1t[Armor] ]], +1" xr:uid="{8FFDE069-0446-4014-9C4B-EB26171272D3}"/>
    <hyperlink ref="K10" location="'Supplemental Types'!G:K" display="Zephyr [[ 1t[Light-Armor] ]]" xr:uid="{6DF46FEC-3DB7-45FA-822A-62E2425C6906}"/>
    <hyperlink ref="K16" location="'Supplemental Types'!Q:U" display="[[ 1t[Heavy-Armor] ]] of Vulnerability" xr:uid="{39436245-B5A3-4F28-8C1A-10647D4F7E52}"/>
    <hyperlink ref="U2" location="'Supplemental Types'!AA:AE" display="[[ 1t[Weapons] ]], +2" xr:uid="{5A20F9A7-76C6-4E88-B9A1-989A74B776B9}"/>
    <hyperlink ref="U14" location="'Supplemental Types'!BE:BI" display="[[ 1t[Swords] ]] of Life Stealing" xr:uid="{DB925FD1-0CC7-4282-91DE-5ED361ABB0A4}"/>
    <hyperlink ref="U15" location="'Supplemental Types'!BE:BI" display="[[ 1t[Swords] ]] of Wounding" xr:uid="{E62867E4-B08B-47E0-9947-66A3AB70368E}"/>
    <hyperlink ref="U16" location="'Supplemental Types'!AA:AE" display="[[ 1t[Weapons] ]] of Certain Death" xr:uid="{C557A986-29BA-4004-95E5-A1CE611D3A54}"/>
    <hyperlink ref="U17" location="'Supplemental Types'!BE:BI" display="Acheron [[ 1t[Swords] ]]" xr:uid="{856F0297-0DA5-4F8C-9B57-E2733EAE2CF5}"/>
    <hyperlink ref="U19" location="'Supplemental Types'!BE:BI" display="Crystal [[ 1t[Swords] ]]" xr:uid="{73EFA9D2-9006-4E83-8240-584718D13C5B}"/>
    <hyperlink ref="U23" location="'Supplemental Types'!BE:BI" display="Flame Tongue [[ 1t[Swords] ]]" xr:uid="{6124B7C3-2F91-4161-A796-7C228508C82F}"/>
    <hyperlink ref="U25" location="'Supplemental Types'!BE:BI" display="Frost Brand [[ 1t[Swords] ]]" xr:uid="{C1D22AC7-D3C4-458B-A6EE-26DCE1BBC059}"/>
    <hyperlink ref="U9" location="'Supplemental Types'!BT:BX" display="Oceanic [[ 1t[Ranged] ]]" xr:uid="{AB239391-7A28-4223-BB21-773FE5B63048}"/>
    <hyperlink ref="U36" location="'Supplemental Types'!A1" display="Stirring Dragon's Wrath [[ 1t[Dragon-Breath] ]] [[ 1t[Weapons] ]]" xr:uid="{536F25B3-C8D5-478D-BB5A-ACABB395C89F}"/>
    <hyperlink ref="U18" location="'Supplemental Types'!AA:AE" display="Corpse Slayer [[ 1t[Weapons] ]]" xr:uid="{44B6A1BF-1F2B-4EA0-8ECE-892592F95C93}"/>
    <hyperlink ref="U22" location="'Supplemental Types'!BE:BI" display="Dragon Slayer [[ 1t[Swords] ]]" xr:uid="{8DD902C3-1B9A-49A9-9BE8-876E14884ADC}"/>
    <hyperlink ref="U43" location="'Supplemental Types'!BJ:BN" display="Berserker [[ 1t[Axes] ]]" xr:uid="{22BB7E49-23E3-4109-BF36-FF6C805ADE1F}"/>
    <hyperlink ref="Z2" location="'Supplemental Types'!BJ:BN" display="[[ 1t[Axes] ]]" xr:uid="{054E9A48-5C8F-4603-8FA9-428BB1E11347}"/>
    <hyperlink ref="Z3" location="'Supplemental Types'!BE:BI" display="[[ 1t[Swords] ]]" xr:uid="{5C8143AD-3C3B-477F-8916-32A5ED1A82D9}"/>
    <hyperlink ref="BI14" location="'Supplemental Types'!CN:CR" display="Stirring [[ 1t[FTD-Dragons] ]]-Dragon-Touched Focus" xr:uid="{57637DDC-3F42-496A-9896-0E15BB289BB9}"/>
    <hyperlink ref="U13" location="'Supplemental Types'!BO:BS" display="[[ 1t[Bows] ]] of Conflagration" xr:uid="{20A18DEC-337D-4F0C-9766-A23B9CD9FF5C}"/>
    <hyperlink ref="U7" location="'Supplemental Types'!BO:BS" display="Glimmering Moon [[ 1t[Bows] ]]" xr:uid="{397139DE-2122-4A11-9BFE-DC3F5FE9F7C3}"/>
    <hyperlink ref="U11" location="'Supplemental Types'!BO:BS" display="Starshot [[ 1t[Bows] ]]" xr:uid="{3BFDA0B5-6173-4224-A29B-DDBFF9D4415C}"/>
    <hyperlink ref="K6" location="'Supplemental Types'!B:F" display="Feywrought [[ 1t[Armor] ]]" xr:uid="{8DF4929B-A299-4AEF-A1A2-DC71CD982A2C}"/>
    <hyperlink ref="K8" location="'Supplemental Types'!B:F" display="Gloomwrought Armor [[ 1t[Armor] ]]" xr:uid="{072471F6-2BE6-4BC8-BAE7-55094AC1A55A}"/>
    <hyperlink ref="K17" location="'Supplemental Types'!B:F" display="Voidwalker [[ 1t[Armor] ]]" xr:uid="{BB89ED42-C375-4170-AED6-FFD12D315033}"/>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1520-E259-7241-864E-45C838C05136}">
  <dimension ref="A1:AD31"/>
  <sheetViews>
    <sheetView topLeftCell="J1" workbookViewId="0">
      <selection activeCell="P4" sqref="P4"/>
    </sheetView>
  </sheetViews>
  <sheetFormatPr defaultColWidth="11.43359375" defaultRowHeight="18.75" x14ac:dyDescent="0.25"/>
  <cols>
    <col min="1" max="1" width="27.7109375" style="6" bestFit="1" customWidth="1"/>
    <col min="2" max="2" width="8.875" style="6" bestFit="1" customWidth="1"/>
    <col min="3" max="3" width="9.14453125" style="6" bestFit="1" customWidth="1"/>
    <col min="4" max="4" width="9.28125" style="6" bestFit="1" customWidth="1"/>
    <col min="5" max="5" width="80.30859375" style="6" bestFit="1" customWidth="1"/>
    <col min="6" max="6" width="38.47265625" style="6" bestFit="1" customWidth="1"/>
    <col min="7" max="7" width="8.875" style="6" bestFit="1" customWidth="1"/>
    <col min="8" max="8" width="9.14453125" style="6" bestFit="1" customWidth="1"/>
    <col min="9" max="9" width="4.16796875" style="6" bestFit="1" customWidth="1"/>
    <col min="10" max="10" width="84.8828125" style="6" bestFit="1" customWidth="1"/>
    <col min="11" max="11" width="34.16796875" style="6" bestFit="1" customWidth="1"/>
    <col min="12" max="12" width="8.875" style="6" bestFit="1" customWidth="1"/>
    <col min="13" max="13" width="9.14453125" style="6" bestFit="1" customWidth="1"/>
    <col min="14" max="14" width="4.9765625" style="6" bestFit="1" customWidth="1"/>
    <col min="15" max="15" width="81.38671875" style="6" bestFit="1" customWidth="1"/>
    <col min="16" max="16" width="38.47265625" style="6" bestFit="1" customWidth="1"/>
    <col min="17" max="17" width="8.875" style="6" bestFit="1" customWidth="1"/>
    <col min="18" max="18" width="9.14453125" style="6" bestFit="1" customWidth="1"/>
    <col min="19" max="19" width="5.37890625" style="6" bestFit="1" customWidth="1"/>
    <col min="20" max="20" width="77.08203125" style="6" bestFit="1" customWidth="1"/>
    <col min="21" max="21" width="39.01171875" style="6" bestFit="1" customWidth="1"/>
    <col min="22" max="22" width="8.875" style="6" bestFit="1" customWidth="1"/>
    <col min="23" max="23" width="9.14453125" style="6" bestFit="1" customWidth="1"/>
    <col min="24" max="24" width="5.37890625" style="6" bestFit="1" customWidth="1"/>
    <col min="25" max="25" width="79.90625" style="6" bestFit="1" customWidth="1"/>
    <col min="26" max="26" width="50.84765625" style="6" bestFit="1" customWidth="1"/>
    <col min="27" max="27" width="8.875" style="6" bestFit="1" customWidth="1"/>
    <col min="28" max="28" width="9.14453125" style="6" bestFit="1" customWidth="1"/>
    <col min="29" max="29" width="5.37890625" style="6" bestFit="1" customWidth="1"/>
    <col min="30" max="30" width="89.45703125" style="6" bestFit="1" customWidth="1"/>
    <col min="31" max="16384" width="11.43359375" style="6"/>
  </cols>
  <sheetData>
    <row r="1" spans="1:30" s="4" customFormat="1" x14ac:dyDescent="0.25">
      <c r="A1" s="4" t="s">
        <v>3</v>
      </c>
      <c r="B1" s="4" t="s">
        <v>1396</v>
      </c>
      <c r="C1" s="4" t="s">
        <v>9</v>
      </c>
      <c r="D1" s="4" t="str">
        <f>"d" &amp; SUM(C:C)</f>
        <v>d100</v>
      </c>
      <c r="E1" s="13" t="str">
        <f>"!import-table --" &amp; A1 &amp; " --show"</f>
        <v>!import-table --Magic-Item-Table-D --show</v>
      </c>
      <c r="F1" s="4" t="s">
        <v>1505</v>
      </c>
      <c r="G1" s="4" t="s">
        <v>1396</v>
      </c>
      <c r="H1" s="4" t="s">
        <v>9</v>
      </c>
      <c r="I1" s="4" t="str">
        <f>"d" &amp; SUM(H:H)</f>
        <v>d4</v>
      </c>
      <c r="J1" s="13" t="str">
        <f>"!import-table --" &amp; F1 &amp; " --show"</f>
        <v>!import-table --Ammunition-D --show</v>
      </c>
      <c r="K1" s="4" t="s">
        <v>1386</v>
      </c>
      <c r="L1" s="4" t="s">
        <v>1396</v>
      </c>
      <c r="M1" s="4" t="s">
        <v>9</v>
      </c>
      <c r="N1" s="4" t="str">
        <f>"d" &amp; SUM(M:M)</f>
        <v>d6</v>
      </c>
      <c r="O1" s="13" t="str">
        <f>"!import-table --" &amp; K1 &amp; " --show"</f>
        <v>!import-table --Consumables-D --show</v>
      </c>
      <c r="P1" s="4" t="s">
        <v>1385</v>
      </c>
      <c r="Q1" s="4" t="s">
        <v>1396</v>
      </c>
      <c r="R1" s="4" t="s">
        <v>9</v>
      </c>
      <c r="S1" s="4" t="str">
        <f>"d" &amp; SUM(R:R)</f>
        <v>d12</v>
      </c>
      <c r="T1" s="13" t="str">
        <f>"!import-table --" &amp; P1 &amp; " --show"</f>
        <v>!import-table --Items-D --show</v>
      </c>
      <c r="U1" s="4" t="s">
        <v>1391</v>
      </c>
      <c r="V1" s="4" t="s">
        <v>1396</v>
      </c>
      <c r="W1" s="4" t="s">
        <v>9</v>
      </c>
      <c r="X1" s="4" t="str">
        <f>"d" &amp; SUM(W:W)</f>
        <v>d12</v>
      </c>
      <c r="Y1" s="13" t="str">
        <f>"!import-table --" &amp; U1 &amp; " --show"</f>
        <v>!import-table --Potions-D --show</v>
      </c>
      <c r="Z1" s="4" t="s">
        <v>1387</v>
      </c>
      <c r="AA1" s="4" t="s">
        <v>1396</v>
      </c>
      <c r="AB1" s="4" t="s">
        <v>9</v>
      </c>
      <c r="AC1" s="4" t="str">
        <f>"d" &amp; SUM(AB:AB)</f>
        <v>d12</v>
      </c>
      <c r="AD1" s="13" t="str">
        <f>"!import-table --" &amp; Z1 &amp; " --show"</f>
        <v>!import-table --Spells-D --show</v>
      </c>
    </row>
    <row r="2" spans="1:30" x14ac:dyDescent="0.25">
      <c r="A2" s="24" t="s">
        <v>1506</v>
      </c>
      <c r="C2" s="6">
        <v>10</v>
      </c>
      <c r="D2" s="9" t="str">
        <f>IF(C2=0,"-",IF(C2=1,SUM(C$1:C1)+1,SUM(C$1:C1)+1 &amp; "-" &amp; SUM(C$1:C2)))</f>
        <v>1-10</v>
      </c>
      <c r="E2" s="6" t="str">
        <f>"!import-table-item --" &amp; A$1 &amp; " --" &amp; A2 &amp; " --" &amp; C2</f>
        <v>!import-table-item --Magic-Item-Table-D --[[ 1t[Ammunition-D] ]] --10</v>
      </c>
      <c r="F2" s="26" t="s">
        <v>1081</v>
      </c>
      <c r="G2" s="6" t="s">
        <v>1397</v>
      </c>
      <c r="H2" s="6">
        <v>1</v>
      </c>
      <c r="I2" s="9">
        <f>IF(H2=0,"-",IF(H2=1,SUM(H$1:H1)+1,SUM(H$1:H1)+1 &amp; "-" &amp; SUM(H$1:H2)))</f>
        <v>1</v>
      </c>
      <c r="J2" s="6" t="str">
        <f>"!import-table-item --" &amp; F$1 &amp; " --" &amp; F2 &amp; " --" &amp; H2</f>
        <v>!import-table-item --Ammunition-D --[[ 1t[Ammunition] ]], +3 --1</v>
      </c>
      <c r="K2" s="6" t="s">
        <v>1425</v>
      </c>
      <c r="L2" s="6" t="s">
        <v>1409</v>
      </c>
      <c r="M2" s="6">
        <v>2</v>
      </c>
      <c r="N2" s="9" t="str">
        <f>IF(M2=0,"-",IF(M2=1,SUM(M$1:M1)+1,SUM(M$1:M1)+1 &amp; "-" &amp; SUM(M$1:M2)))</f>
        <v>1-2</v>
      </c>
      <c r="O2" s="6" t="str">
        <f>"!import-table-item --" &amp; K$1 &amp; " --" &amp; K2 &amp; " --" &amp; M2</f>
        <v>!import-table-item --Consumables-D --Dispelling Stone --2</v>
      </c>
      <c r="P2" s="6" t="s">
        <v>1405</v>
      </c>
      <c r="Q2" s="9" t="s">
        <v>1483</v>
      </c>
      <c r="R2" s="6">
        <v>2</v>
      </c>
      <c r="S2" s="9" t="str">
        <f>IF(R2=0,"-",IF(R2=1,SUM(R$1:R1)+1,SUM(R$1:R1)+1 &amp; "-" &amp; SUM(R$1:R2)))</f>
        <v>1-2</v>
      </c>
      <c r="T2" s="6" t="str">
        <f t="shared" ref="T2:T10" si="0">"!import-table-item --" &amp; P$1 &amp; " --" &amp; P2 &amp; " --" &amp; R2</f>
        <v>!import-table-item --Items-D --Abracadabrus --2</v>
      </c>
      <c r="U2" s="9" t="s">
        <v>77</v>
      </c>
      <c r="V2" s="9" t="s">
        <v>1397</v>
      </c>
      <c r="W2" s="6">
        <v>4</v>
      </c>
      <c r="X2" s="9" t="str">
        <f>IF(W2=0,"-",IF(W2=1,SUM(W$1:W1)+1,SUM(W$1:W1)+1 &amp; "-" &amp; SUM(W$1:W2)))</f>
        <v>1-4</v>
      </c>
      <c r="Y2" s="6" t="str">
        <f t="shared" ref="Y2:Y10" si="1">"!import-table-item --" &amp; U$1 &amp; " --" &amp; U2 &amp; " --" &amp; W2</f>
        <v>!import-table-item --Potions-D --Potion of Supreme Healing --4</v>
      </c>
      <c r="Z2" s="24" t="s">
        <v>395</v>
      </c>
      <c r="AA2" s="9" t="s">
        <v>1397</v>
      </c>
      <c r="AB2" s="6">
        <v>4</v>
      </c>
      <c r="AC2" s="9" t="str">
        <f>IF(AB2=0,"-",IF(AB2=1,SUM(AB$1:AB1)+1,SUM(AB$1:AB1)+1 &amp; "-" &amp; SUM(AB$1:AB2)))</f>
        <v>1-4</v>
      </c>
      <c r="AD2" s="6" t="str">
        <f t="shared" ref="AD2:AD4" si="2">"!import-table-item --" &amp; Z$1 &amp; " --" &amp; Z2 &amp; " --" &amp; AB2</f>
        <v>!import-table-item --Spells-D --Spell Scroll ([[ 1t[Spells-Level-6] ]]) --4</v>
      </c>
    </row>
    <row r="3" spans="1:30" x14ac:dyDescent="0.25">
      <c r="A3" s="24" t="s">
        <v>1394</v>
      </c>
      <c r="C3" s="6">
        <v>5</v>
      </c>
      <c r="D3" s="9" t="str">
        <f>IF(C3=0,"-",IF(C3=1,SUM(C$1:C2)+1,SUM(C$1:C2)+1 &amp; "-" &amp; SUM(C$1:C3)))</f>
        <v>11-15</v>
      </c>
      <c r="E3" s="6" t="str">
        <f>"!import-table-item --" &amp; A$1 &amp; " --" &amp; A3 &amp; " --" &amp; C3</f>
        <v>!import-table-item --Magic-Item-Table-D --[[ 1t[Consumables-D] ]] --5</v>
      </c>
      <c r="F3" s="24" t="s">
        <v>1943</v>
      </c>
      <c r="G3" s="6" t="s">
        <v>1875</v>
      </c>
      <c r="H3" s="6">
        <v>1</v>
      </c>
      <c r="I3" s="9">
        <f>IF(H3=0,"-",IF(H3=1,SUM(H$1:H2)+1,SUM(H$1:H2)+1 &amp; "-" &amp; SUM(H$1:H3)))</f>
        <v>2</v>
      </c>
      <c r="J3" s="6" t="str">
        <f>"!import-table-item --" &amp; F$1 &amp; " --" &amp; F3 &amp; " --" &amp; H3</f>
        <v>!import-table-item --Ammunition-D --Bloodseeker [[ 1t[Ammunition] ]] --1</v>
      </c>
      <c r="K3" s="6" t="s">
        <v>82</v>
      </c>
      <c r="L3" s="9" t="s">
        <v>1397</v>
      </c>
      <c r="M3" s="6">
        <v>2</v>
      </c>
      <c r="N3" s="9" t="str">
        <f>IF(M3=0,"-",IF(M3=1,SUM(M$1:M2)+1,SUM(M$1:M2)+1 &amp; "-" &amp; SUM(M$1:M3)))</f>
        <v>3-4</v>
      </c>
      <c r="O3" s="6" t="str">
        <f>"!import-table-item --" &amp; K$1 &amp; " --" &amp; K3 &amp; " --" &amp; M3</f>
        <v>!import-table-item --Consumables-D --Oil of Sharpness --2</v>
      </c>
      <c r="P3" s="6" t="s">
        <v>1430</v>
      </c>
      <c r="Q3" s="6" t="s">
        <v>1431</v>
      </c>
      <c r="R3" s="6">
        <v>2</v>
      </c>
      <c r="S3" s="9" t="str">
        <f>IF(R3=0,"-",IF(R3=1,SUM(R$1:R2)+1,SUM(R$1:R2)+1 &amp; "-" &amp; SUM(R$1:R3)))</f>
        <v>3-4</v>
      </c>
      <c r="T3" s="6" t="str">
        <f t="shared" si="0"/>
        <v>!import-table-item --Items-D --Fish Suit --2</v>
      </c>
      <c r="U3" s="6" t="s">
        <v>84</v>
      </c>
      <c r="V3" s="9" t="s">
        <v>1397</v>
      </c>
      <c r="W3" s="6">
        <v>1</v>
      </c>
      <c r="X3" s="9">
        <f>IF(W3=0,"-",IF(W3=1,SUM(W$1:W2)+1,SUM(W$1:W2)+1 &amp; "-" &amp; SUM(W$1:W3)))</f>
        <v>5</v>
      </c>
      <c r="Y3" s="6" t="str">
        <f t="shared" si="1"/>
        <v>!import-table-item --Potions-D --Potion of Cloud Giant Strength --1</v>
      </c>
      <c r="Z3" s="24" t="s">
        <v>396</v>
      </c>
      <c r="AA3" s="9" t="s">
        <v>1397</v>
      </c>
      <c r="AB3" s="6">
        <v>3</v>
      </c>
      <c r="AC3" s="9" t="str">
        <f>IF(AB3=0,"-",IF(AB3=1,SUM(AB$1:AB2)+1,SUM(AB$1:AB2)+1 &amp; "-" &amp; SUM(AB$1:AB3)))</f>
        <v>5-7</v>
      </c>
      <c r="AD3" s="6" t="str">
        <f t="shared" si="2"/>
        <v>!import-table-item --Spells-D --Spell Scroll ([[ 1t[Spells-Level-7] ]]) --3</v>
      </c>
    </row>
    <row r="4" spans="1:30" x14ac:dyDescent="0.25">
      <c r="A4" s="24" t="s">
        <v>1395</v>
      </c>
      <c r="C4" s="6">
        <v>15</v>
      </c>
      <c r="D4" s="9" t="str">
        <f>IF(C4=0,"-",IF(C4=1,SUM(C$1:C3)+1,SUM(C$1:C3)+1 &amp; "-" &amp; SUM(C$1:C4)))</f>
        <v>16-30</v>
      </c>
      <c r="E4" s="6" t="str">
        <f>"!import-table-item --" &amp; A$1 &amp; " --" &amp; A4 &amp; " --" &amp; C4</f>
        <v>!import-table-item --Magic-Item-Table-D --[[ 1t[Items-D] ]] --15</v>
      </c>
      <c r="F4" s="6" t="s">
        <v>1418</v>
      </c>
      <c r="G4" s="6" t="s">
        <v>1679</v>
      </c>
      <c r="H4" s="6">
        <v>1</v>
      </c>
      <c r="I4" s="9">
        <f>IF(H4=0,"-",IF(H4=1,SUM(H$1:H3)+1,SUM(H$1:H3)+1 &amp; "-" &amp; SUM(H$1:H4)))</f>
        <v>3</v>
      </c>
      <c r="J4" s="6" t="str">
        <f>"!import-table-item --" &amp; F$1 &amp; " --" &amp; F4 &amp; " --" &amp; H4</f>
        <v>!import-table-item --Ammunition-D --Cataclysm Bolts --1</v>
      </c>
      <c r="K4" s="6" t="s">
        <v>90</v>
      </c>
      <c r="L4" s="9" t="s">
        <v>1397</v>
      </c>
      <c r="M4" s="6">
        <v>1</v>
      </c>
      <c r="N4" s="9">
        <f>IF(M4=0,"-",IF(M4=1,SUM(M$1:M3)+1,SUM(M$1:M3)+1 &amp; "-" &amp; SUM(M$1:M4)))</f>
        <v>5</v>
      </c>
      <c r="O4" s="6" t="str">
        <f>"!import-table-item --" &amp; K$1 &amp; " --" &amp; K4 &amp; " --" &amp; M4</f>
        <v>!import-table-item --Consumables-D --Nolzur's Marvelous Pigments --1</v>
      </c>
      <c r="P4" s="6" t="s">
        <v>89</v>
      </c>
      <c r="Q4" s="9" t="s">
        <v>1397</v>
      </c>
      <c r="R4" s="6">
        <v>2</v>
      </c>
      <c r="S4" s="9" t="str">
        <f>IF(R4=0,"-",IF(R4=1,SUM(R$1:R3)+1,SUM(R$1:R3)+1 &amp; "-" &amp; SUM(R$1:R4)))</f>
        <v>5-6</v>
      </c>
      <c r="T4" s="6" t="str">
        <f t="shared" si="0"/>
        <v>!import-table-item --Items-D --Horseshoes of a Zephyr --2</v>
      </c>
      <c r="U4" s="6" t="s">
        <v>83</v>
      </c>
      <c r="V4" s="9" t="s">
        <v>1397</v>
      </c>
      <c r="W4" s="6">
        <v>1</v>
      </c>
      <c r="X4" s="9">
        <f>IF(W4=0,"-",IF(W4=1,SUM(W$1:W3)+1,SUM(W$1:W3)+1 &amp; "-" &amp; SUM(W$1:W4)))</f>
        <v>6</v>
      </c>
      <c r="Y4" s="6" t="str">
        <f t="shared" si="1"/>
        <v>!import-table-item --Potions-D --Potion of Flying --1</v>
      </c>
      <c r="Z4" s="24" t="s">
        <v>397</v>
      </c>
      <c r="AA4" s="9" t="s">
        <v>1397</v>
      </c>
      <c r="AB4" s="6">
        <v>2</v>
      </c>
      <c r="AC4" s="9" t="str">
        <f>IF(AB4=0,"-",IF(AB4=1,SUM(AB$1:AB3)+1,SUM(AB$1:AB3)+1 &amp; "-" &amp; SUM(AB$1:AB4)))</f>
        <v>8-9</v>
      </c>
      <c r="AD4" s="6" t="str">
        <f t="shared" si="2"/>
        <v>!import-table-item --Spells-D --Spell Scroll ([[ 1t[Spells-Level-8] ]]) --2</v>
      </c>
    </row>
    <row r="5" spans="1:30" x14ac:dyDescent="0.25">
      <c r="A5" s="24" t="s">
        <v>1392</v>
      </c>
      <c r="C5" s="6">
        <v>50</v>
      </c>
      <c r="D5" s="9" t="str">
        <f>IF(C5=0,"-",IF(C5=1,SUM(C$1:C4)+1,SUM(C$1:C4)+1 &amp; "-" &amp; SUM(C$1:C5)))</f>
        <v>31-80</v>
      </c>
      <c r="E5" s="6" t="str">
        <f>"!import-table-item --" &amp; A$1 &amp; " --" &amp; A5 &amp; " --" &amp; C5</f>
        <v>!import-table-item --Magic-Item-Table-D --[[ 1t[Potions-D] ]] --50</v>
      </c>
      <c r="F5" s="6" t="s">
        <v>1460</v>
      </c>
      <c r="G5" s="6" t="s">
        <v>1400</v>
      </c>
      <c r="H5" s="6">
        <v>1</v>
      </c>
      <c r="I5" s="9">
        <f>IF(H5=0,"-",IF(H5=1,SUM(H$1:H4)+1,SUM(H$1:H4)+1 &amp; "-" &amp; SUM(H$1:H5)))</f>
        <v>4</v>
      </c>
      <c r="J5" s="6" t="str">
        <f>"!import-table-item --" &amp; F$1 &amp; " --" &amp; F5 &amp; " --" &amp; H5</f>
        <v>!import-table-item --Ammunition-D --Sling Bullets of Althemone --1</v>
      </c>
      <c r="K5" s="6" t="s">
        <v>1454</v>
      </c>
      <c r="L5" s="6" t="s">
        <v>1409</v>
      </c>
      <c r="M5" s="6">
        <v>1</v>
      </c>
      <c r="N5" s="9">
        <f>IF(M5=0,"-",IF(M5=1,SUM(M$1:M4)+1,SUM(M$1:M4)+1 &amp; "-" &amp; SUM(M$1:M5)))</f>
        <v>6</v>
      </c>
      <c r="O5" s="6" t="str">
        <f>"!import-table-item --" &amp; K$1 &amp; " --" &amp; K5 &amp; " --" &amp; M5</f>
        <v>!import-table-item --Consumables-D --Reincarnation Dust --1</v>
      </c>
      <c r="P5" s="6" t="s">
        <v>1453</v>
      </c>
      <c r="Q5" s="6" t="s">
        <v>1679</v>
      </c>
      <c r="R5" s="6">
        <v>2</v>
      </c>
      <c r="S5" s="9" t="str">
        <f>IF(R5=0,"-",IF(R5=1,SUM(R$1:R4)+1,SUM(R$1:R4)+1 &amp; "-" &amp; SUM(R$1:R5)))</f>
        <v>7-8</v>
      </c>
      <c r="T5" s="6" t="str">
        <f t="shared" si="0"/>
        <v>!import-table-item --Items-D --Raven's Slumber --2</v>
      </c>
      <c r="U5" s="6" t="s">
        <v>78</v>
      </c>
      <c r="V5" s="9" t="s">
        <v>1397</v>
      </c>
      <c r="W5" s="9">
        <v>1</v>
      </c>
      <c r="X5" s="9">
        <f>IF(W5=0,"-",IF(W5=1,SUM(W$1:W4)+1,SUM(W$1:W4)+1 &amp; "-" &amp; SUM(W$1:W5)))</f>
        <v>7</v>
      </c>
      <c r="Y5" s="6" t="str">
        <f t="shared" si="1"/>
        <v>!import-table-item --Potions-D --Potion of Invisibility --1</v>
      </c>
      <c r="Z5" s="24" t="s">
        <v>1388</v>
      </c>
      <c r="AA5" s="9" t="s">
        <v>1402</v>
      </c>
      <c r="AB5" s="6">
        <v>1</v>
      </c>
      <c r="AC5" s="9">
        <f>IF(AB5=0,"-",IF(AB5=1,SUM(AB$1:AB4)+1,SUM(AB$1:AB4)+1 &amp; "-" &amp; SUM(AB$1:AB5)))</f>
        <v>10</v>
      </c>
      <c r="AD5" s="6" t="str">
        <f t="shared" ref="AD5:AD7" si="3">"!import-table-item --" &amp; Z$1 &amp; " --" &amp; Z5 &amp; " --" &amp; AB5</f>
        <v>!import-table-item --Spells-D --Spellwrought Tattoo ([[ 1t[Spells-Level-6] ]]) --1</v>
      </c>
    </row>
    <row r="6" spans="1:30" x14ac:dyDescent="0.25">
      <c r="A6" s="24" t="s">
        <v>1393</v>
      </c>
      <c r="C6" s="6">
        <v>20</v>
      </c>
      <c r="D6" s="9" t="str">
        <f>IF(C6=0,"-",IF(C6=1,SUM(C$1:C5)+1,SUM(C$1:C5)+1 &amp; "-" &amp; SUM(C$1:C6)))</f>
        <v>81-100</v>
      </c>
      <c r="E6" s="6" t="str">
        <f>"!import-table-item --" &amp; A$1 &amp; " --" &amp; A6 &amp; " --" &amp; C6</f>
        <v>!import-table-item --Magic-Item-Table-D --[[ 1t[Spells-D] ]] --20</v>
      </c>
      <c r="I6" s="9"/>
      <c r="L6" s="9"/>
      <c r="N6" s="9"/>
      <c r="P6" s="6" t="s">
        <v>91</v>
      </c>
      <c r="Q6" s="9" t="s">
        <v>1397</v>
      </c>
      <c r="R6" s="6">
        <v>1</v>
      </c>
      <c r="S6" s="9">
        <f>IF(R6=0,"-",IF(R6=1,SUM(R$1:R5)+1,SUM(R$1:R5)+1 &amp; "-" &amp; SUM(R$1:R6)))</f>
        <v>9</v>
      </c>
      <c r="T6" s="6" t="str">
        <f t="shared" si="0"/>
        <v>!import-table-item --Items-D --Bag of Devouring --1</v>
      </c>
      <c r="U6" s="6" t="s">
        <v>86</v>
      </c>
      <c r="V6" s="9" t="s">
        <v>1397</v>
      </c>
      <c r="W6" s="6">
        <v>1</v>
      </c>
      <c r="X6" s="9">
        <f>IF(W6=0,"-",IF(W6=1,SUM(W$1:W5)+1,SUM(W$1:W5)+1 &amp; "-" &amp; SUM(W$1:W6)))</f>
        <v>8</v>
      </c>
      <c r="Y6" s="6" t="str">
        <f t="shared" si="1"/>
        <v>!import-table-item --Potions-D --Potion of Longevity --1</v>
      </c>
      <c r="Z6" s="24" t="s">
        <v>1389</v>
      </c>
      <c r="AA6" s="9" t="s">
        <v>1402</v>
      </c>
      <c r="AB6" s="6">
        <v>1</v>
      </c>
      <c r="AC6" s="9">
        <f>IF(AB6=0,"-",IF(AB6=1,SUM(AB$1:AB5)+1,SUM(AB$1:AB5)+1 &amp; "-" &amp; SUM(AB$1:AB6)))</f>
        <v>11</v>
      </c>
      <c r="AD6" s="6" t="str">
        <f t="shared" si="3"/>
        <v>!import-table-item --Spells-D --Spellwrought Tattoo ([[ 1t[Spells-Level-7] ]]) --1</v>
      </c>
    </row>
    <row r="7" spans="1:30" x14ac:dyDescent="0.25">
      <c r="D7" s="9"/>
      <c r="I7" s="9"/>
      <c r="L7" s="9"/>
      <c r="N7" s="9"/>
      <c r="P7" s="6" t="s">
        <v>1442</v>
      </c>
      <c r="Q7" s="6" t="s">
        <v>1679</v>
      </c>
      <c r="R7" s="6">
        <v>1</v>
      </c>
      <c r="S7" s="9">
        <f>IF(R7=0,"-",IF(R7=1,SUM(R$1:R6)+1,SUM(R$1:R6)+1 &amp; "-" &amp; SUM(R$1:R7)))</f>
        <v>10</v>
      </c>
      <c r="T7" s="6" t="str">
        <f t="shared" si="0"/>
        <v>!import-table-item --Items-D --Mirror of Infinite Transpondence --1</v>
      </c>
      <c r="U7" s="6" t="s">
        <v>1731</v>
      </c>
      <c r="V7" s="6" t="s">
        <v>1479</v>
      </c>
      <c r="W7" s="6">
        <v>1</v>
      </c>
      <c r="X7" s="9">
        <f>IF(W7=0,"-",IF(W7=1,SUM(W$1:W6)+1,SUM(W$1:W6)+1 &amp; "-" &amp; SUM(W$1:W7)))</f>
        <v>9</v>
      </c>
      <c r="Y7" s="6" t="str">
        <f t="shared" si="1"/>
        <v>!import-table-item --Potions-D --Potion of Mind Control (Monster) --1</v>
      </c>
      <c r="Z7" s="24" t="s">
        <v>1390</v>
      </c>
      <c r="AA7" s="9" t="s">
        <v>1402</v>
      </c>
      <c r="AB7" s="6">
        <v>1</v>
      </c>
      <c r="AC7" s="9">
        <f>IF(AB7=0,"-",IF(AB7=1,SUM(AB$1:AB6)+1,SUM(AB$1:AB6)+1 &amp; "-" &amp; SUM(AB$1:AB7)))</f>
        <v>12</v>
      </c>
      <c r="AD7" s="6" t="str">
        <f t="shared" si="3"/>
        <v>!import-table-item --Spells-D --Spellwrought Tattoo ([[ 1t[Spells-Level-8] ]]) --1</v>
      </c>
    </row>
    <row r="8" spans="1:30" x14ac:dyDescent="0.25">
      <c r="D8" s="9"/>
      <c r="I8" s="9"/>
      <c r="L8" s="9"/>
      <c r="N8" s="9"/>
      <c r="P8" s="6" t="s">
        <v>1445</v>
      </c>
      <c r="Q8" s="6" t="s">
        <v>1476</v>
      </c>
      <c r="R8" s="6">
        <v>1</v>
      </c>
      <c r="S8" s="9">
        <f>IF(R8=0,"-",IF(R8=1,SUM(R$1:R7)+1,SUM(R$1:R7)+1 &amp; "-" &amp; SUM(R$1:R8)))</f>
        <v>11</v>
      </c>
      <c r="T8" s="6" t="str">
        <f t="shared" si="0"/>
        <v>!import-table-item --Items-D --Mudslick Tower --1</v>
      </c>
      <c r="U8" s="6" t="s">
        <v>1451</v>
      </c>
      <c r="V8" s="6" t="s">
        <v>1409</v>
      </c>
      <c r="W8" s="6">
        <v>1</v>
      </c>
      <c r="X8" s="9">
        <f>IF(W8=0,"-",IF(W8=1,SUM(W$1:W7)+1,SUM(W$1:W7)+1 &amp; "-" &amp; SUM(W$1:W8)))</f>
        <v>10</v>
      </c>
      <c r="Y8" s="6" t="str">
        <f t="shared" si="1"/>
        <v>!import-table-item --Potions-D --Potion of Possibility --1</v>
      </c>
      <c r="AA8" s="9"/>
      <c r="AC8" s="9"/>
    </row>
    <row r="9" spans="1:30" x14ac:dyDescent="0.25">
      <c r="D9" s="9"/>
      <c r="I9" s="9"/>
      <c r="N9" s="9"/>
      <c r="P9" s="6" t="s">
        <v>92</v>
      </c>
      <c r="Q9" s="9" t="s">
        <v>1397</v>
      </c>
      <c r="R9" s="6">
        <v>1</v>
      </c>
      <c r="S9" s="9">
        <f>IF(R9=0,"-",IF(R9=1,SUM(R$1:R8)+1,SUM(R$1:R8)+1 &amp; "-" &amp; SUM(R$1:R9)))</f>
        <v>12</v>
      </c>
      <c r="T9" s="6" t="str">
        <f t="shared" si="0"/>
        <v>!import-table-item --Items-D --Portable Hole --1</v>
      </c>
      <c r="U9" s="6" t="s">
        <v>79</v>
      </c>
      <c r="V9" s="9" t="s">
        <v>1397</v>
      </c>
      <c r="W9" s="6">
        <v>1</v>
      </c>
      <c r="X9" s="9">
        <f>IF(W9=0,"-",IF(W9=1,SUM(W$1:W8)+1,SUM(W$1:W8)+1 &amp; "-" &amp; SUM(W$1:W9)))</f>
        <v>11</v>
      </c>
      <c r="Y9" s="6" t="str">
        <f t="shared" si="1"/>
        <v>!import-table-item --Potions-D --Potion of Speed --1</v>
      </c>
      <c r="AC9" s="9"/>
    </row>
    <row r="10" spans="1:30" x14ac:dyDescent="0.25">
      <c r="D10" s="9"/>
      <c r="I10" s="9"/>
      <c r="N10" s="9"/>
      <c r="P10" s="6" t="s">
        <v>1461</v>
      </c>
      <c r="Q10" s="6" t="s">
        <v>1398</v>
      </c>
      <c r="R10" s="6">
        <v>0</v>
      </c>
      <c r="S10" s="9" t="str">
        <f>IF(R10=0,"-",IF(R10=1,SUM(R$1:R9)+1,SUM(R$1:R9)+1 &amp; "-" &amp; SUM(R$1:R10)))</f>
        <v>-</v>
      </c>
      <c r="T10" s="6" t="str">
        <f t="shared" si="0"/>
        <v>!import-table-item --Items-D --Speaking Stone --0</v>
      </c>
      <c r="U10" s="6" t="s">
        <v>87</v>
      </c>
      <c r="V10" s="9" t="s">
        <v>1397</v>
      </c>
      <c r="W10" s="6">
        <v>1</v>
      </c>
      <c r="X10" s="9">
        <f>IF(W10=0,"-",IF(W10=1,SUM(W$1:W9)+1,SUM(W$1:W9)+1 &amp; "-" &amp; SUM(W$1:W10)))</f>
        <v>12</v>
      </c>
      <c r="Y10" s="6" t="str">
        <f t="shared" si="1"/>
        <v>!import-table-item --Potions-D --Potion of Vitality --1</v>
      </c>
      <c r="AC10" s="9"/>
    </row>
    <row r="11" spans="1:30" x14ac:dyDescent="0.25">
      <c r="D11" s="9"/>
      <c r="I11" s="9"/>
      <c r="N11" s="9"/>
      <c r="S11" s="9"/>
      <c r="X11" s="9"/>
      <c r="AC11" s="9"/>
    </row>
    <row r="12" spans="1:30" x14ac:dyDescent="0.25">
      <c r="D12" s="9"/>
      <c r="I12" s="9"/>
      <c r="N12" s="9"/>
      <c r="S12" s="9"/>
      <c r="X12" s="9"/>
      <c r="AC12" s="9"/>
    </row>
    <row r="13" spans="1:30" x14ac:dyDescent="0.25">
      <c r="D13" s="9"/>
      <c r="I13" s="9"/>
      <c r="N13" s="9"/>
      <c r="S13" s="9"/>
      <c r="X13" s="9"/>
      <c r="AC13" s="9"/>
    </row>
    <row r="14" spans="1:30" x14ac:dyDescent="0.25">
      <c r="D14" s="9"/>
      <c r="I14" s="9"/>
      <c r="N14" s="9"/>
      <c r="S14" s="9"/>
      <c r="X14" s="9"/>
      <c r="AC14" s="9"/>
    </row>
    <row r="15" spans="1:30" x14ac:dyDescent="0.25">
      <c r="D15" s="9"/>
      <c r="I15" s="9"/>
      <c r="N15" s="9"/>
      <c r="S15" s="9"/>
      <c r="X15" s="9"/>
      <c r="AC15" s="9"/>
    </row>
    <row r="16" spans="1:30" x14ac:dyDescent="0.25">
      <c r="D16" s="9"/>
      <c r="I16" s="9"/>
      <c r="N16" s="9"/>
      <c r="S16" s="9"/>
      <c r="X16" s="9"/>
      <c r="AC16" s="9"/>
    </row>
    <row r="17" spans="4:29" x14ac:dyDescent="0.25">
      <c r="D17" s="9"/>
      <c r="I17" s="9"/>
      <c r="N17" s="9"/>
      <c r="S17" s="9"/>
      <c r="X17" s="9"/>
      <c r="AC17" s="9"/>
    </row>
    <row r="18" spans="4:29" x14ac:dyDescent="0.25">
      <c r="D18" s="9"/>
      <c r="I18" s="9"/>
      <c r="N18" s="9"/>
      <c r="S18" s="9"/>
      <c r="X18" s="9"/>
      <c r="AC18" s="9"/>
    </row>
    <row r="19" spans="4:29" x14ac:dyDescent="0.25">
      <c r="D19" s="9"/>
      <c r="I19" s="9"/>
      <c r="N19" s="9"/>
      <c r="S19" s="9"/>
      <c r="X19" s="9"/>
      <c r="AC19" s="9"/>
    </row>
    <row r="20" spans="4:29" x14ac:dyDescent="0.25">
      <c r="D20" s="9"/>
      <c r="I20" s="9"/>
      <c r="N20" s="9"/>
      <c r="S20" s="9"/>
      <c r="X20" s="9"/>
      <c r="AC20" s="9"/>
    </row>
    <row r="21" spans="4:29" x14ac:dyDescent="0.25">
      <c r="D21" s="9"/>
      <c r="I21" s="9"/>
      <c r="N21" s="9"/>
      <c r="S21" s="9"/>
      <c r="X21" s="9"/>
      <c r="AC21" s="9"/>
    </row>
    <row r="22" spans="4:29" x14ac:dyDescent="0.25">
      <c r="D22" s="9"/>
      <c r="I22" s="9"/>
      <c r="N22" s="9"/>
      <c r="S22" s="9"/>
      <c r="X22" s="9"/>
      <c r="AC22" s="9"/>
    </row>
    <row r="23" spans="4:29" x14ac:dyDescent="0.25">
      <c r="D23" s="9"/>
      <c r="I23" s="9"/>
      <c r="N23" s="9"/>
      <c r="S23" s="9"/>
      <c r="X23" s="9"/>
      <c r="AC23" s="9"/>
    </row>
    <row r="24" spans="4:29" x14ac:dyDescent="0.25">
      <c r="D24" s="9"/>
      <c r="I24" s="9"/>
      <c r="N24" s="9"/>
      <c r="S24" s="9"/>
      <c r="X24" s="9"/>
      <c r="AC24" s="9"/>
    </row>
    <row r="25" spans="4:29" x14ac:dyDescent="0.25">
      <c r="D25" s="9"/>
      <c r="I25" s="9"/>
      <c r="N25" s="9"/>
      <c r="S25" s="9"/>
      <c r="X25" s="9"/>
      <c r="AC25" s="9"/>
    </row>
    <row r="26" spans="4:29" x14ac:dyDescent="0.25">
      <c r="D26" s="9"/>
      <c r="I26" s="9"/>
      <c r="N26" s="9"/>
      <c r="S26" s="9"/>
      <c r="X26" s="9"/>
      <c r="AC26" s="9"/>
    </row>
    <row r="27" spans="4:29" x14ac:dyDescent="0.25">
      <c r="D27" s="9"/>
      <c r="I27" s="9"/>
      <c r="N27" s="9"/>
      <c r="S27" s="9"/>
      <c r="X27" s="9"/>
      <c r="AC27" s="9"/>
    </row>
    <row r="28" spans="4:29" x14ac:dyDescent="0.25">
      <c r="D28" s="9"/>
      <c r="I28" s="9"/>
      <c r="N28" s="9"/>
      <c r="S28" s="9"/>
      <c r="X28" s="9"/>
      <c r="AC28" s="9"/>
    </row>
    <row r="29" spans="4:29" x14ac:dyDescent="0.25">
      <c r="D29" s="9"/>
      <c r="I29" s="9"/>
      <c r="N29" s="9"/>
      <c r="S29" s="9"/>
      <c r="X29" s="9"/>
      <c r="AC29" s="9"/>
    </row>
    <row r="30" spans="4:29" x14ac:dyDescent="0.25">
      <c r="D30" s="9"/>
      <c r="I30" s="9"/>
      <c r="N30" s="9"/>
      <c r="S30" s="9"/>
      <c r="X30" s="9"/>
      <c r="AC30" s="9"/>
    </row>
    <row r="31" spans="4:29" x14ac:dyDescent="0.25">
      <c r="D31" s="9"/>
      <c r="I31" s="9"/>
      <c r="N31" s="9"/>
      <c r="S31" s="9"/>
      <c r="X31" s="9"/>
      <c r="AC31" s="9"/>
    </row>
  </sheetData>
  <sortState xmlns:xlrd2="http://schemas.microsoft.com/office/spreadsheetml/2017/richdata2" ref="F2:J31">
    <sortCondition ref="F1:F31"/>
  </sortState>
  <hyperlinks>
    <hyperlink ref="A2" location="'Table D Minor Very Rare'!F:J" display="[[ 1t[Ammunition-D] ]]" xr:uid="{95AEB834-DC82-4079-BA30-7F62BC641DD9}"/>
    <hyperlink ref="A3" location="'Table D Minor Very Rare'!K:O" display="[[ 1t[Consumables-D] ]]" xr:uid="{50F86FC1-B783-482D-A461-04E2222D0BDA}"/>
    <hyperlink ref="A4" location="'Table D Minor Very Rare'!P:T" display="[[ 1t[Items-D] ]]" xr:uid="{80F25060-BDB6-4370-973E-C11F10AEAAAC}"/>
    <hyperlink ref="A5" location="'Table D Minor Very Rare'!U:Y" display="[[ 1t[Potions-D] ]]" xr:uid="{182E7AC2-8B75-4D83-9F30-AA9EC3B8204B}"/>
    <hyperlink ref="A6" location="'Table D Minor Very Rare'!Z:AD" display="[[ 1t[Spells-D] ]]" xr:uid="{8106CF50-D6EE-41FE-AFCF-83F452379FA8}"/>
    <hyperlink ref="Z2" location="'All Spells'!AE:AI" display="Spell Scroll ([[ 1t[Spells-Level-6] ]])" xr:uid="{F1BB8A32-391D-46E8-B618-028B1612D683}"/>
    <hyperlink ref="Z5" location="'All Spells'!AE:AI" display="Spellwrought Tattoo ([[ 1t[Spells-Level-6] ]])" xr:uid="{5A84CB18-D19F-4132-80E9-0A5D4299FAD9}"/>
    <hyperlink ref="Z3" location="'All Spells'!AJ:AN" display="Spell Scroll ([[ 1t[Spells-Level-7] ]])" xr:uid="{F9BF7450-7A73-4356-AF37-15BBE8EBE23C}"/>
    <hyperlink ref="Z6" location="'All Spells'!AJ:AN" display="Spellwrought Tattoo ([[ 1t[Spells-Level-7] ]])" xr:uid="{EB96E28D-F0C5-440F-98F0-0D16487BACBF}"/>
    <hyperlink ref="Z4" location="'All Spells'!AO:AS" display="Spell Scroll ([[ 1t[Spells-Level-8] ]])" xr:uid="{4916BECE-DFDC-48A4-BF33-EB1886CD62CD}"/>
    <hyperlink ref="Z7" location="'All Spells'!AO:AS" display="Spellwrought Tattoo ([[ 1t[Spells-Level-8] ]])" xr:uid="{7C1D37C2-304E-4A26-9555-59030692DF55}"/>
    <hyperlink ref="F2" location="'Supplemental Types'!AZ:BD" display="[[ 1t[Ammunition] ]], +3" xr:uid="{1258E461-6CF2-4327-98FC-5D7E4E6300D5}"/>
    <hyperlink ref="F3" location="'Supplemental Types'!AZ:BD" display="Bloodseeker [[ 1t[Ammunition] ]]" xr:uid="{21F46B9A-F857-4151-9173-26A5EB41CCF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25D65-8BED-554B-B68F-01130A3D0503}">
  <sheetPr>
    <pageSetUpPr autoPageBreaks="0"/>
  </sheetPr>
  <dimension ref="A1:BR41"/>
  <sheetViews>
    <sheetView topLeftCell="BH1" zoomScaleNormal="100" workbookViewId="0">
      <selection activeCell="BR1" sqref="BR1:BR1048576"/>
    </sheetView>
  </sheetViews>
  <sheetFormatPr defaultColWidth="11.43359375" defaultRowHeight="18.75" x14ac:dyDescent="0.25"/>
  <cols>
    <col min="1" max="1" width="24.75" style="6" bestFit="1" customWidth="1"/>
    <col min="2" max="2" width="8.875" style="6" bestFit="1" customWidth="1"/>
    <col min="3" max="3" width="9.14453125" style="6" bestFit="1" customWidth="1"/>
    <col min="4" max="4" width="9.28125" style="6" bestFit="1" customWidth="1"/>
    <col min="5" max="5" width="78.42578125" style="6" bestFit="1" customWidth="1"/>
    <col min="6" max="6" width="61.0703125" style="6" bestFit="1" customWidth="1"/>
    <col min="7" max="7" width="8.875" style="6" bestFit="1" customWidth="1"/>
    <col min="8" max="8" width="9.14453125" style="6" bestFit="1" customWidth="1"/>
    <col min="9" max="9" width="9.28125" style="6" bestFit="1" customWidth="1"/>
    <col min="10" max="10" width="102.23828125" style="6" bestFit="1" customWidth="1"/>
    <col min="11" max="11" width="31.87890625" style="6" bestFit="1" customWidth="1"/>
    <col min="12" max="12" width="8.875" style="6" bestFit="1" customWidth="1"/>
    <col min="13" max="13" width="9.14453125" style="6" bestFit="1" customWidth="1"/>
    <col min="14" max="14" width="5.51171875" style="6" bestFit="1" customWidth="1"/>
    <col min="15" max="15" width="75.87109375" style="6" bestFit="1" customWidth="1"/>
    <col min="16" max="16" width="9.68359375" style="6" bestFit="1" customWidth="1"/>
    <col min="17" max="17" width="8.875" style="6" bestFit="1" customWidth="1"/>
    <col min="18" max="18" width="9.14453125" style="6" bestFit="1" customWidth="1"/>
    <col min="19" max="19" width="4.9765625" style="6" bestFit="1" customWidth="1"/>
    <col min="20" max="20" width="45.73828125" style="6" bestFit="1" customWidth="1"/>
    <col min="21" max="21" width="43.71875" style="6" bestFit="1" customWidth="1"/>
    <col min="22" max="22" width="8.875" style="6" bestFit="1" customWidth="1"/>
    <col min="23" max="23" width="9.14453125" style="6" bestFit="1" customWidth="1"/>
    <col min="24" max="24" width="7.80078125" style="6" bestFit="1" customWidth="1"/>
    <col min="25" max="25" width="83.26953125" style="6" bestFit="1" customWidth="1"/>
    <col min="26" max="26" width="27.84375" style="6" bestFit="1" customWidth="1"/>
    <col min="27" max="27" width="9.953125" style="6" bestFit="1" customWidth="1"/>
    <col min="28" max="28" width="9.14453125" style="6" bestFit="1" customWidth="1"/>
    <col min="29" max="29" width="4.9765625" style="6" bestFit="1" customWidth="1"/>
    <col min="30" max="30" width="68.203125" style="6" bestFit="1" customWidth="1"/>
    <col min="31" max="31" width="11.97265625" style="6" bestFit="1" customWidth="1"/>
    <col min="32" max="32" width="8.875" style="6" bestFit="1" customWidth="1"/>
    <col min="33" max="33" width="9.14453125" style="6" bestFit="1" customWidth="1"/>
    <col min="34" max="34" width="5.51171875" style="6" bestFit="1" customWidth="1"/>
    <col min="35" max="35" width="49.90625" style="6" bestFit="1" customWidth="1"/>
    <col min="36" max="36" width="76.9453125" style="6" bestFit="1" customWidth="1"/>
    <col min="37" max="37" width="8.875" style="6" bestFit="1" customWidth="1"/>
    <col min="38" max="38" width="9.14453125" style="6" bestFit="1" customWidth="1"/>
    <col min="39" max="39" width="9.28125" style="6" bestFit="1" customWidth="1"/>
    <col min="40" max="40" width="115.28515625" style="6" bestFit="1" customWidth="1"/>
    <col min="41" max="41" width="28.65234375" style="6" bestFit="1" customWidth="1"/>
    <col min="42" max="42" width="8.875" style="6" bestFit="1" customWidth="1"/>
    <col min="43" max="43" width="9.14453125" style="6" bestFit="1" customWidth="1"/>
    <col min="44" max="44" width="7.80078125" style="6" bestFit="1" customWidth="1"/>
    <col min="45" max="45" width="69.546875" style="6" bestFit="1" customWidth="1"/>
    <col min="46" max="46" width="39.01171875" style="1" bestFit="1" customWidth="1"/>
    <col min="47" max="47" width="8.875" style="1" bestFit="1" customWidth="1"/>
    <col min="48" max="48" width="9.14453125" style="1" bestFit="1" customWidth="1"/>
    <col min="49" max="49" width="4.9765625" style="1" bestFit="1" customWidth="1"/>
    <col min="50" max="50" width="83" style="1" bestFit="1" customWidth="1"/>
    <col min="51" max="51" width="72.1015625" style="6" bestFit="1" customWidth="1"/>
    <col min="52" max="52" width="8.875" style="6" bestFit="1" customWidth="1"/>
    <col min="53" max="53" width="9.14453125" style="6" bestFit="1" customWidth="1"/>
    <col min="54" max="54" width="9.28125" style="6" bestFit="1" customWidth="1"/>
    <col min="55" max="55" width="109.76953125" style="6" bestFit="1" customWidth="1"/>
    <col min="56" max="56" width="39.4140625" style="6" bestFit="1" customWidth="1"/>
    <col min="57" max="57" width="8.875" style="6" bestFit="1" customWidth="1"/>
    <col min="58" max="58" width="9.14453125" style="6" bestFit="1" customWidth="1"/>
    <col min="59" max="59" width="4.16796875" style="6" bestFit="1" customWidth="1"/>
    <col min="60" max="60" width="83.94140625" style="6" bestFit="1" customWidth="1"/>
    <col min="61" max="61" width="18.4296875" style="6" bestFit="1" customWidth="1"/>
    <col min="62" max="62" width="8.875" style="6" bestFit="1" customWidth="1"/>
    <col min="63" max="63" width="9.14453125" style="6" bestFit="1" customWidth="1"/>
    <col min="64" max="64" width="7.80078125" style="6" bestFit="1" customWidth="1"/>
    <col min="65" max="65" width="58.24609375" style="6" bestFit="1" customWidth="1"/>
    <col min="66" max="66" width="63.359375" style="6" bestFit="1" customWidth="1"/>
    <col min="67" max="67" width="9.953125" style="6" bestFit="1" customWidth="1"/>
    <col min="68" max="68" width="9.14453125" style="6" bestFit="1" customWidth="1"/>
    <col min="69" max="69" width="9.28125" style="6" bestFit="1" customWidth="1"/>
    <col min="70" max="70" width="107.88671875" style="6" bestFit="1" customWidth="1"/>
    <col min="71" max="16384" width="11.43359375" style="6"/>
  </cols>
  <sheetData>
    <row r="1" spans="1:70" s="4" customFormat="1" x14ac:dyDescent="0.25">
      <c r="A1" s="4" t="s">
        <v>7</v>
      </c>
      <c r="B1" s="4" t="s">
        <v>1396</v>
      </c>
      <c r="C1" s="4" t="s">
        <v>9</v>
      </c>
      <c r="D1" s="4" t="str">
        <f>"d" &amp; SUM(C:C)</f>
        <v>d100</v>
      </c>
      <c r="E1" s="13" t="str">
        <f>"!import-table --" &amp; A1 &amp; " --show"</f>
        <v>!import-table --Magic-Item-Table-H --show</v>
      </c>
      <c r="F1" s="4" t="s">
        <v>1561</v>
      </c>
      <c r="G1" s="4" t="s">
        <v>1396</v>
      </c>
      <c r="H1" s="4" t="s">
        <v>9</v>
      </c>
      <c r="I1" s="4" t="str">
        <f>"d" &amp; SUM(H:H)</f>
        <v>d100</v>
      </c>
      <c r="J1" s="13" t="str">
        <f>"!import-table --" &amp; F1 &amp; " --show"</f>
        <v>!import-table --Apparel-H --show</v>
      </c>
      <c r="K1" s="4" t="s">
        <v>1540</v>
      </c>
      <c r="L1" s="4" t="s">
        <v>1396</v>
      </c>
      <c r="M1" s="4" t="s">
        <v>9</v>
      </c>
      <c r="N1" s="4" t="str">
        <f>"d" &amp; SUM(M:M)</f>
        <v>d10</v>
      </c>
      <c r="O1" s="13" t="str">
        <f>"!import-table --" &amp; K1 &amp; " --show"</f>
        <v>!import-table --Absorbing-H --show</v>
      </c>
      <c r="P1" s="4" t="s">
        <v>1553</v>
      </c>
      <c r="Q1" s="4" t="s">
        <v>1396</v>
      </c>
      <c r="R1" s="4" t="s">
        <v>9</v>
      </c>
      <c r="S1" s="4" t="str">
        <f>"d" &amp; SUM(R:R)</f>
        <v>d4</v>
      </c>
      <c r="T1" s="13" t="str">
        <f>"!import-table --" &amp; P1 &amp; " --show"</f>
        <v>!import-table --Giant-H --show</v>
      </c>
      <c r="U1" s="4" t="s">
        <v>1522</v>
      </c>
      <c r="V1" s="4" t="s">
        <v>1396</v>
      </c>
      <c r="W1" s="4" t="s">
        <v>9</v>
      </c>
      <c r="X1" s="4" t="str">
        <f>"d" &amp; SUM(W:W)</f>
        <v>d20</v>
      </c>
      <c r="Y1" s="13" t="str">
        <f>"!import-table --" &amp; U1 &amp; " --show"</f>
        <v>!import-table --Armor-H --show</v>
      </c>
      <c r="Z1" s="4" t="s">
        <v>1559</v>
      </c>
      <c r="AA1" s="4" t="s">
        <v>1396</v>
      </c>
      <c r="AB1" s="4" t="s">
        <v>9</v>
      </c>
      <c r="AC1" s="4" t="str">
        <f>"d" &amp; SUM(AB:AB)</f>
        <v>d6</v>
      </c>
      <c r="AD1" s="13" t="str">
        <f>"!import-table --" &amp; Z1 &amp; " --show"</f>
        <v>!import-table --Shields-H --show</v>
      </c>
      <c r="AE1" s="4" t="s">
        <v>1530</v>
      </c>
      <c r="AF1" s="4" t="s">
        <v>1396</v>
      </c>
      <c r="AG1" s="4" t="s">
        <v>9</v>
      </c>
      <c r="AH1" s="4" t="str">
        <f>"d" &amp; SUM(AG:AG)</f>
        <v>d10</v>
      </c>
      <c r="AI1" s="13" t="str">
        <f>"!import-table --" &amp; AE1 &amp; " --show"</f>
        <v>!import-table --Dragon-H --show</v>
      </c>
      <c r="AJ1" s="4" t="s">
        <v>1517</v>
      </c>
      <c r="AK1" s="4" t="s">
        <v>1396</v>
      </c>
      <c r="AL1" s="4" t="s">
        <v>9</v>
      </c>
      <c r="AM1" s="4" t="str">
        <f>"d" &amp; SUM(AL:AL)</f>
        <v>d100</v>
      </c>
      <c r="AN1" s="13" t="str">
        <f>"!import-table --" &amp; AJ1 &amp; " --show"</f>
        <v>!import-table --Arms-H --show</v>
      </c>
      <c r="AO1" s="4" t="s">
        <v>1518</v>
      </c>
      <c r="AP1" s="4" t="s">
        <v>1396</v>
      </c>
      <c r="AQ1" s="4" t="s">
        <v>9</v>
      </c>
      <c r="AR1" s="4" t="str">
        <f>"d" &amp; SUM(AQ:AQ)</f>
        <v>d20</v>
      </c>
      <c r="AS1" s="13" t="str">
        <f>"!import-table --" &amp; AO1 &amp; " --show"</f>
        <v>!import-table --Jewelry-H --show</v>
      </c>
      <c r="AT1" s="4" t="s">
        <v>1640</v>
      </c>
      <c r="AU1" s="4" t="s">
        <v>1396</v>
      </c>
      <c r="AV1" s="4" t="s">
        <v>9</v>
      </c>
      <c r="AW1" s="4" t="str">
        <f>"d" &amp; SUM(AV:AV)</f>
        <v>d6</v>
      </c>
      <c r="AX1" s="13" t="str">
        <f>"!import-table --" &amp; AT1 &amp; " --show"</f>
        <v>!import-table --Ioun-Stone-I --show</v>
      </c>
      <c r="AY1" s="4" t="s">
        <v>1539</v>
      </c>
      <c r="AZ1" s="4" t="s">
        <v>1396</v>
      </c>
      <c r="BA1" s="4" t="s">
        <v>9</v>
      </c>
      <c r="BB1" s="4" t="str">
        <f>"d" &amp; SUM(BA:BA)</f>
        <v>d100</v>
      </c>
      <c r="BC1" s="13" t="str">
        <f>"!import-table --" &amp; AY1 &amp; " --show"</f>
        <v>!import-table --Misc-H --show</v>
      </c>
      <c r="BD1" s="4" t="s">
        <v>1574</v>
      </c>
      <c r="BE1" s="4" t="s">
        <v>1396</v>
      </c>
      <c r="BF1" s="4" t="s">
        <v>9</v>
      </c>
      <c r="BG1" s="4" t="str">
        <f>"d" &amp; SUM(BF:BF)</f>
        <v>d6</v>
      </c>
      <c r="BH1" s="13" t="str">
        <f>"!import-table --" &amp; BD1 &amp; " --show"</f>
        <v>!import-table --Stat-Books-H --show</v>
      </c>
      <c r="BI1" s="4" t="s">
        <v>1587</v>
      </c>
      <c r="BJ1" s="4" t="s">
        <v>1396</v>
      </c>
      <c r="BK1" s="4" t="s">
        <v>9</v>
      </c>
      <c r="BL1" s="4" t="str">
        <f>"d" &amp; SUM(BK:BK)</f>
        <v>d20</v>
      </c>
      <c r="BM1" s="13" t="str">
        <f>"!import-table --" &amp; BI1 &amp; " --show"</f>
        <v>!import-table --Candle-H --show</v>
      </c>
      <c r="BN1" s="4" t="s">
        <v>1710</v>
      </c>
      <c r="BO1" s="4" t="s">
        <v>1396</v>
      </c>
      <c r="BP1" s="4" t="s">
        <v>9</v>
      </c>
      <c r="BQ1" s="4" t="str">
        <f>"d" &amp; SUM(BP:BP)</f>
        <v>d100</v>
      </c>
      <c r="BR1" s="13" t="str">
        <f>"!import-table --" &amp; BN1 &amp; " --show"</f>
        <v>!import-table --Spellcaster-H --show</v>
      </c>
    </row>
    <row r="2" spans="1:70" x14ac:dyDescent="0.25">
      <c r="A2" s="24" t="s">
        <v>1565</v>
      </c>
      <c r="C2" s="6">
        <v>20</v>
      </c>
      <c r="D2" s="9" t="str">
        <f>IF(C2=0,"-",IF(C2=1,SUM(C$1:C1)+1,SUM(C$1:C1)+1 &amp; "-" &amp; SUM(C$1:C2)))</f>
        <v>1-20</v>
      </c>
      <c r="E2" s="6" t="str">
        <f t="shared" ref="E2:E7" si="0">"!import-table-item --" &amp; A$1 &amp; " --" &amp; A2 &amp; " --" &amp; C2</f>
        <v>!import-table-item --Magic-Item-Table-H --[[ 1t[Apparel-H] ]] --20</v>
      </c>
      <c r="F2" s="24" t="s">
        <v>1551</v>
      </c>
      <c r="G2" s="6" t="s">
        <v>1402</v>
      </c>
      <c r="H2" s="6">
        <v>8</v>
      </c>
      <c r="I2" s="9" t="str">
        <f>IF(H2=0,"-",IF(H2=1,SUM(H$1:H1)+1,SUM(H$1:H1)+1 &amp; "-" &amp; SUM(H$1:H2)))</f>
        <v>1-8</v>
      </c>
      <c r="J2" s="6" t="str">
        <f>"!import-table-item --" &amp; F$1 &amp; " --" &amp; F2 &amp; " --" &amp; H2</f>
        <v>!import-table-item --Apparel-H --[[ 1t[Absorbing-H] ]] Tattoo --8</v>
      </c>
      <c r="K2" s="6" t="s">
        <v>1541</v>
      </c>
      <c r="L2" s="6" t="s">
        <v>1402</v>
      </c>
      <c r="M2" s="6">
        <v>1</v>
      </c>
      <c r="N2" s="9">
        <f>IF(M2=0,"-",IF(M2=1,SUM(M$1:M1)+1,SUM(M$1:M1)+1 &amp; "-" &amp; SUM(M$1:M2)))</f>
        <v>1</v>
      </c>
      <c r="O2" s="6" t="str">
        <f t="shared" ref="O2:O11" si="1">"!import-table-item --" &amp; K$1 &amp; " --" &amp; K2 &amp; " --" &amp; M2</f>
        <v>!import-table-item --Absorbing-H --Acid Absorbing Green --1</v>
      </c>
      <c r="P2" s="6" t="s">
        <v>1554</v>
      </c>
      <c r="Q2" s="6" t="s">
        <v>1397</v>
      </c>
      <c r="R2" s="6">
        <v>2</v>
      </c>
      <c r="S2" s="9" t="str">
        <f>IF(R2=0,"-",IF(R2=1,SUM(R$1:R1)+1,SUM(R$1:R1)+1 &amp; "-" &amp; SUM(R$1:R2)))</f>
        <v>1-2</v>
      </c>
      <c r="T2" s="6" t="str">
        <f>"!import-table-item --" &amp; P$1 &amp; " --" &amp; P2 &amp; " --" &amp; R2</f>
        <v>!import-table-item --Giant-H --Frost --2</v>
      </c>
      <c r="U2" s="24" t="s">
        <v>1519</v>
      </c>
      <c r="V2" s="6" t="s">
        <v>1397</v>
      </c>
      <c r="W2" s="6">
        <v>4</v>
      </c>
      <c r="X2" s="9" t="str">
        <f>IF(W2=0,"-",IF(W2=1,SUM(W$1:W1)+1,SUM(W$1:W1)+1 &amp; "-" &amp; SUM(W$1:W2)))</f>
        <v>1-4</v>
      </c>
      <c r="Y2" s="6" t="str">
        <f t="shared" ref="Y2:Y12" si="2">"!import-table-item --" &amp; U$1 &amp; " --" &amp; U2 &amp; " --" &amp; W2</f>
        <v>!import-table-item --Armor-H --[[ 1t[Armor] ]], +2 --4</v>
      </c>
      <c r="Z2" s="6" t="s">
        <v>255</v>
      </c>
      <c r="AA2" s="6" t="s">
        <v>1397</v>
      </c>
      <c r="AB2" s="6">
        <v>2</v>
      </c>
      <c r="AC2" s="9" t="str">
        <f>IF(AB2=0,"-",IF(AB2=1,SUM(AB$1:AB1)+1,SUM(AB$1:AB1)+1 &amp; "-" &amp; SUM(AB$1:AB2)))</f>
        <v>1-2</v>
      </c>
      <c r="AD2" s="6" t="str">
        <f t="shared" ref="AD2:AD6" si="3">"!import-table-item --" &amp; Z$1 &amp; " --" &amp; Z2 &amp; " --" &amp; AB2</f>
        <v>!import-table-item --Shields-H --Shield, +3 --2</v>
      </c>
      <c r="AE2" s="6" t="s">
        <v>1531</v>
      </c>
      <c r="AF2" s="6" t="s">
        <v>1397</v>
      </c>
      <c r="AG2" s="6">
        <v>1</v>
      </c>
      <c r="AH2" s="9">
        <f>IF(AG2=0,"-",IF(AG2=1,SUM(AG$1:AG1)+1,SUM(AG$1:AG1)+1 &amp; "-" &amp; SUM(AG$1:AG2)))</f>
        <v>1</v>
      </c>
      <c r="AI2" s="6" t="str">
        <f t="shared" ref="AI2:AI11" si="4">"!import-table-item --" &amp; AE$1 &amp; " --" &amp; AE2 &amp; " --" &amp; AG2</f>
        <v>!import-table-item --Dragon-H --Black  --1</v>
      </c>
      <c r="AJ2" s="24" t="s">
        <v>1703</v>
      </c>
      <c r="AK2" s="6" t="s">
        <v>1397</v>
      </c>
      <c r="AL2" s="6">
        <v>10</v>
      </c>
      <c r="AM2" s="9" t="str">
        <f>IF(AL2=0,"-",IF(AL2=1,SUM(AL$1:AL1)+1,SUM(AL$1:AL1)+1 &amp; "-" &amp; SUM(AL$1:AL2)))</f>
        <v>1-10</v>
      </c>
      <c r="AN2" s="6" t="str">
        <f t="shared" ref="AN2:AN30" si="5">"!import-table-item --" &amp; AJ$1 &amp; " --" &amp; AJ2 &amp; " --" &amp; AL2</f>
        <v>!import-table-item --Arms-H --[[ 1t[Weapons] ]], +3 --10</v>
      </c>
      <c r="AO2" s="24" t="s">
        <v>1641</v>
      </c>
      <c r="AP2" s="6" t="s">
        <v>1397</v>
      </c>
      <c r="AQ2" s="6">
        <v>3</v>
      </c>
      <c r="AR2" s="9" t="str">
        <f>IF(AQ2=0,"-",IF(AQ2=1,SUM(AQ$1:AQ1)+1,SUM(AQ$1:AQ1)+1 &amp; "-" &amp; SUM(AQ$1:AQ2)))</f>
        <v>1-3</v>
      </c>
      <c r="AS2" s="6" t="str">
        <f t="shared" ref="AS2:AS15" si="6">"!import-table-item --" &amp; AO$1 &amp; " --" &amp; AO2 &amp; " --" &amp; AQ2</f>
        <v>!import-table-item --Jewelry-H --[[ 1t[Ioun-Stone-I] ]] --3</v>
      </c>
      <c r="AT2" s="6" t="s">
        <v>1712</v>
      </c>
      <c r="AU2" s="6" t="s">
        <v>1397</v>
      </c>
      <c r="AV2" s="6">
        <v>2</v>
      </c>
      <c r="AW2" s="9" t="str">
        <f>IF(AV2=0,"-",IF(AV2=1,SUM(AV$1:AV1)+1,SUM(AV$1:AV1)+1 &amp; "-" &amp; SUM(AV$1:AV2)))</f>
        <v>1-2</v>
      </c>
      <c r="AX2" s="6" t="str">
        <f>"!import-table-item --" &amp; AT$1 &amp; " --" &amp; AT2 &amp; " --" &amp; AV2</f>
        <v>!import-table-item --Ioun-Stone-I --Ioun Stone of Greater Absorption --2</v>
      </c>
      <c r="AY2" s="24" t="s">
        <v>1575</v>
      </c>
      <c r="AZ2" s="6" t="s">
        <v>1397</v>
      </c>
      <c r="BA2" s="6">
        <v>24</v>
      </c>
      <c r="BB2" s="9" t="str">
        <f>IF(BA2=0,"-",IF(BA2=1,SUM(BA$1:BA1)+1,SUM(BA$1:BA1)+1 &amp; "-" &amp; SUM(BA$1:BA2)))</f>
        <v>1-24</v>
      </c>
      <c r="BC2" s="6" t="str">
        <f t="shared" ref="BC2:BC29" si="7">"!import-table-item --" &amp; AY$1 &amp; " --" &amp; AY2 &amp; " --" &amp; BA2</f>
        <v>!import-table-item --Misc-H --[[ 1t[Stat-Books-H] ]] --24</v>
      </c>
      <c r="BD2" s="6" t="s">
        <v>290</v>
      </c>
      <c r="BE2" s="6" t="s">
        <v>1397</v>
      </c>
      <c r="BF2" s="6">
        <v>1</v>
      </c>
      <c r="BG2" s="9">
        <f>IF(BF2=0,"-",IF(BF2=1,SUM(BF$1:BF1)+1,SUM(BF$1:BF1)+1 &amp; "-" &amp; SUM(BF$1:BF2)))</f>
        <v>1</v>
      </c>
      <c r="BH2" s="6" t="str">
        <f t="shared" ref="BH2:BH7" si="8">"!import-table-item --" &amp; BD$1 &amp; " --" &amp; BD2 &amp; " --" &amp; BF2</f>
        <v>!import-table-item --Stat-Books-H --Manual of Gainful Exercise --1</v>
      </c>
      <c r="BI2" s="6" t="s">
        <v>1588</v>
      </c>
      <c r="BJ2" s="6" t="s">
        <v>1397</v>
      </c>
      <c r="BK2" s="6">
        <v>2</v>
      </c>
      <c r="BL2" s="9" t="str">
        <f>IF(BK2=0,"-",IF(BK2=1,SUM(BK$1:BK1)+1,SUM(BK$1:BK1)+1 &amp; "-" &amp; SUM(BK$1:BK2)))</f>
        <v>1-2</v>
      </c>
      <c r="BM2" s="6" t="str">
        <f>"!import-table-item --" &amp; BI$1 &amp; " --" &amp; BI2 &amp; " --" &amp; BK2</f>
        <v>!import-table-item --Candle-H --Chaotic Evil --2</v>
      </c>
      <c r="BN2" s="6" t="s">
        <v>1583</v>
      </c>
      <c r="BO2" s="6" t="s">
        <v>1402</v>
      </c>
      <c r="BP2" s="6">
        <v>10</v>
      </c>
      <c r="BQ2" s="9" t="str">
        <f>IF(BP2=0,"-",IF(BP2=1,SUM(BP$1:BP1)+1,SUM(BP$1:BP1)+1 &amp; "-" &amp; SUM(BP$1:BP2)))</f>
        <v>1-10</v>
      </c>
      <c r="BR2" s="6" t="str">
        <f>"!import-table-item --" &amp; BN$1 &amp; " --" &amp; BN2 &amp; " --" &amp; BP2</f>
        <v>!import-table-item --Spellcaster-H --All-Purpose Tool, +3  --10</v>
      </c>
    </row>
    <row r="3" spans="1:70" x14ac:dyDescent="0.25">
      <c r="A3" s="24" t="s">
        <v>1521</v>
      </c>
      <c r="C3" s="6">
        <v>15</v>
      </c>
      <c r="D3" s="9" t="str">
        <f>IF(C3=0,"-",IF(C3=1,SUM(C$1:C2)+1,SUM(C$1:C2)+1 &amp; "-" &amp; SUM(C$1:C3)))</f>
        <v>21-35</v>
      </c>
      <c r="E3" s="6" t="str">
        <f t="shared" si="0"/>
        <v>!import-table-item --Magic-Item-Table-H --[[ 1t[Armor-H] ]] --15</v>
      </c>
      <c r="F3" s="24" t="s">
        <v>1556</v>
      </c>
      <c r="G3" s="6" t="s">
        <v>1397</v>
      </c>
      <c r="H3" s="6">
        <v>4</v>
      </c>
      <c r="I3" s="9" t="str">
        <f>IF(H3=0,"-",IF(H3=1,SUM(H$1:H2)+1,SUM(H$1:H2)+1 &amp; "-" &amp; SUM(H$1:H3)))</f>
        <v>9-12</v>
      </c>
      <c r="J3" s="6" t="str">
        <f t="shared" ref="J3:J25" si="9">"!import-table-item --" &amp; F$1 &amp; " --" &amp; F3 &amp; " --" &amp; H3</f>
        <v>!import-table-item --Apparel-H --Belt of [[ 1t[Giant-H] ]] Giant Strength --4</v>
      </c>
      <c r="K3" s="6" t="s">
        <v>1542</v>
      </c>
      <c r="L3" s="6" t="s">
        <v>1402</v>
      </c>
      <c r="M3" s="6">
        <v>1</v>
      </c>
      <c r="N3" s="9">
        <f>IF(M3=0,"-",IF(M3=1,SUM(M$1:M2)+1,SUM(M$1:M2)+1 &amp; "-" &amp; SUM(M$1:M3)))</f>
        <v>2</v>
      </c>
      <c r="O3" s="6" t="str">
        <f t="shared" si="1"/>
        <v>!import-table-item --Absorbing-H --Cold Absorbing Blue --1</v>
      </c>
      <c r="P3" s="6" t="s">
        <v>1555</v>
      </c>
      <c r="Q3" s="6" t="s">
        <v>1397</v>
      </c>
      <c r="R3" s="6">
        <v>2</v>
      </c>
      <c r="S3" s="9" t="str">
        <f>IF(R3=0,"-",IF(R3=1,SUM(R$1:R2)+1,SUM(R$1:R2)+1 &amp; "-" &amp; SUM(R$1:R3)))</f>
        <v>3-4</v>
      </c>
      <c r="T3" s="6" t="str">
        <f>"!import-table-item --" &amp; P$1 &amp; " --" &amp; P3 &amp; " --" &amp; R3</f>
        <v>!import-table-item --Giant-H --Stone --2</v>
      </c>
      <c r="U3" s="24" t="s">
        <v>1529</v>
      </c>
      <c r="V3" s="6" t="s">
        <v>1397</v>
      </c>
      <c r="W3" s="6">
        <v>2</v>
      </c>
      <c r="X3" s="9" t="str">
        <f>IF(W3=0,"-",IF(W3=1,SUM(W$1:W2)+1,SUM(W$1:W2)+1 &amp; "-" &amp; SUM(W$1:W3)))</f>
        <v>5-6</v>
      </c>
      <c r="Y3" s="6" t="str">
        <f t="shared" si="2"/>
        <v>!import-table-item --Armor-H --[[ 1t[Dragon-H] ]] Dragon Scale Mail --2</v>
      </c>
      <c r="Z3" s="6" t="s">
        <v>263</v>
      </c>
      <c r="AA3" s="6" t="s">
        <v>1397</v>
      </c>
      <c r="AB3" s="6">
        <v>1</v>
      </c>
      <c r="AC3" s="9">
        <f>IF(AB3=0,"-",IF(AB3=1,SUM(AB$1:AB2)+1,SUM(AB$1:AB2)+1 &amp; "-" &amp; SUM(AB$1:AB3)))</f>
        <v>3</v>
      </c>
      <c r="AD3" s="6" t="str">
        <f t="shared" si="3"/>
        <v>!import-table-item --Shields-H --Animated Shield --1</v>
      </c>
      <c r="AE3" s="6" t="s">
        <v>1532</v>
      </c>
      <c r="AF3" s="6" t="s">
        <v>1397</v>
      </c>
      <c r="AG3" s="6">
        <v>1</v>
      </c>
      <c r="AH3" s="9">
        <f>IF(AG3=0,"-",IF(AG3=1,SUM(AG$1:AG2)+1,SUM(AG$1:AG2)+1 &amp; "-" &amp; SUM(AG$1:AG3)))</f>
        <v>2</v>
      </c>
      <c r="AI3" s="6" t="str">
        <f t="shared" si="4"/>
        <v>!import-table-item --Dragon-H --Blue --1</v>
      </c>
      <c r="AJ3" s="24" t="s">
        <v>1927</v>
      </c>
      <c r="AK3" s="6" t="s">
        <v>1875</v>
      </c>
      <c r="AL3" s="6">
        <v>6</v>
      </c>
      <c r="AM3" s="9" t="str">
        <f>IF(AL3=0,"-",IF(AL3=1,SUM(AL$1:AL2)+1,SUM(AL$1:AL2)+1 &amp; "-" &amp; SUM(AL$1:AL3)))</f>
        <v>11-16</v>
      </c>
      <c r="AN3" s="6" t="str">
        <f t="shared" si="5"/>
        <v>!import-table-item --Arms-H --[[ 1t[Bows] ]] of Melodies --6</v>
      </c>
      <c r="AO3" s="6" t="s">
        <v>1406</v>
      </c>
      <c r="AP3" s="6" t="s">
        <v>1403</v>
      </c>
      <c r="AQ3" s="6">
        <v>2</v>
      </c>
      <c r="AR3" s="9" t="str">
        <f>IF(AQ3=0,"-",IF(AQ3=1,SUM(AQ$1:AQ2)+1,SUM(AQ$1:AQ2)+1 &amp; "-" &amp; SUM(AQ$1:AQ3)))</f>
        <v>4-5</v>
      </c>
      <c r="AS3" s="6" t="str">
        <f t="shared" si="6"/>
        <v>!import-table-item --Jewelry-H --Amethyst Lodestone --2</v>
      </c>
      <c r="AT3" s="6" t="s">
        <v>1711</v>
      </c>
      <c r="AU3" s="6" t="s">
        <v>1397</v>
      </c>
      <c r="AV3" s="6">
        <v>2</v>
      </c>
      <c r="AW3" s="9" t="str">
        <f>IF(AV3=0,"-",IF(AV3=1,SUM(AV$1:AV2)+1,SUM(AV$1:AV2)+1 &amp; "-" &amp; SUM(AV$1:AV3)))</f>
        <v>3-4</v>
      </c>
      <c r="AX3" s="6" t="str">
        <f>"!import-table-item --" &amp; AT$1 &amp; " --" &amp; AT3 &amp; " --" &amp; AV3</f>
        <v>!import-table-item --Ioun-Stone-I --Ioun Stone of Mastery --2</v>
      </c>
      <c r="AY3" s="24" t="s">
        <v>1596</v>
      </c>
      <c r="AZ3" s="6" t="s">
        <v>1397</v>
      </c>
      <c r="BA3" s="6">
        <v>3</v>
      </c>
      <c r="BB3" s="9" t="str">
        <f>IF(BA3=0,"-",IF(BA3=1,SUM(BA$1:BA2)+1,SUM(BA$1:BA2)+1 &amp; "-" &amp; SUM(BA$1:BA3)))</f>
        <v>25-27</v>
      </c>
      <c r="BC3" s="6" t="str">
        <f t="shared" si="7"/>
        <v>!import-table-item --Misc-H --[[ 1t[Candle-H] ]] Candle of Invocation --3</v>
      </c>
      <c r="BD3" s="6" t="s">
        <v>292</v>
      </c>
      <c r="BE3" s="6" t="s">
        <v>1397</v>
      </c>
      <c r="BF3" s="6">
        <v>1</v>
      </c>
      <c r="BG3" s="9">
        <f>IF(BF3=0,"-",IF(BF3=1,SUM(BF$1:BF2)+1,SUM(BF$1:BF2)+1 &amp; "-" &amp; SUM(BF$1:BF3)))</f>
        <v>2</v>
      </c>
      <c r="BH3" s="6" t="str">
        <f t="shared" si="8"/>
        <v>!import-table-item --Stat-Books-H --Manual of Quickness of Action --1</v>
      </c>
      <c r="BI3" s="6" t="s">
        <v>1589</v>
      </c>
      <c r="BJ3" s="6" t="s">
        <v>1397</v>
      </c>
      <c r="BK3" s="6">
        <v>2</v>
      </c>
      <c r="BL3" s="9" t="str">
        <f>IF(BK3=0,"-",IF(BK3=1,SUM(BK$1:BK2)+1,SUM(BK$1:BK2)+1 &amp; "-" &amp; SUM(BK$1:BK3)))</f>
        <v>3-4</v>
      </c>
      <c r="BM3" s="6" t="str">
        <f t="shared" ref="BM3:BM10" si="10">"!import-table-item --" &amp; BI$1 &amp; " --" &amp; BI3 &amp; " --" &amp; BK3</f>
        <v>!import-table-item --Candle-H --Chaotic Neutral --2</v>
      </c>
      <c r="BN3" s="6" t="s">
        <v>1581</v>
      </c>
      <c r="BO3" s="6" t="s">
        <v>1402</v>
      </c>
      <c r="BP3" s="6">
        <v>10</v>
      </c>
      <c r="BQ3" s="9" t="str">
        <f>IF(BP3=0,"-",IF(BP3=1,SUM(BP$1:BP2)+1,SUM(BP$1:BP2)+1 &amp; "-" &amp; SUM(BP$1:BP3)))</f>
        <v>11-20</v>
      </c>
      <c r="BR3" s="6" t="str">
        <f t="shared" ref="BR3:BR24" si="11">"!import-table-item --" &amp; BN$1 &amp; " --" &amp; BN3 &amp; " --" &amp; BP3</f>
        <v>!import-table-item --Spellcaster-H --Moon Sickle, +3  --10</v>
      </c>
    </row>
    <row r="4" spans="1:70" x14ac:dyDescent="0.25">
      <c r="A4" s="24" t="s">
        <v>1520</v>
      </c>
      <c r="C4" s="6">
        <v>15</v>
      </c>
      <c r="D4" s="9" t="str">
        <f>IF(C4=0,"-",IF(C4=1,SUM(C$1:C3)+1,SUM(C$1:C3)+1 &amp; "-" &amp; SUM(C$1:C4)))</f>
        <v>36-50</v>
      </c>
      <c r="E4" s="6" t="str">
        <f t="shared" si="0"/>
        <v>!import-table-item --Magic-Item-Table-H --[[ 1t[Arms-H] ]] --15</v>
      </c>
      <c r="F4" s="6" t="s">
        <v>264</v>
      </c>
      <c r="G4" s="6" t="s">
        <v>1397</v>
      </c>
      <c r="H4" s="6">
        <v>4</v>
      </c>
      <c r="I4" s="9" t="str">
        <f>IF(H4=0,"-",IF(H4=1,SUM(H$1:H3)+1,SUM(H$1:H3)+1 &amp; "-" &amp; SUM(H$1:H4)))</f>
        <v>13-16</v>
      </c>
      <c r="J4" s="6" t="str">
        <f t="shared" si="9"/>
        <v>!import-table-item --Apparel-H --Belt of Fire Giant Strength --4</v>
      </c>
      <c r="K4" s="6" t="s">
        <v>1543</v>
      </c>
      <c r="L4" s="6" t="s">
        <v>1402</v>
      </c>
      <c r="M4" s="6">
        <v>1</v>
      </c>
      <c r="N4" s="9">
        <f>IF(M4=0,"-",IF(M4=1,SUM(M$1:M3)+1,SUM(M$1:M3)+1 &amp; "-" &amp; SUM(M$1:M4)))</f>
        <v>3</v>
      </c>
      <c r="O4" s="6" t="str">
        <f t="shared" si="1"/>
        <v>!import-table-item --Absorbing-H --Fire Absorbing Red --1</v>
      </c>
      <c r="S4" s="9"/>
      <c r="U4" s="24" t="s">
        <v>1564</v>
      </c>
      <c r="V4" s="6" t="s">
        <v>1401</v>
      </c>
      <c r="W4" s="6">
        <v>2</v>
      </c>
      <c r="X4" s="9" t="str">
        <f>IF(W4=0,"-",IF(W4=1,SUM(W$1:W3)+1,SUM(W$1:W3)+1 &amp; "-" &amp; SUM(W$1:W4)))</f>
        <v>7-8</v>
      </c>
      <c r="Y4" s="6" t="str">
        <f t="shared" si="2"/>
        <v>!import-table-item --Armor-H --[[ 1t[Heavy-Armor] ]] of Safeguarding --2</v>
      </c>
      <c r="Z4" s="6" t="s">
        <v>1457</v>
      </c>
      <c r="AA4" s="6" t="s">
        <v>1403</v>
      </c>
      <c r="AB4" s="6">
        <v>1</v>
      </c>
      <c r="AC4" s="9">
        <f>IF(AB4=0,"-",IF(AB4=1,SUM(AB$1:AB3)+1,SUM(AB$1:AB3)+1 &amp; "-" &amp; SUM(AB$1:AB4)))</f>
        <v>4</v>
      </c>
      <c r="AD4" s="6" t="str">
        <f t="shared" si="3"/>
        <v>!import-table-item --Shields-H --Sapphire Buckler --1</v>
      </c>
      <c r="AE4" s="6" t="s">
        <v>403</v>
      </c>
      <c r="AF4" s="6" t="s">
        <v>1397</v>
      </c>
      <c r="AG4" s="6">
        <v>1</v>
      </c>
      <c r="AH4" s="9">
        <f>IF(AG4=0,"-",IF(AG4=1,SUM(AG$1:AG3)+1,SUM(AG$1:AG3)+1 &amp; "-" &amp; SUM(AG$1:AG4)))</f>
        <v>3</v>
      </c>
      <c r="AI4" s="6" t="str">
        <f t="shared" si="4"/>
        <v>!import-table-item --Dragon-H --Brass --1</v>
      </c>
      <c r="AJ4" s="24" t="s">
        <v>1921</v>
      </c>
      <c r="AK4" s="6" t="s">
        <v>1875</v>
      </c>
      <c r="AL4" s="6">
        <v>6</v>
      </c>
      <c r="AM4" s="9" t="str">
        <f>IF(AL4=0,"-",IF(AL4=1,SUM(AL$1:AL3)+1,SUM(AL$1:AL3)+1 &amp; "-" &amp; SUM(AL$1:AL4)))</f>
        <v>17-22</v>
      </c>
      <c r="AN4" s="6" t="str">
        <f t="shared" si="5"/>
        <v>!import-table-item --Arms-H --[[ 1t[Weapons] ]] of Throne's Command --6</v>
      </c>
      <c r="AO4" s="6" t="s">
        <v>1407</v>
      </c>
      <c r="AP4" s="6" t="s">
        <v>1408</v>
      </c>
      <c r="AQ4" s="6">
        <v>2</v>
      </c>
      <c r="AR4" s="9" t="str">
        <f>IF(AQ4=0,"-",IF(AQ4=1,SUM(AQ$1:AQ3)+1,SUM(AQ$1:AQ3)+1 &amp; "-" &amp; SUM(AQ$1:AQ4)))</f>
        <v>6-7</v>
      </c>
      <c r="AS4" s="6" t="str">
        <f t="shared" si="6"/>
        <v>!import-table-item --Jewelry-H --Amulet of the Black Skull --2</v>
      </c>
      <c r="AT4" s="6" t="s">
        <v>1713</v>
      </c>
      <c r="AU4" s="6" t="s">
        <v>1397</v>
      </c>
      <c r="AV4" s="6">
        <v>2</v>
      </c>
      <c r="AW4" s="9" t="str">
        <f>IF(AV4=0,"-",IF(AV4=1,SUM(AV$1:AV3)+1,SUM(AV$1:AV3)+1 &amp; "-" &amp; SUM(AV$1:AV4)))</f>
        <v>5-6</v>
      </c>
      <c r="AX4" s="6" t="str">
        <f>"!import-table-item --" &amp; AT$1 &amp; " --" &amp; AT4 &amp; " --" &amp; AV4</f>
        <v>!import-table-item --Ioun-Stone-I --Ioun Stone of Regeneration --2</v>
      </c>
      <c r="AY4" s="6" t="s">
        <v>1413</v>
      </c>
      <c r="AZ4" s="6" t="s">
        <v>1414</v>
      </c>
      <c r="BA4" s="6">
        <v>3</v>
      </c>
      <c r="BB4" s="9" t="str">
        <f>IF(BA4=0,"-",IF(BA4=1,SUM(BA$1:BA3)+1,SUM(BA$1:BA3)+1 &amp; "-" &amp; SUM(BA$1:BA4)))</f>
        <v>28-30</v>
      </c>
      <c r="BC4" s="6" t="str">
        <f t="shared" si="7"/>
        <v>!import-table-item --Misc-H --Bobbing Lily Pad --3</v>
      </c>
      <c r="BD4" s="6" t="s">
        <v>289</v>
      </c>
      <c r="BE4" s="6" t="s">
        <v>1397</v>
      </c>
      <c r="BF4" s="6">
        <v>1</v>
      </c>
      <c r="BG4" s="9">
        <f>IF(BF4=0,"-",IF(BF4=1,SUM(BF$1:BF3)+1,SUM(BF$1:BF3)+1 &amp; "-" &amp; SUM(BF$1:BF4)))</f>
        <v>3</v>
      </c>
      <c r="BH4" s="6" t="str">
        <f t="shared" si="8"/>
        <v>!import-table-item --Stat-Books-H --Manual of Bodily Health --1</v>
      </c>
      <c r="BI4" s="6" t="s">
        <v>1590</v>
      </c>
      <c r="BJ4" s="6" t="s">
        <v>1397</v>
      </c>
      <c r="BK4" s="6">
        <v>3</v>
      </c>
      <c r="BL4" s="9" t="str">
        <f>IF(BK4=0,"-",IF(BK4=1,SUM(BK$1:BK3)+1,SUM(BK$1:BK3)+1 &amp; "-" &amp; SUM(BK$1:BK4)))</f>
        <v>5-7</v>
      </c>
      <c r="BM4" s="6" t="str">
        <f t="shared" si="10"/>
        <v>!import-table-item --Candle-H --Chaotic Good --3</v>
      </c>
      <c r="BN4" s="6" t="s">
        <v>1582</v>
      </c>
      <c r="BO4" s="6" t="s">
        <v>1402</v>
      </c>
      <c r="BP4" s="6">
        <v>7</v>
      </c>
      <c r="BQ4" s="9" t="str">
        <f>IF(BP4=0,"-",IF(BP4=1,SUM(BP$1:BP3)+1,SUM(BP$1:BP3)+1 &amp; "-" &amp; SUM(BP$1:BP4)))</f>
        <v>21-27</v>
      </c>
      <c r="BR4" s="6" t="str">
        <f t="shared" si="11"/>
        <v>!import-table-item --Spellcaster-H --Amulet of the Devout, +3  --7</v>
      </c>
    </row>
    <row r="5" spans="1:70" x14ac:dyDescent="0.25">
      <c r="A5" s="24" t="s">
        <v>1523</v>
      </c>
      <c r="C5" s="6">
        <v>15</v>
      </c>
      <c r="D5" s="9" t="str">
        <f>IF(C5=0,"-",IF(C5=1,SUM(C$1:C4)+1,SUM(C$1:C4)+1 &amp; "-" &amp; SUM(C$1:C5)))</f>
        <v>51-65</v>
      </c>
      <c r="E5" s="6" t="str">
        <f t="shared" si="0"/>
        <v>!import-table-item --Magic-Item-Table-H --[[ 1t[Jewelry-H] ]] --15</v>
      </c>
      <c r="F5" s="6" t="s">
        <v>1415</v>
      </c>
      <c r="G5" s="6" t="s">
        <v>1679</v>
      </c>
      <c r="H5" s="6">
        <v>4</v>
      </c>
      <c r="I5" s="9" t="str">
        <f>IF(H5=0,"-",IF(H5=1,SUM(H$1:H4)+1,SUM(H$1:H4)+1 &amp; "-" &amp; SUM(H$1:H5)))</f>
        <v>17-20</v>
      </c>
      <c r="J5" s="6" t="str">
        <f t="shared" si="9"/>
        <v>!import-table-item --Apparel-H --Boots of Haste --4</v>
      </c>
      <c r="K5" s="6" t="s">
        <v>1544</v>
      </c>
      <c r="L5" s="6" t="s">
        <v>1402</v>
      </c>
      <c r="M5" s="6">
        <v>1</v>
      </c>
      <c r="N5" s="9">
        <f>IF(M5=0,"-",IF(M5=1,SUM(M$1:M4)+1,SUM(M$1:M4)+1 &amp; "-" &amp; SUM(M$1:M5)))</f>
        <v>4</v>
      </c>
      <c r="O5" s="6" t="str">
        <f t="shared" si="1"/>
        <v>!import-table-item --Absorbing-H --Force Absorbing White --1</v>
      </c>
      <c r="S5" s="9"/>
      <c r="U5" s="24" t="s">
        <v>1558</v>
      </c>
      <c r="V5" s="6" t="s">
        <v>1397</v>
      </c>
      <c r="W5" s="6">
        <v>2</v>
      </c>
      <c r="X5" s="9" t="str">
        <f>IF(W5=0,"-",IF(W5=1,SUM(W$1:W4)+1,SUM(W$1:W4)+1 &amp; "-" &amp; SUM(W$1:W5)))</f>
        <v>9-10</v>
      </c>
      <c r="Y5" s="6" t="str">
        <f t="shared" si="2"/>
        <v>!import-table-item --Armor-H --[[ 1t[Shields-H] ]] --2</v>
      </c>
      <c r="Z5" s="6" t="s">
        <v>1459</v>
      </c>
      <c r="AA5" s="6" t="s">
        <v>1411</v>
      </c>
      <c r="AB5" s="6">
        <v>1</v>
      </c>
      <c r="AC5" s="9">
        <f>IF(AB5=0,"-",IF(AB5=1,SUM(AB$1:AB4)+1,SUM(AB$1:AB4)+1 &amp; "-" &amp; SUM(AB$1:AB5)))</f>
        <v>5</v>
      </c>
      <c r="AD5" s="6" t="str">
        <f t="shared" si="3"/>
        <v>!import-table-item --Shields-H --Shield of the Uven Rune --1</v>
      </c>
      <c r="AE5" s="6" t="s">
        <v>1533</v>
      </c>
      <c r="AF5" s="6" t="s">
        <v>1397</v>
      </c>
      <c r="AG5" s="6">
        <v>1</v>
      </c>
      <c r="AH5" s="9">
        <f>IF(AG5=0,"-",IF(AG5=1,SUM(AG$1:AG4)+1,SUM(AG$1:AG4)+1 &amp; "-" &amp; SUM(AG$1:AG5)))</f>
        <v>4</v>
      </c>
      <c r="AI5" s="6" t="str">
        <f t="shared" si="4"/>
        <v>!import-table-item --Dragon-H --Bronze --1</v>
      </c>
      <c r="AJ5" s="24" t="s">
        <v>1704</v>
      </c>
      <c r="AK5" s="6" t="s">
        <v>1403</v>
      </c>
      <c r="AL5" s="6">
        <v>6</v>
      </c>
      <c r="AM5" s="9" t="str">
        <f>IF(AL5=0,"-",IF(AL5=1,SUM(AL$1:AL4)+1,SUM(AL$1:AL4)+1 &amp; "-" &amp; SUM(AL$1:AL5)))</f>
        <v>23-28</v>
      </c>
      <c r="AN5" s="6" t="str">
        <f t="shared" si="5"/>
        <v>!import-table-item --Arms-H --Wakened Dragon's Wrath [[ 1t[Dragon-Breath] ]] [[ 1t[Weapons] ]] --6</v>
      </c>
      <c r="AO5" s="6" t="s">
        <v>1455</v>
      </c>
      <c r="AP5" s="6" t="s">
        <v>1401</v>
      </c>
      <c r="AQ5" s="6">
        <v>2</v>
      </c>
      <c r="AR5" s="9" t="str">
        <f>IF(AQ5=0,"-",IF(AQ5=1,SUM(AQ$1:AQ4)+1,SUM(AQ$1:AQ4)+1 &amp; "-" &amp; SUM(AQ$1:AQ5)))</f>
        <v>8-9</v>
      </c>
      <c r="AS5" s="6" t="str">
        <f t="shared" si="6"/>
        <v>!import-table-item --Jewelry-H --Ring of Amity --2</v>
      </c>
      <c r="AY5" s="6" t="s">
        <v>1586</v>
      </c>
      <c r="AZ5" s="6" t="s">
        <v>1397</v>
      </c>
      <c r="BA5" s="6">
        <v>3</v>
      </c>
      <c r="BB5" s="9" t="str">
        <f>IF(BA5=0,"-",IF(BA5=1,SUM(BA$1:BA4)+1,SUM(BA$1:BA4)+1 &amp; "-" &amp; SUM(BA$1:BA5)))</f>
        <v>31-33</v>
      </c>
      <c r="BC5" s="6" t="str">
        <f t="shared" si="7"/>
        <v>!import-table-item --Misc-H --Bronze Horn of Valhalla --3</v>
      </c>
      <c r="BD5" s="6" t="s">
        <v>302</v>
      </c>
      <c r="BE5" s="6" t="s">
        <v>1397</v>
      </c>
      <c r="BF5" s="6">
        <v>1</v>
      </c>
      <c r="BG5" s="9">
        <f>IF(BF5=0,"-",IF(BF5=1,SUM(BF$1:BF4)+1,SUM(BF$1:BF4)+1 &amp; "-" &amp; SUM(BF$1:BF5)))</f>
        <v>4</v>
      </c>
      <c r="BH5" s="6" t="str">
        <f t="shared" si="8"/>
        <v>!import-table-item --Stat-Books-H --Tome of Clear Thought --1</v>
      </c>
      <c r="BI5" s="6" t="s">
        <v>1591</v>
      </c>
      <c r="BJ5" s="6" t="s">
        <v>1397</v>
      </c>
      <c r="BK5" s="6">
        <v>2</v>
      </c>
      <c r="BL5" s="9" t="str">
        <f>IF(BK5=0,"-",IF(BK5=1,SUM(BK$1:BK4)+1,SUM(BK$1:BK4)+1 &amp; "-" &amp; SUM(BK$1:BK5)))</f>
        <v>8-9</v>
      </c>
      <c r="BM5" s="6" t="str">
        <f t="shared" si="10"/>
        <v>!import-table-item --Candle-H --Neutral Evil --2</v>
      </c>
      <c r="BN5" s="6" t="s">
        <v>1580</v>
      </c>
      <c r="BO5" s="6" t="s">
        <v>1402</v>
      </c>
      <c r="BP5" s="6">
        <v>7</v>
      </c>
      <c r="BQ5" s="9" t="str">
        <f>IF(BP5=0,"-",IF(BP5=1,SUM(BP$1:BP4)+1,SUM(BP$1:BP4)+1 &amp; "-" &amp; SUM(BP$1:BP5)))</f>
        <v>28-34</v>
      </c>
      <c r="BR5" s="6" t="str">
        <f t="shared" si="11"/>
        <v>!import-table-item --Spellcaster-H --Bloodwell Vial, +3  --7</v>
      </c>
    </row>
    <row r="6" spans="1:70" x14ac:dyDescent="0.25">
      <c r="A6" s="24" t="s">
        <v>1524</v>
      </c>
      <c r="C6" s="6">
        <v>20</v>
      </c>
      <c r="D6" s="9" t="str">
        <f>IF(C6=0,"-",IF(C6=1,SUM(C$1:C5)+1,SUM(C$1:C5)+1 &amp; "-" &amp; SUM(C$1:C6)))</f>
        <v>66-85</v>
      </c>
      <c r="E6" s="6" t="str">
        <f t="shared" si="0"/>
        <v>!import-table-item --Magic-Item-Table-H --[[ 1t[Misc-H] ]] --20</v>
      </c>
      <c r="F6" s="6" t="s">
        <v>1417</v>
      </c>
      <c r="G6" s="6" t="s">
        <v>1476</v>
      </c>
      <c r="H6" s="6">
        <v>4</v>
      </c>
      <c r="I6" s="9" t="str">
        <f>IF(H6=0,"-",IF(H6=1,SUM(H$1:H5)+1,SUM(H$1:H5)+1 &amp; "-" &amp; SUM(H$1:H6)))</f>
        <v>21-24</v>
      </c>
      <c r="J6" s="6" t="str">
        <f t="shared" si="9"/>
        <v>!import-table-item --Apparel-H --Cape of Enlargement --4</v>
      </c>
      <c r="K6" s="6" t="s">
        <v>1545</v>
      </c>
      <c r="L6" s="6" t="s">
        <v>1402</v>
      </c>
      <c r="M6" s="6">
        <v>1</v>
      </c>
      <c r="N6" s="9">
        <f>IF(M6=0,"-",IF(M6=1,SUM(M$1:M5)+1,SUM(M$1:M5)+1 &amp; "-" &amp; SUM(M$1:M6)))</f>
        <v>5</v>
      </c>
      <c r="O6" s="6" t="str">
        <f t="shared" si="1"/>
        <v>!import-table-item --Absorbing-H --Lightning Absorbing Yellow --1</v>
      </c>
      <c r="S6" s="9"/>
      <c r="U6" s="24" t="s">
        <v>1942</v>
      </c>
      <c r="V6" s="6" t="s">
        <v>1875</v>
      </c>
      <c r="W6" s="6">
        <v>2</v>
      </c>
      <c r="X6" s="9" t="str">
        <f>IF(W6=0,"-",IF(W6=1,SUM(W$1:W5)+1,SUM(W$1:W5)+1 &amp; "-" &amp; SUM(W$1:W6)))</f>
        <v>11-12</v>
      </c>
      <c r="Y6" s="6" t="str">
        <f t="shared" si="2"/>
        <v>!import-table-item --Armor-H --Antimagic [[ 1t[Armor] ]] --2</v>
      </c>
      <c r="Z6" s="6" t="s">
        <v>297</v>
      </c>
      <c r="AA6" s="6" t="s">
        <v>1397</v>
      </c>
      <c r="AB6" s="6">
        <v>1</v>
      </c>
      <c r="AC6" s="9">
        <f>IF(AB6=0,"-",IF(AB6=1,SUM(AB$1:AB5)+1,SUM(AB$1:AB5)+1 &amp; "-" &amp; SUM(AB$1:AB6)))</f>
        <v>6</v>
      </c>
      <c r="AD6" s="6" t="str">
        <f t="shared" si="3"/>
        <v>!import-table-item --Shields-H --Spellguard Shield --1</v>
      </c>
      <c r="AE6" s="6" t="s">
        <v>1534</v>
      </c>
      <c r="AF6" s="6" t="s">
        <v>1397</v>
      </c>
      <c r="AG6" s="6">
        <v>1</v>
      </c>
      <c r="AH6" s="9">
        <f>IF(AG6=0,"-",IF(AG6=1,SUM(AG$1:AG5)+1,SUM(AG$1:AG5)+1 &amp; "-" &amp; SUM(AG$1:AG6)))</f>
        <v>5</v>
      </c>
      <c r="AI6" s="6" t="str">
        <f t="shared" si="4"/>
        <v>!import-table-item --Dragon-H --Copper --1</v>
      </c>
      <c r="AJ6" s="6" t="s">
        <v>1929</v>
      </c>
      <c r="AK6" s="6" t="s">
        <v>1875</v>
      </c>
      <c r="AL6" s="6">
        <v>6</v>
      </c>
      <c r="AM6" s="9" t="str">
        <f>IF(AL6=0,"-",IF(AL6=1,SUM(AL$1:AL5)+1,SUM(AL$1:AL5)+1 &amp; "-" &amp; SUM(AL$1:AL6)))</f>
        <v>29-34</v>
      </c>
      <c r="AN6" s="6" t="str">
        <f t="shared" si="5"/>
        <v>!import-table-item --Arms-H --Wraps of Unarmed Prowess, +3 --6</v>
      </c>
      <c r="AO6" s="6" t="s">
        <v>247</v>
      </c>
      <c r="AP6" s="6" t="s">
        <v>1397</v>
      </c>
      <c r="AQ6" s="6">
        <v>2</v>
      </c>
      <c r="AR6" s="9" t="str">
        <f>IF(AQ6=0,"-",IF(AQ6=1,SUM(AQ$1:AQ5)+1,SUM(AQ$1:AQ5)+1 &amp; "-" &amp; SUM(AQ$1:AQ6)))</f>
        <v>10-11</v>
      </c>
      <c r="AS6" s="6" t="str">
        <f t="shared" si="6"/>
        <v>!import-table-item --Jewelry-H --Ring of Shooting Stars --2</v>
      </c>
      <c r="AY6" s="6" t="s">
        <v>244</v>
      </c>
      <c r="AZ6" s="6" t="s">
        <v>1397</v>
      </c>
      <c r="BA6" s="6">
        <v>3</v>
      </c>
      <c r="BB6" s="9" t="str">
        <f>IF(BA6=0,"-",IF(BA6=1,SUM(BA$1:BA5)+1,SUM(BA$1:BA5)+1 &amp; "-" &amp; SUM(BA$1:BA6)))</f>
        <v>34-36</v>
      </c>
      <c r="BC6" s="6" t="str">
        <f t="shared" si="7"/>
        <v>!import-table-item --Misc-H --Carpet of Flying --3</v>
      </c>
      <c r="BD6" s="6" t="s">
        <v>304</v>
      </c>
      <c r="BE6" s="6" t="s">
        <v>1397</v>
      </c>
      <c r="BF6" s="6">
        <v>1</v>
      </c>
      <c r="BG6" s="9">
        <f>IF(BF6=0,"-",IF(BF6=1,SUM(BF$1:BF5)+1,SUM(BF$1:BF5)+1 &amp; "-" &amp; SUM(BF$1:BF6)))</f>
        <v>5</v>
      </c>
      <c r="BH6" s="6" t="str">
        <f t="shared" si="8"/>
        <v>!import-table-item --Stat-Books-H --Tome of Understanding --1</v>
      </c>
      <c r="BI6" s="6" t="s">
        <v>1404</v>
      </c>
      <c r="BJ6" s="6" t="s">
        <v>1397</v>
      </c>
      <c r="BK6" s="6">
        <v>2</v>
      </c>
      <c r="BL6" s="9" t="str">
        <f>IF(BK6=0,"-",IF(BK6=1,SUM(BK$1:BK5)+1,SUM(BK$1:BK5)+1 &amp; "-" &amp; SUM(BK$1:BK6)))</f>
        <v>10-11</v>
      </c>
      <c r="BM6" s="6" t="str">
        <f t="shared" si="10"/>
        <v>!import-table-item --Candle-H --Neutral --2</v>
      </c>
      <c r="BN6" s="6" t="s">
        <v>1579</v>
      </c>
      <c r="BO6" s="6" t="s">
        <v>1402</v>
      </c>
      <c r="BP6" s="6">
        <v>7</v>
      </c>
      <c r="BQ6" s="9" t="str">
        <f>IF(BP6=0,"-",IF(BP6=1,SUM(BP$1:BP5)+1,SUM(BP$1:BP5)+1 &amp; "-" &amp; SUM(BP$1:BP6)))</f>
        <v>35-41</v>
      </c>
      <c r="BR6" s="6" t="str">
        <f t="shared" si="11"/>
        <v>!import-table-item --Spellcaster-H --Rhythm-Maker's Drum, +3 --7</v>
      </c>
    </row>
    <row r="7" spans="1:70" x14ac:dyDescent="0.25">
      <c r="A7" s="24" t="s">
        <v>1709</v>
      </c>
      <c r="C7" s="6">
        <v>15</v>
      </c>
      <c r="D7" s="9" t="str">
        <f>IF(C7=0,"-",IF(C7=1,SUM(C$1:C6)+1,SUM(C$1:C6)+1 &amp; "-" &amp; SUM(C$1:C7)))</f>
        <v>86-100</v>
      </c>
      <c r="E7" s="6" t="str">
        <f t="shared" si="0"/>
        <v>!import-table-item --Magic-Item-Table-H --[[ 1t[Spellcaster-H] ]] --15</v>
      </c>
      <c r="F7" s="6" t="s">
        <v>271</v>
      </c>
      <c r="G7" s="6" t="s">
        <v>1397</v>
      </c>
      <c r="H7" s="6">
        <v>4</v>
      </c>
      <c r="I7" s="9" t="str">
        <f>IF(H7=0,"-",IF(H7=1,SUM(H$1:H6)+1,SUM(H$1:H6)+1 &amp; "-" &amp; SUM(H$1:H7)))</f>
        <v>25-28</v>
      </c>
      <c r="J7" s="6" t="str">
        <f t="shared" si="9"/>
        <v>!import-table-item --Apparel-H --Cloak of Arachnida --4</v>
      </c>
      <c r="K7" s="6" t="s">
        <v>1546</v>
      </c>
      <c r="L7" s="6" t="s">
        <v>1402</v>
      </c>
      <c r="M7" s="6">
        <v>1</v>
      </c>
      <c r="N7" s="9">
        <f>IF(M7=0,"-",IF(M7=1,SUM(M$1:M6)+1,SUM(M$1:M6)+1 &amp; "-" &amp; SUM(M$1:M7)))</f>
        <v>6</v>
      </c>
      <c r="O7" s="6" t="str">
        <f t="shared" si="1"/>
        <v>!import-table-item --Absorbing-H --Necrotic Absorbing Black --1</v>
      </c>
      <c r="S7" s="9"/>
      <c r="U7" s="24" t="s">
        <v>1941</v>
      </c>
      <c r="V7" s="6" t="s">
        <v>1875</v>
      </c>
      <c r="W7" s="6">
        <v>2</v>
      </c>
      <c r="X7" s="9" t="str">
        <f>IF(W7=0,"-",IF(W7=1,SUM(W$1:W6)+1,SUM(W$1:W6)+1 &amp; "-" &amp; SUM(W$1:W7)))</f>
        <v>13-14</v>
      </c>
      <c r="Y7" s="6" t="str">
        <f t="shared" si="2"/>
        <v>!import-table-item --Armor-H --Clockwork [[ 1t[Heavy-Armor] ]] --2</v>
      </c>
      <c r="AC7" s="9"/>
      <c r="AE7" s="6" t="s">
        <v>1535</v>
      </c>
      <c r="AF7" s="6" t="s">
        <v>1397</v>
      </c>
      <c r="AG7" s="6">
        <v>1</v>
      </c>
      <c r="AH7" s="9">
        <f>IF(AG7=0,"-",IF(AG7=1,SUM(AG$1:AG6)+1,SUM(AG$1:AG6)+1 &amp; "-" &amp; SUM(AG$1:AG7)))</f>
        <v>6</v>
      </c>
      <c r="AI7" s="6" t="str">
        <f t="shared" si="4"/>
        <v>!import-table-item --Dragon-H --Gold --1</v>
      </c>
      <c r="AJ7" s="24" t="s">
        <v>1090</v>
      </c>
      <c r="AK7" s="6" t="s">
        <v>1397</v>
      </c>
      <c r="AL7" s="6">
        <v>3</v>
      </c>
      <c r="AM7" s="9" t="str">
        <f>IF(AL7=0,"-",IF(AL7=1,SUM(AL$1:AL6)+1,SUM(AL$1:AL6)+1 &amp; "-" &amp; SUM(AL$1:AL7)))</f>
        <v>35-37</v>
      </c>
      <c r="AN7" s="6" t="str">
        <f t="shared" si="5"/>
        <v>!import-table-item --Arms-H --[[ 1t[Swords] ]] of Sharpness --3</v>
      </c>
      <c r="AO7" s="6" t="s">
        <v>1456</v>
      </c>
      <c r="AP7" s="6" t="s">
        <v>1401</v>
      </c>
      <c r="AQ7" s="6">
        <v>2</v>
      </c>
      <c r="AR7" s="9" t="str">
        <f>IF(AQ7=0,"-",IF(AQ7=1,SUM(AQ$1:AQ6)+1,SUM(AQ$1:AQ6)+1 &amp; "-" &amp; SUM(AQ$1:AQ7)))</f>
        <v>12-13</v>
      </c>
      <c r="AS7" s="6" t="str">
        <f t="shared" si="6"/>
        <v>!import-table-item --Jewelry-H --Sanctum Amulet --2</v>
      </c>
      <c r="AY7" s="6" t="s">
        <v>1419</v>
      </c>
      <c r="AZ7" s="6" t="s">
        <v>1402</v>
      </c>
      <c r="BA7" s="6">
        <v>3</v>
      </c>
      <c r="BB7" s="9" t="str">
        <f>IF(BA7=0,"-",IF(BA7=1,SUM(BA$1:BA6)+1,SUM(BA$1:BA6)+1 &amp; "-" &amp; SUM(BA$1:BA7)))</f>
        <v>37-39</v>
      </c>
      <c r="BC7" s="6" t="str">
        <f t="shared" si="7"/>
        <v>!import-table-item --Misc-H --Cauldron of Rebirth --3</v>
      </c>
      <c r="BD7" s="6" t="s">
        <v>303</v>
      </c>
      <c r="BE7" s="6" t="s">
        <v>1397</v>
      </c>
      <c r="BF7" s="6">
        <v>1</v>
      </c>
      <c r="BG7" s="9">
        <f>IF(BF7=0,"-",IF(BF7=1,SUM(BF$1:BF6)+1,SUM(BF$1:BF6)+1 &amp; "-" &amp; SUM(BF$1:BF7)))</f>
        <v>6</v>
      </c>
      <c r="BH7" s="6" t="str">
        <f t="shared" si="8"/>
        <v>!import-table-item --Stat-Books-H --Tome of Leadership and Influence --1</v>
      </c>
      <c r="BI7" s="6" t="s">
        <v>1592</v>
      </c>
      <c r="BJ7" s="6" t="s">
        <v>1397</v>
      </c>
      <c r="BK7" s="6">
        <v>2</v>
      </c>
      <c r="BL7" s="9" t="str">
        <f>IF(BK7=0,"-",IF(BK7=1,SUM(BK$1:BK6)+1,SUM(BK$1:BK6)+1 &amp; "-" &amp; SUM(BK$1:BK7)))</f>
        <v>12-13</v>
      </c>
      <c r="BM7" s="6" t="str">
        <f t="shared" si="10"/>
        <v>!import-table-item --Candle-H --Neutral Good --2</v>
      </c>
      <c r="BN7" s="6" t="s">
        <v>253</v>
      </c>
      <c r="BO7" s="6" t="s">
        <v>1397</v>
      </c>
      <c r="BP7" s="6">
        <v>7</v>
      </c>
      <c r="BQ7" s="9" t="str">
        <f>IF(BP7=0,"-",IF(BP7=1,SUM(BP$1:BP6)+1,SUM(BP$1:BP6)+1 &amp; "-" &amp; SUM(BP$1:BP7)))</f>
        <v>42-48</v>
      </c>
      <c r="BR7" s="6" t="str">
        <f t="shared" si="11"/>
        <v>!import-table-item --Spellcaster-H --Rod of the Pact Keeper, +3 --7</v>
      </c>
    </row>
    <row r="8" spans="1:70" x14ac:dyDescent="0.25">
      <c r="D8" s="9"/>
      <c r="F8" s="6" t="s">
        <v>1931</v>
      </c>
      <c r="G8" s="6" t="s">
        <v>1875</v>
      </c>
      <c r="H8" s="6">
        <v>4</v>
      </c>
      <c r="I8" s="9" t="str">
        <f>IF(H8=0,"-",IF(H8=1,SUM(H$1:H7)+1,SUM(H$1:H7)+1 &amp; "-" &amp; SUM(H$1:H8)))</f>
        <v>29-32</v>
      </c>
      <c r="J8" s="6" t="str">
        <f t="shared" si="9"/>
        <v>!import-table-item --Apparel-H --Crown of Whirling Comets --4</v>
      </c>
      <c r="K8" s="6" t="s">
        <v>1547</v>
      </c>
      <c r="L8" s="6" t="s">
        <v>1402</v>
      </c>
      <c r="M8" s="6">
        <v>1</v>
      </c>
      <c r="N8" s="9">
        <f>IF(M8=0,"-",IF(M8=1,SUM(M$1:M7)+1,SUM(M$1:M7)+1 &amp; "-" &amp; SUM(M$1:M8)))</f>
        <v>7</v>
      </c>
      <c r="O8" s="6" t="str">
        <f t="shared" si="1"/>
        <v>!import-table-item --Absorbing-H --Poison Absorbing Violet --1</v>
      </c>
      <c r="S8" s="9"/>
      <c r="U8" s="24" t="s">
        <v>1563</v>
      </c>
      <c r="V8" s="6" t="s">
        <v>1409</v>
      </c>
      <c r="W8" s="6">
        <v>2</v>
      </c>
      <c r="X8" s="9" t="str">
        <f>IF(W8=0,"-",IF(W8=1,SUM(W$1:W7)+1,SUM(W$1:W7)+1 &amp; "-" &amp; SUM(W$1:W8)))</f>
        <v>15-16</v>
      </c>
      <c r="Y8" s="6" t="str">
        <f t="shared" si="2"/>
        <v>!import-table-item --Armor-H --Last Stand [[ 1t[Armor] ]] --2</v>
      </c>
      <c r="AC8" s="9"/>
      <c r="AE8" s="6" t="s">
        <v>1536</v>
      </c>
      <c r="AF8" s="6" t="s">
        <v>1397</v>
      </c>
      <c r="AG8" s="6">
        <v>1</v>
      </c>
      <c r="AH8" s="9">
        <f>IF(AG8=0,"-",IF(AG8=1,SUM(AG$1:AG7)+1,SUM(AG$1:AG7)+1 &amp; "-" &amp; SUM(AG$1:AG8)))</f>
        <v>7</v>
      </c>
      <c r="AI8" s="6" t="str">
        <f t="shared" si="4"/>
        <v>!import-table-item --Dragon-H --Green --1</v>
      </c>
      <c r="AJ8" s="6" t="s">
        <v>1932</v>
      </c>
      <c r="AK8" s="6" t="s">
        <v>1875</v>
      </c>
      <c r="AL8" s="6">
        <v>3</v>
      </c>
      <c r="AM8" s="9" t="str">
        <f>IF(AL8=0,"-",IF(AL8=1,SUM(AL$1:AL7)+1,SUM(AL$1:AL7)+1 &amp; "-" &amp; SUM(AL$1:AL8)))</f>
        <v>38-40</v>
      </c>
      <c r="AN8" s="6" t="str">
        <f t="shared" si="5"/>
        <v>!import-table-item --Arms-H --Baleful Talon --3</v>
      </c>
      <c r="AO8" s="6" t="s">
        <v>243</v>
      </c>
      <c r="AP8" s="6" t="s">
        <v>1397</v>
      </c>
      <c r="AQ8" s="6">
        <v>1</v>
      </c>
      <c r="AR8" s="9">
        <f>IF(AQ8=0,"-",IF(AQ8=1,SUM(AQ$1:AQ7)+1,SUM(AQ$1:AQ7)+1 &amp; "-" &amp; SUM(AQ$1:AQ8)))</f>
        <v>14</v>
      </c>
      <c r="AS8" s="6" t="str">
        <f t="shared" si="6"/>
        <v>!import-table-item --Jewelry-H --Amulet of the Planes --1</v>
      </c>
      <c r="AY8" s="6" t="s">
        <v>1420</v>
      </c>
      <c r="AZ8" s="6" t="s">
        <v>1513</v>
      </c>
      <c r="BA8" s="6">
        <v>3</v>
      </c>
      <c r="BB8" s="9" t="str">
        <f>IF(BA8=0,"-",IF(BA8=1,SUM(BA$1:BA7)+1,SUM(BA$1:BA7)+1 &amp; "-" &amp; SUM(BA$1:BA8)))</f>
        <v>40-42</v>
      </c>
      <c r="BC8" s="6" t="str">
        <f t="shared" si="7"/>
        <v>!import-table-item --Misc-H --Constantori's Portrait --3</v>
      </c>
      <c r="BI8" s="6" t="s">
        <v>1593</v>
      </c>
      <c r="BJ8" s="6" t="s">
        <v>1397</v>
      </c>
      <c r="BK8" s="6">
        <v>2</v>
      </c>
      <c r="BL8" s="9" t="str">
        <f>IF(BK8=0,"-",IF(BK8=1,SUM(BK$1:BK7)+1,SUM(BK$1:BK7)+1 &amp; "-" &amp; SUM(BK$1:BK8)))</f>
        <v>14-15</v>
      </c>
      <c r="BM8" s="6" t="str">
        <f t="shared" si="10"/>
        <v>!import-table-item --Candle-H --Lawful Evil --2</v>
      </c>
      <c r="BN8" s="6" t="s">
        <v>1584</v>
      </c>
      <c r="BO8" s="6" t="s">
        <v>1402</v>
      </c>
      <c r="BP8" s="6">
        <v>4</v>
      </c>
      <c r="BQ8" s="9" t="str">
        <f>IF(BP8=0,"-",IF(BP8=1,SUM(BP$1:BP7)+1,SUM(BP$1:BP7)+1 &amp; "-" &amp; SUM(BP$1:BP8)))</f>
        <v>49-52</v>
      </c>
      <c r="BR8" s="6" t="str">
        <f t="shared" si="11"/>
        <v>!import-table-item --Spellcaster-H --Arcane Grimoire, +3  --4</v>
      </c>
    </row>
    <row r="9" spans="1:70" x14ac:dyDescent="0.25">
      <c r="D9" s="9"/>
      <c r="F9" s="6" t="s">
        <v>1577</v>
      </c>
      <c r="G9" s="6" t="s">
        <v>1403</v>
      </c>
      <c r="H9" s="6">
        <v>4</v>
      </c>
      <c r="I9" s="9" t="str">
        <f>IF(H9=0,"-",IF(H9=1,SUM(H$1:H8)+1,SUM(H$1:H8)+1 &amp; "-" &amp; SUM(H$1:H9)))</f>
        <v>33-36</v>
      </c>
      <c r="J9" s="6" t="str">
        <f t="shared" si="9"/>
        <v>!import-table-item --Apparel-H --Dragonhide Belt, +3 --4</v>
      </c>
      <c r="K9" s="6" t="s">
        <v>1548</v>
      </c>
      <c r="L9" s="6" t="s">
        <v>1402</v>
      </c>
      <c r="M9" s="6">
        <v>1</v>
      </c>
      <c r="N9" s="9">
        <f>IF(M9=0,"-",IF(M9=1,SUM(M$1:M8)+1,SUM(M$1:M8)+1 &amp; "-" &amp; SUM(M$1:M9)))</f>
        <v>8</v>
      </c>
      <c r="O9" s="6" t="str">
        <f t="shared" si="1"/>
        <v>!import-table-item --Absorbing-H --Psychic Absorbing Silver --1</v>
      </c>
      <c r="S9" s="9"/>
      <c r="U9" s="24" t="s">
        <v>1562</v>
      </c>
      <c r="V9" s="6" t="s">
        <v>1398</v>
      </c>
      <c r="W9" s="6">
        <v>2</v>
      </c>
      <c r="X9" s="9" t="str">
        <f>IF(W9=0,"-",IF(W9=1,SUM(W$1:W8)+1,SUM(W$1:W8)+1 &amp; "-" &amp; SUM(W$1:W9)))</f>
        <v>17-18</v>
      </c>
      <c r="Y9" s="6" t="str">
        <f t="shared" si="2"/>
        <v>!import-table-item --Armor-H --Living [[ 1t[Armor] ]] --2</v>
      </c>
      <c r="AC9" s="9"/>
      <c r="AE9" s="6" t="s">
        <v>1537</v>
      </c>
      <c r="AF9" s="6" t="s">
        <v>1397</v>
      </c>
      <c r="AG9" s="6">
        <v>1</v>
      </c>
      <c r="AH9" s="9">
        <f>IF(AG9=0,"-",IF(AG9=1,SUM(AG$1:AG8)+1,SUM(AG$1:AG8)+1 &amp; "-" &amp; SUM(AG$1:AG9)))</f>
        <v>8</v>
      </c>
      <c r="AI9" s="6" t="str">
        <f t="shared" si="4"/>
        <v>!import-table-item --Dragon-H --Red --1</v>
      </c>
      <c r="AJ9" s="6" t="s">
        <v>1412</v>
      </c>
      <c r="AK9" s="6" t="s">
        <v>1409</v>
      </c>
      <c r="AL9" s="6">
        <v>3</v>
      </c>
      <c r="AM9" s="9" t="str">
        <f>IF(AL9=0,"-",IF(AL9=1,SUM(AL$1:AL8)+1,SUM(AL$1:AL8)+1 &amp; "-" &amp; SUM(AL$1:AL9)))</f>
        <v>41-43</v>
      </c>
      <c r="AN9" s="6" t="str">
        <f t="shared" si="5"/>
        <v>!import-table-item --Arms-H --Bloodaxe --3</v>
      </c>
      <c r="AO9" s="6" t="s">
        <v>246</v>
      </c>
      <c r="AP9" s="6" t="s">
        <v>1397</v>
      </c>
      <c r="AQ9" s="6">
        <v>1</v>
      </c>
      <c r="AR9" s="9">
        <f>IF(AQ9=0,"-",IF(AQ9=1,SUM(AQ$1:AQ8)+1,SUM(AQ$1:AQ8)+1 &amp; "-" &amp; SUM(AQ$1:AQ9)))</f>
        <v>15</v>
      </c>
      <c r="AS9" s="6" t="str">
        <f t="shared" si="6"/>
        <v>!import-table-item --Jewelry-H --Ring of Regeneration --1</v>
      </c>
      <c r="AY9" s="6" t="s">
        <v>1576</v>
      </c>
      <c r="AZ9" s="6" t="s">
        <v>1397</v>
      </c>
      <c r="BA9" s="6">
        <v>3</v>
      </c>
      <c r="BB9" s="9" t="str">
        <f>IF(BA9=0,"-",IF(BA9=1,SUM(BA$1:BA8)+1,SUM(BA$1:BA8)+1 &amp; "-" &amp; SUM(BA$1:BA9)))</f>
        <v>43-45</v>
      </c>
      <c r="BC9" s="6" t="str">
        <f t="shared" si="7"/>
        <v>!import-table-item --Misc-H --Crystal Ball --3</v>
      </c>
      <c r="BI9" s="6" t="s">
        <v>1594</v>
      </c>
      <c r="BJ9" s="6" t="s">
        <v>1397</v>
      </c>
      <c r="BK9" s="6">
        <v>2</v>
      </c>
      <c r="BL9" s="9" t="str">
        <f>IF(BK9=0,"-",IF(BK9=1,SUM(BK$1:BK8)+1,SUM(BK$1:BK8)+1 &amp; "-" &amp; SUM(BK$1:BK9)))</f>
        <v>16-17</v>
      </c>
      <c r="BM9" s="6" t="str">
        <f t="shared" si="10"/>
        <v>!import-table-item --Candle-H --Lawful Neutral --2</v>
      </c>
      <c r="BN9" s="6" t="s">
        <v>1410</v>
      </c>
      <c r="BO9" s="6" t="s">
        <v>1411</v>
      </c>
      <c r="BP9" s="6">
        <v>3</v>
      </c>
      <c r="BQ9" s="9" t="str">
        <f>IF(BP9=0,"-",IF(BP9=1,SUM(BP$1:BP8)+1,SUM(BP$1:BP8)+1 &amp; "-" &amp; SUM(BP$1:BP9)))</f>
        <v>53-55</v>
      </c>
      <c r="BR9" s="6" t="str">
        <f t="shared" si="11"/>
        <v>!import-table-item --Spellcaster-H --Blast Scepter --3</v>
      </c>
    </row>
    <row r="10" spans="1:70" x14ac:dyDescent="0.25">
      <c r="D10" s="9"/>
      <c r="F10" s="6" t="s">
        <v>1432</v>
      </c>
      <c r="G10" s="6" t="s">
        <v>1402</v>
      </c>
      <c r="H10" s="6">
        <v>4</v>
      </c>
      <c r="I10" s="9" t="str">
        <f>IF(H10=0,"-",IF(H10=1,SUM(H$1:H9)+1,SUM(H$1:H9)+1 &amp; "-" &amp; SUM(H$1:H10)))</f>
        <v>37-40</v>
      </c>
      <c r="J10" s="6" t="str">
        <f t="shared" si="9"/>
        <v>!import-table-item --Apparel-H --Ghost Step Tattoo --4</v>
      </c>
      <c r="K10" s="6" t="s">
        <v>1549</v>
      </c>
      <c r="L10" s="6" t="s">
        <v>1402</v>
      </c>
      <c r="M10" s="6">
        <v>1</v>
      </c>
      <c r="N10" s="9">
        <f>IF(M10=0,"-",IF(M10=1,SUM(M$1:M9)+1,SUM(M$1:M9)+1 &amp; "-" &amp; SUM(M$1:M10)))</f>
        <v>9</v>
      </c>
      <c r="O10" s="6" t="str">
        <f t="shared" si="1"/>
        <v>!import-table-item --Absorbing-H --Radiant Absorbing Gold --1</v>
      </c>
      <c r="S10" s="9"/>
      <c r="U10" s="6" t="s">
        <v>275</v>
      </c>
      <c r="V10" s="6" t="s">
        <v>1397</v>
      </c>
      <c r="W10" s="6">
        <v>1</v>
      </c>
      <c r="X10" s="9">
        <f>IF(W10=0,"-",IF(W10=1,SUM(W$1:W9)+1,SUM(W$1:W9)+1 &amp; "-" &amp; SUM(W$1:W10)))</f>
        <v>19</v>
      </c>
      <c r="Y10" s="6" t="str">
        <f t="shared" si="2"/>
        <v>!import-table-item --Armor-H --Dwarven Plate --1</v>
      </c>
      <c r="AC10" s="9"/>
      <c r="AE10" s="6" t="s">
        <v>402</v>
      </c>
      <c r="AF10" s="6" t="s">
        <v>1397</v>
      </c>
      <c r="AG10" s="6">
        <v>1</v>
      </c>
      <c r="AH10" s="9">
        <f>IF(AG10=0,"-",IF(AG10=1,SUM(AG$1:AG9)+1,SUM(AG$1:AG9)+1 &amp; "-" &amp; SUM(AG$1:AG10)))</f>
        <v>9</v>
      </c>
      <c r="AI10" s="6" t="str">
        <f t="shared" si="4"/>
        <v>!import-table-item --Dragon-H --Silver --1</v>
      </c>
      <c r="AJ10" s="24" t="s">
        <v>1557</v>
      </c>
      <c r="AK10" s="6" t="s">
        <v>1401</v>
      </c>
      <c r="AL10" s="6">
        <v>3</v>
      </c>
      <c r="AM10" s="9" t="str">
        <f>IF(AL10=0,"-",IF(AL10=1,SUM(AL$1:AL9)+1,SUM(AL$1:AL9)+1 &amp; "-" &amp; SUM(AL$1:AL10)))</f>
        <v>44-46</v>
      </c>
      <c r="AN10" s="6" t="str">
        <f t="shared" si="5"/>
        <v>!import-table-item --Arms-H --Bloodshed [[ 1t[Swords] ]] --3</v>
      </c>
      <c r="AO10" s="6" t="s">
        <v>248</v>
      </c>
      <c r="AP10" s="6" t="s">
        <v>1397</v>
      </c>
      <c r="AQ10" s="6">
        <v>1</v>
      </c>
      <c r="AR10" s="9">
        <f>IF(AQ10=0,"-",IF(AQ10=1,SUM(AQ$1:AQ9)+1,SUM(AQ$1:AQ9)+1 &amp; "-" &amp; SUM(AQ$1:AQ10)))</f>
        <v>16</v>
      </c>
      <c r="AS10" s="6" t="str">
        <f t="shared" si="6"/>
        <v>!import-table-item --Jewelry-H --Ring of Telekinesis --1</v>
      </c>
      <c r="AY10" s="6" t="s">
        <v>1939</v>
      </c>
      <c r="AZ10" s="6" t="s">
        <v>1875</v>
      </c>
      <c r="BA10" s="6">
        <v>3</v>
      </c>
      <c r="BB10" s="9" t="str">
        <f>IF(BA10=0,"-",IF(BA10=1,SUM(BA$1:BA9)+1,SUM(BA$1:BA9)+1 &amp; "-" &amp; SUM(BA$1:BA10)))</f>
        <v>46-48</v>
      </c>
      <c r="BC10" s="6" t="str">
        <f t="shared" si="7"/>
        <v>!import-table-item --Misc-H --Deck of Dimensions --3</v>
      </c>
      <c r="BI10" s="6" t="s">
        <v>1595</v>
      </c>
      <c r="BJ10" s="6" t="s">
        <v>1397</v>
      </c>
      <c r="BK10" s="6">
        <v>3</v>
      </c>
      <c r="BL10" s="9" t="str">
        <f>IF(BK10=0,"-",IF(BK10=1,SUM(BK$1:BK9)+1,SUM(BK$1:BK9)+1 &amp; "-" &amp; SUM(BK$1:BK10)))</f>
        <v>18-20</v>
      </c>
      <c r="BM10" s="6" t="str">
        <f t="shared" si="10"/>
        <v>!import-table-item --Candle-H --Lawful Good --3</v>
      </c>
      <c r="BN10" s="6" t="s">
        <v>1422</v>
      </c>
      <c r="BO10" s="6" t="s">
        <v>1402</v>
      </c>
      <c r="BP10" s="6">
        <v>3</v>
      </c>
      <c r="BQ10" s="9" t="str">
        <f>IF(BP10=0,"-",IF(BP10=1,SUM(BP$1:BP9)+1,SUM(BP$1:BP9)+1 &amp; "-" &amp; SUM(BP$1:BP10)))</f>
        <v>56-58</v>
      </c>
      <c r="BR10" s="6" t="str">
        <f t="shared" si="11"/>
        <v>!import-table-item --Spellcaster-H --Crystalline Chronicle --3</v>
      </c>
    </row>
    <row r="11" spans="1:70" x14ac:dyDescent="0.25">
      <c r="D11" s="9"/>
      <c r="F11" s="6" t="s">
        <v>279</v>
      </c>
      <c r="G11" s="6" t="s">
        <v>1397</v>
      </c>
      <c r="H11" s="6">
        <v>4</v>
      </c>
      <c r="I11" s="9" t="str">
        <f>IF(H11=0,"-",IF(H11=1,SUM(H$1:H10)+1,SUM(H$1:H10)+1 &amp; "-" &amp; SUM(H$1:H11)))</f>
        <v>41-44</v>
      </c>
      <c r="J11" s="6" t="str">
        <f t="shared" si="9"/>
        <v>!import-table-item --Apparel-H --Helm of Brilliance --4</v>
      </c>
      <c r="K11" s="6" t="s">
        <v>1550</v>
      </c>
      <c r="L11" s="6" t="s">
        <v>1402</v>
      </c>
      <c r="M11" s="6">
        <v>1</v>
      </c>
      <c r="N11" s="9">
        <f>IF(M11=0,"-",IF(M11=1,SUM(M$1:M10)+1,SUM(M$1:M10)+1 &amp; "-" &amp; SUM(M$1:M11)))</f>
        <v>10</v>
      </c>
      <c r="O11" s="6" t="str">
        <f t="shared" si="1"/>
        <v>!import-table-item --Absorbing-H --Thunder Absorbing Orange --1</v>
      </c>
      <c r="S11" s="9"/>
      <c r="U11" s="6" t="s">
        <v>1433</v>
      </c>
      <c r="V11" s="6" t="s">
        <v>1409</v>
      </c>
      <c r="W11" s="6">
        <v>1</v>
      </c>
      <c r="X11" s="9">
        <f>IF(W11=0,"-",IF(W11=1,SUM(W$1:W10)+1,SUM(W$1:W10)+1 &amp; "-" &amp; SUM(W$1:W11)))</f>
        <v>20</v>
      </c>
      <c r="Y11" s="6" t="str">
        <f t="shared" si="2"/>
        <v>!import-table-item --Armor-H --Hunter's Coat --1</v>
      </c>
      <c r="AC11" s="9"/>
      <c r="AE11" s="6" t="s">
        <v>1538</v>
      </c>
      <c r="AF11" s="6" t="s">
        <v>1397</v>
      </c>
      <c r="AG11" s="6">
        <v>1</v>
      </c>
      <c r="AH11" s="9">
        <f>IF(AG11=0,"-",IF(AG11=1,SUM(AG$1:AG10)+1,SUM(AG$1:AG10)+1 &amp; "-" &amp; SUM(AG$1:AG11)))</f>
        <v>10</v>
      </c>
      <c r="AI11" s="6" t="str">
        <f t="shared" si="4"/>
        <v>!import-table-item --Dragon-H --White --1</v>
      </c>
      <c r="AJ11" s="6" t="s">
        <v>1421</v>
      </c>
      <c r="AK11" s="6" t="s">
        <v>1679</v>
      </c>
      <c r="AL11" s="6">
        <v>3</v>
      </c>
      <c r="AM11" s="9" t="str">
        <f>IF(AL11=0,"-",IF(AL11=1,SUM(AL$1:AL10)+1,SUM(AL$1:AL10)+1 &amp; "-" &amp; SUM(AL$1:AL11)))</f>
        <v>47-49</v>
      </c>
      <c r="AN11" s="6" t="str">
        <f t="shared" si="5"/>
        <v>!import-table-item --Arms-H --Corecut Dagger --3</v>
      </c>
      <c r="AO11" s="6" t="s">
        <v>1936</v>
      </c>
      <c r="AP11" s="6" t="s">
        <v>1875</v>
      </c>
      <c r="AQ11" s="6">
        <v>1</v>
      </c>
      <c r="AR11" s="9">
        <f>IF(AQ11=0,"-",IF(AQ11=1,SUM(AQ$1:AQ10)+1,SUM(AQ$1:AQ10)+1 &amp; "-" &amp; SUM(AQ$1:AQ11)))</f>
        <v>17</v>
      </c>
      <c r="AS11" s="6" t="str">
        <f t="shared" si="6"/>
        <v>!import-table-item --Jewelry-H --Sage's Bear Signet --1</v>
      </c>
      <c r="AY11" s="6" t="s">
        <v>1940</v>
      </c>
      <c r="AZ11" s="6" t="s">
        <v>1875</v>
      </c>
      <c r="BA11" s="6">
        <v>3</v>
      </c>
      <c r="BB11" s="9" t="str">
        <f>IF(BA11=0,"-",IF(BA11=1,SUM(BA$1:BA10)+1,SUM(BA$1:BA10)+1 &amp; "-" &amp; SUM(BA$1:BA11)))</f>
        <v>49-51</v>
      </c>
      <c r="BC11" s="6" t="str">
        <f t="shared" si="7"/>
        <v>!import-table-item --Misc-H --Deck of Wild Cards --3</v>
      </c>
      <c r="BN11" s="6" t="s">
        <v>1428</v>
      </c>
      <c r="BO11" s="6" t="s">
        <v>1414</v>
      </c>
      <c r="BP11" s="6">
        <v>3</v>
      </c>
      <c r="BQ11" s="9" t="str">
        <f>IF(BP11=0,"-",IF(BP11=1,SUM(BP$1:BP10)+1,SUM(BP$1:BP10)+1 &amp; "-" &amp; SUM(BP$1:BP11)))</f>
        <v>59-61</v>
      </c>
      <c r="BR11" s="6" t="str">
        <f t="shared" si="11"/>
        <v>!import-table-item --Spellcaster-H --Eldritch Staff --3</v>
      </c>
    </row>
    <row r="12" spans="1:70" x14ac:dyDescent="0.25">
      <c r="D12" s="9"/>
      <c r="F12" s="6" t="s">
        <v>1434</v>
      </c>
      <c r="G12" s="6" t="s">
        <v>1424</v>
      </c>
      <c r="H12" s="6">
        <v>4</v>
      </c>
      <c r="I12" s="9" t="str">
        <f>IF(H12=0,"-",IF(H12=1,SUM(H$1:H11)+1,SUM(H$1:H11)+1 &amp; "-" &amp; SUM(H$1:H12)))</f>
        <v>45-48</v>
      </c>
      <c r="J12" s="6" t="str">
        <f t="shared" si="9"/>
        <v>!import-table-item --Apparel-H --Illusionist's Bracers --4</v>
      </c>
      <c r="N12" s="9"/>
      <c r="S12" s="9"/>
      <c r="U12" s="24" t="s">
        <v>1560</v>
      </c>
      <c r="V12" s="6" t="s">
        <v>1397</v>
      </c>
      <c r="W12" s="6">
        <v>0</v>
      </c>
      <c r="X12" s="9" t="str">
        <f>IF(W12=0,"-",IF(W12=1,SUM(W$1:W11)+1,SUM(W$1:W11)+1 &amp; "-" &amp; SUM(W$1:W12)))</f>
        <v>-</v>
      </c>
      <c r="Y12" s="6" t="str">
        <f t="shared" si="2"/>
        <v>!import-table-item --Armor-H --Demon [[ 1t[Heavy-Armor] ]] --0</v>
      </c>
      <c r="AC12" s="9"/>
      <c r="AH12" s="9"/>
      <c r="AJ12" s="24" t="s">
        <v>1082</v>
      </c>
      <c r="AK12" s="6" t="s">
        <v>1397</v>
      </c>
      <c r="AL12" s="6">
        <v>3</v>
      </c>
      <c r="AM12" s="9" t="str">
        <f>IF(AL12=0,"-",IF(AL12=1,SUM(AL$1:AL11)+1,SUM(AL$1:AL11)+1 &amp; "-" &amp; SUM(AL$1:AL12)))</f>
        <v>50-52</v>
      </c>
      <c r="AN12" s="6" t="str">
        <f t="shared" si="5"/>
        <v>!import-table-item --Arms-H --Dancing [[ 1t[Swords] ]] --3</v>
      </c>
      <c r="AO12" s="6" t="s">
        <v>1935</v>
      </c>
      <c r="AP12" s="6" t="s">
        <v>1875</v>
      </c>
      <c r="AQ12" s="6">
        <v>1</v>
      </c>
      <c r="AR12" s="9">
        <f>IF(AQ12=0,"-",IF(AQ12=1,SUM(AQ$1:AQ11)+1,SUM(AQ$1:AQ11)+1 &amp; "-" &amp; SUM(AQ$1:AQ12)))</f>
        <v>18</v>
      </c>
      <c r="AS12" s="6" t="str">
        <f t="shared" si="6"/>
        <v>!import-table-item --Jewelry-H --Sage's Hart Signet --1</v>
      </c>
      <c r="AY12" s="6" t="s">
        <v>277</v>
      </c>
      <c r="AZ12" s="6" t="s">
        <v>1397</v>
      </c>
      <c r="BA12" s="6">
        <v>3</v>
      </c>
      <c r="BB12" s="9" t="str">
        <f>IF(BA12=0,"-",IF(BA12=1,SUM(BA$1:BA11)+1,SUM(BA$1:BA11)+1 &amp; "-" &amp; SUM(BA$1:BA12)))</f>
        <v>52-54</v>
      </c>
      <c r="BC12" s="6" t="str">
        <f t="shared" si="7"/>
        <v>!import-table-item --Misc-H --Efreeti Bottle --3</v>
      </c>
      <c r="BN12" s="6" t="s">
        <v>1938</v>
      </c>
      <c r="BO12" s="6" t="s">
        <v>1875</v>
      </c>
      <c r="BP12" s="6">
        <v>3</v>
      </c>
      <c r="BQ12" s="9" t="str">
        <f>IF(BP12=0,"-",IF(BP12=1,SUM(BP$1:BP11)+1,SUM(BP$1:BP11)+1 &amp; "-" &amp; SUM(BP$1:BP12)))</f>
        <v>62-64</v>
      </c>
      <c r="BR12" s="6" t="str">
        <f t="shared" si="11"/>
        <v>!import-table-item --Spellcaster-H --Fate Dealer's Deck, +2 --3</v>
      </c>
    </row>
    <row r="13" spans="1:70" x14ac:dyDescent="0.25">
      <c r="D13" s="9"/>
      <c r="F13" s="6" t="s">
        <v>1552</v>
      </c>
      <c r="G13" s="6" t="s">
        <v>1402</v>
      </c>
      <c r="H13" s="6">
        <v>4</v>
      </c>
      <c r="I13" s="9" t="str">
        <f>IF(H13=0,"-",IF(H13=1,SUM(H$1:H12)+1,SUM(H$1:H12)+1 &amp; "-" &amp; SUM(H$1:H13)))</f>
        <v>49-52</v>
      </c>
      <c r="J13" s="6" t="str">
        <f t="shared" si="9"/>
        <v>!import-table-item --Apparel-H --Large Barrier Tattoo --4</v>
      </c>
      <c r="N13" s="9"/>
      <c r="S13" s="9"/>
      <c r="AC13" s="9"/>
      <c r="AH13" s="9"/>
      <c r="AJ13" s="6" t="s">
        <v>1426</v>
      </c>
      <c r="AK13" s="6" t="s">
        <v>1409</v>
      </c>
      <c r="AL13" s="6">
        <v>3</v>
      </c>
      <c r="AM13" s="9" t="str">
        <f>IF(AL13=0,"-",IF(AL13=1,SUM(AL$1:AL12)+1,SUM(AL$1:AL12)+1 &amp; "-" &amp; SUM(AL$1:AL13)))</f>
        <v>53-55</v>
      </c>
      <c r="AN13" s="6" t="str">
        <f t="shared" si="5"/>
        <v>!import-table-item --Arms-H --Duskcrusher --3</v>
      </c>
      <c r="AO13" s="6" t="s">
        <v>1934</v>
      </c>
      <c r="AP13" s="6" t="s">
        <v>1875</v>
      </c>
      <c r="AQ13" s="6">
        <v>1</v>
      </c>
      <c r="AR13" s="9">
        <f>IF(AQ13=0,"-",IF(AQ13=1,SUM(AQ$1:AQ12)+1,SUM(AQ$1:AQ12)+1 &amp; "-" &amp; SUM(AQ$1:AQ13)))</f>
        <v>19</v>
      </c>
      <c r="AS13" s="6" t="str">
        <f t="shared" si="6"/>
        <v>!import-table-item --Jewelry-H --Sage's Lion Signet --1</v>
      </c>
      <c r="AY13" s="6" t="s">
        <v>1435</v>
      </c>
      <c r="AZ13" s="6" t="s">
        <v>1399</v>
      </c>
      <c r="BA13" s="6">
        <v>3</v>
      </c>
      <c r="BB13" s="9" t="str">
        <f>IF(BA13=0,"-",IF(BA13=1,SUM(BA$1:BA12)+1,SUM(BA$1:BA12)+1 &amp; "-" &amp; SUM(BA$1:BA13)))</f>
        <v>55-57</v>
      </c>
      <c r="BC13" s="6" t="str">
        <f t="shared" si="7"/>
        <v>!import-table-item --Misc-H --Ingot of the Skold Rune --3</v>
      </c>
      <c r="BN13" s="6" t="s">
        <v>1578</v>
      </c>
      <c r="BO13" s="6" t="s">
        <v>1397</v>
      </c>
      <c r="BP13" s="6">
        <v>3</v>
      </c>
      <c r="BQ13" s="9" t="str">
        <f>IF(BP13=0,"-",IF(BP13=1,SUM(BP$1:BP12)+1,SUM(BP$1:BP12)+1 &amp; "-" &amp; SUM(BP$1:BP13)))</f>
        <v>65-67</v>
      </c>
      <c r="BR13" s="6" t="str">
        <f t="shared" si="11"/>
        <v>!import-table-item --Spellcaster-H --Instrument of the Bards (Anstruth Harp) --3</v>
      </c>
    </row>
    <row r="14" spans="1:70" x14ac:dyDescent="0.25">
      <c r="D14" s="9"/>
      <c r="F14" s="6" t="s">
        <v>1438</v>
      </c>
      <c r="G14" s="6" t="s">
        <v>1402</v>
      </c>
      <c r="H14" s="6">
        <v>4</v>
      </c>
      <c r="I14" s="9" t="str">
        <f>IF(H14=0,"-",IF(H14=1,SUM(H$1:H13)+1,SUM(H$1:H13)+1 &amp; "-" &amp; SUM(H$1:H14)))</f>
        <v>53-56</v>
      </c>
      <c r="J14" s="6" t="str">
        <f t="shared" si="9"/>
        <v>!import-table-item --Apparel-H --Lifewell Tattoo --4</v>
      </c>
      <c r="N14" s="9"/>
      <c r="S14" s="9"/>
      <c r="AC14" s="9"/>
      <c r="AH14" s="9"/>
      <c r="AJ14" s="6" t="s">
        <v>276</v>
      </c>
      <c r="AK14" s="6" t="s">
        <v>1397</v>
      </c>
      <c r="AL14" s="6">
        <v>3</v>
      </c>
      <c r="AM14" s="9" t="str">
        <f>IF(AL14=0,"-",IF(AL14=1,SUM(AL$1:AL13)+1,SUM(AL$1:AL13)+1 &amp; "-" &amp; SUM(AL$1:AL14)))</f>
        <v>56-58</v>
      </c>
      <c r="AN14" s="6" t="str">
        <f t="shared" si="5"/>
        <v>!import-table-item --Arms-H --Dwarven Thrower --3</v>
      </c>
      <c r="AO14" s="6" t="s">
        <v>1933</v>
      </c>
      <c r="AP14" s="6" t="s">
        <v>1875</v>
      </c>
      <c r="AQ14" s="6">
        <v>1</v>
      </c>
      <c r="AR14" s="9">
        <f>IF(AQ14=0,"-",IF(AQ14=1,SUM(AQ$1:AQ13)+1,SUM(AQ$1:AQ13)+1 &amp; "-" &amp; SUM(AQ$1:AQ14)))</f>
        <v>20</v>
      </c>
      <c r="AS14" s="6" t="str">
        <f t="shared" si="6"/>
        <v>!import-table-item --Jewelry-H --Sage's Wolf Signet --1</v>
      </c>
      <c r="AY14" s="6" t="s">
        <v>1437</v>
      </c>
      <c r="AZ14" s="6" t="s">
        <v>1398</v>
      </c>
      <c r="BA14" s="6">
        <v>3</v>
      </c>
      <c r="BB14" s="9" t="str">
        <f>IF(BA14=0,"-",IF(BA14=1,SUM(BA$1:BA13)+1,SUM(BA$1:BA13)+1 &amp; "-" &amp; SUM(BA$1:BA14)))</f>
        <v>58-60</v>
      </c>
      <c r="BC14" s="6" t="str">
        <f t="shared" si="7"/>
        <v>!import-table-item --Misc-H --Kyrzin's Ooze --3</v>
      </c>
      <c r="BN14" s="6" t="s">
        <v>1937</v>
      </c>
      <c r="BO14" s="6" t="s">
        <v>1875</v>
      </c>
      <c r="BP14" s="6">
        <v>3</v>
      </c>
      <c r="BQ14" s="9" t="str">
        <f>IF(BP14=0,"-",IF(BP14=1,SUM(BP$1:BP13)+1,SUM(BP$1:BP13)+1 &amp; "-" &amp; SUM(BP$1:BP14)))</f>
        <v>68-70</v>
      </c>
      <c r="BR14" s="6" t="str">
        <f t="shared" si="11"/>
        <v>!import-table-item --Spellcaster-H --Rod of Hellish Flames --3</v>
      </c>
    </row>
    <row r="15" spans="1:70" x14ac:dyDescent="0.25">
      <c r="D15" s="9"/>
      <c r="F15" s="6" t="s">
        <v>1440</v>
      </c>
      <c r="G15" s="6" t="s">
        <v>1476</v>
      </c>
      <c r="H15" s="6">
        <v>4</v>
      </c>
      <c r="I15" s="9" t="str">
        <f>IF(H15=0,"-",IF(H15=1,SUM(H$1:H14)+1,SUM(H$1:H14)+1 &amp; "-" &amp; SUM(H$1:H15)))</f>
        <v>57-60</v>
      </c>
      <c r="J15" s="6" t="str">
        <f t="shared" si="9"/>
        <v>!import-table-item --Apparel-H --Mindblasting Cap --4</v>
      </c>
      <c r="N15" s="9"/>
      <c r="S15" s="9"/>
      <c r="AC15" s="9"/>
      <c r="AH15" s="9"/>
      <c r="AJ15" s="6" t="s">
        <v>1427</v>
      </c>
      <c r="AK15" s="6" t="s">
        <v>1398</v>
      </c>
      <c r="AL15" s="6">
        <v>3</v>
      </c>
      <c r="AM15" s="9" t="str">
        <f>IF(AL15=0,"-",IF(AL15=1,SUM(AL$1:AL14)+1,SUM(AL$1:AL14)+1 &amp; "-" &amp; SUM(AL$1:AL15)))</f>
        <v>59-61</v>
      </c>
      <c r="AN15" s="6" t="str">
        <f t="shared" si="5"/>
        <v>!import-table-item --Arms-H --Dyrrn's Tentacle Whip --3</v>
      </c>
      <c r="AO15" s="6" t="s">
        <v>1416</v>
      </c>
      <c r="AP15" s="6" t="s">
        <v>1479</v>
      </c>
      <c r="AQ15" s="6">
        <v>0</v>
      </c>
      <c r="AR15" s="9" t="str">
        <f>IF(AQ15=0,"-",IF(AQ15=1,SUM(AQ$1:AQ14)+1,SUM(AQ$1:AQ14)+1 &amp; "-" &amp; SUM(AQ$1:AQ15)))</f>
        <v>-</v>
      </c>
      <c r="AS15" s="6" t="str">
        <f t="shared" si="6"/>
        <v>!import-table-item --Jewelry-H --Bracelet of Rock Magic --0</v>
      </c>
      <c r="AY15" s="6" t="s">
        <v>291</v>
      </c>
      <c r="AZ15" s="6" t="s">
        <v>1397</v>
      </c>
      <c r="BA15" s="6">
        <v>3</v>
      </c>
      <c r="BB15" s="9" t="str">
        <f>IF(BA15=0,"-",IF(BA15=1,SUM(BA$1:BA14)+1,SUM(BA$1:BA14)+1 &amp; "-" &amp; SUM(BA$1:BA15)))</f>
        <v>61-63</v>
      </c>
      <c r="BC15" s="6" t="str">
        <f t="shared" si="7"/>
        <v>!import-table-item --Misc-H --Manual of Golems --3</v>
      </c>
      <c r="BN15" s="6" t="s">
        <v>1464</v>
      </c>
      <c r="BO15" s="6" t="s">
        <v>1409</v>
      </c>
      <c r="BP15" s="6">
        <v>3</v>
      </c>
      <c r="BQ15" s="9" t="str">
        <f>IF(BP15=0,"-",IF(BP15=1,SUM(BP$1:BP14)+1,SUM(BP$1:BP14)+1 &amp; "-" &amp; SUM(BP$1:BP15)))</f>
        <v>71-73</v>
      </c>
      <c r="BR15" s="6" t="str">
        <f t="shared" si="11"/>
        <v>!import-table-item --Spellcaster-H --Staff of Dunamancy --3</v>
      </c>
    </row>
    <row r="16" spans="1:70" x14ac:dyDescent="0.25">
      <c r="D16" s="9"/>
      <c r="F16" s="6" t="s">
        <v>1441</v>
      </c>
      <c r="G16" s="6" t="s">
        <v>1476</v>
      </c>
      <c r="H16" s="6">
        <v>4</v>
      </c>
      <c r="I16" s="9" t="str">
        <f>IF(H16=0,"-",IF(H16=1,SUM(H$1:H15)+1,SUM(H$1:H15)+1 &amp; "-" &amp; SUM(H$1:H16)))</f>
        <v>61-64</v>
      </c>
      <c r="J16" s="6" t="str">
        <f t="shared" si="9"/>
        <v>!import-table-item --Apparel-H --Mindguard Crown --4</v>
      </c>
      <c r="N16" s="9"/>
      <c r="S16" s="9"/>
      <c r="AC16" s="9"/>
      <c r="AH16" s="9"/>
      <c r="AJ16" s="6" t="s">
        <v>1429</v>
      </c>
      <c r="AK16" s="6" t="s">
        <v>1401</v>
      </c>
      <c r="AL16" s="6">
        <v>3</v>
      </c>
      <c r="AM16" s="9" t="str">
        <f>IF(AL16=0,"-",IF(AL16=1,SUM(AL$1:AL15)+1,SUM(AL$1:AL15)+1 &amp; "-" &amp; SUM(AL$1:AL16)))</f>
        <v>62-64</v>
      </c>
      <c r="AN16" s="6" t="str">
        <f t="shared" si="5"/>
        <v>!import-table-item --Arms-H --Elven Thrower --3</v>
      </c>
      <c r="AR16" s="9"/>
      <c r="AY16" s="6" t="s">
        <v>293</v>
      </c>
      <c r="AZ16" s="6" t="s">
        <v>1397</v>
      </c>
      <c r="BA16" s="6">
        <v>3</v>
      </c>
      <c r="BB16" s="9" t="str">
        <f>IF(BA16=0,"-",IF(BA16=1,SUM(BA$1:BA15)+1,SUM(BA$1:BA15)+1 &amp; "-" &amp; SUM(BA$1:BA16)))</f>
        <v>64-66</v>
      </c>
      <c r="BC16" s="6" t="str">
        <f t="shared" si="7"/>
        <v>!import-table-item --Misc-H --Mirror of Life Trapping --3</v>
      </c>
      <c r="BN16" s="6" t="s">
        <v>1465</v>
      </c>
      <c r="BO16" s="6" t="s">
        <v>1466</v>
      </c>
      <c r="BP16" s="6">
        <v>3</v>
      </c>
      <c r="BQ16" s="9" t="str">
        <f>IF(BP16=0,"-",IF(BP16=1,SUM(BP$1:BP15)+1,SUM(BP$1:BP15)+1 &amp; "-" &amp; SUM(BP$1:BP16)))</f>
        <v>74-76</v>
      </c>
      <c r="BR16" s="6" t="str">
        <f t="shared" si="11"/>
        <v>!import-table-item --Spellcaster-H --Staff of Fate --3</v>
      </c>
    </row>
    <row r="17" spans="4:70" x14ac:dyDescent="0.25">
      <c r="D17" s="9"/>
      <c r="F17" s="6" t="s">
        <v>1444</v>
      </c>
      <c r="G17" s="6" t="s">
        <v>1401</v>
      </c>
      <c r="H17" s="6">
        <v>4</v>
      </c>
      <c r="I17" s="9" t="str">
        <f>IF(H17=0,"-",IF(H17=1,SUM(H$1:H16)+1,SUM(H$1:H16)+1 &amp; "-" &amp; SUM(H$1:H17)))</f>
        <v>65-68</v>
      </c>
      <c r="J17" s="6" t="str">
        <f t="shared" si="9"/>
        <v>!import-table-item --Apparel-H --Mistral Mantle --4</v>
      </c>
      <c r="N17" s="9"/>
      <c r="S17" s="9"/>
      <c r="AC17" s="9"/>
      <c r="AH17" s="9"/>
      <c r="AJ17" s="6" t="s">
        <v>1926</v>
      </c>
      <c r="AK17" s="6" t="s">
        <v>1875</v>
      </c>
      <c r="AL17" s="6">
        <v>3</v>
      </c>
      <c r="AM17" s="9" t="str">
        <f>IF(AL17=0,"-",IF(AL17=1,SUM(AL$1:AL16)+1,SUM(AL$1:AL16)+1 &amp; "-" &amp; SUM(AL$1:AL17)))</f>
        <v>65-67</v>
      </c>
      <c r="AN17" s="6" t="str">
        <f t="shared" si="5"/>
        <v>!import-table-item --Arms-H --Fate Cutter Shears --3</v>
      </c>
      <c r="AR17" s="9"/>
      <c r="AY17" s="6" t="s">
        <v>1443</v>
      </c>
      <c r="AZ17" s="6" t="s">
        <v>1480</v>
      </c>
      <c r="BA17" s="6">
        <v>3</v>
      </c>
      <c r="BB17" s="9" t="str">
        <f>IF(BA17=0,"-",IF(BA17=1,SUM(BA$1:BA16)+1,SUM(BA$1:BA16)+1 &amp; "-" &amp; SUM(BA$1:BA17)))</f>
        <v>67-69</v>
      </c>
      <c r="BC17" s="6" t="str">
        <f t="shared" si="7"/>
        <v>!import-table-item --Misc-H --Mirror of Reflected Pasts --3</v>
      </c>
      <c r="BN17" s="6" t="s">
        <v>378</v>
      </c>
      <c r="BO17" s="6" t="s">
        <v>1397</v>
      </c>
      <c r="BP17" s="6">
        <v>3</v>
      </c>
      <c r="BQ17" s="9" t="str">
        <f>IF(BP17=0,"-",IF(BP17=1,SUM(BP$1:BP16)+1,SUM(BP$1:BP16)+1 &amp; "-" &amp; SUM(BP$1:BP17)))</f>
        <v>77-79</v>
      </c>
      <c r="BR17" s="6" t="str">
        <f t="shared" si="11"/>
        <v>!import-table-item --Spellcaster-H --Staff of Fire --3</v>
      </c>
    </row>
    <row r="18" spans="4:70" x14ac:dyDescent="0.25">
      <c r="D18" s="9"/>
      <c r="F18" s="6" t="s">
        <v>1446</v>
      </c>
      <c r="G18" s="6" t="s">
        <v>1401</v>
      </c>
      <c r="H18" s="6">
        <v>4</v>
      </c>
      <c r="I18" s="9" t="str">
        <f>IF(H18=0,"-",IF(H18=1,SUM(H$1:H17)+1,SUM(H$1:H17)+1 &amp; "-" &amp; SUM(H$1:H18)))</f>
        <v>69-72</v>
      </c>
      <c r="J18" s="6" t="str">
        <f t="shared" si="9"/>
        <v>!import-table-item --Apparel-H --Nimbus Coronet --4</v>
      </c>
      <c r="N18" s="9"/>
      <c r="S18" s="9"/>
      <c r="AC18" s="9"/>
      <c r="AH18" s="9"/>
      <c r="AJ18" s="24" t="s">
        <v>1925</v>
      </c>
      <c r="AK18" s="6" t="s">
        <v>1875</v>
      </c>
      <c r="AL18" s="6">
        <v>3</v>
      </c>
      <c r="AM18" s="9" t="str">
        <f>IF(AL18=0,"-",IF(AL18=1,SUM(AL$1:AL17)+1,SUM(AL$1:AL17)+1 &amp; "-" &amp; SUM(AL$1:AL18)))</f>
        <v>68-70</v>
      </c>
      <c r="AN18" s="6" t="str">
        <f t="shared" si="5"/>
        <v>!import-table-item --Arms-H --Fool's Blade [[ 1t[Swords] ]] --3</v>
      </c>
      <c r="AR18" s="9"/>
      <c r="AY18" s="6" t="s">
        <v>1447</v>
      </c>
      <c r="AZ18" s="6" t="s">
        <v>1409</v>
      </c>
      <c r="BA18" s="6">
        <v>3</v>
      </c>
      <c r="BB18" s="9" t="str">
        <f>IF(BA18=0,"-",IF(BA18=1,SUM(BA$1:BA17)+1,SUM(BA$1:BA17)+1 &amp; "-" &amp; SUM(BA$1:BA18)))</f>
        <v>70-72</v>
      </c>
      <c r="BC18" s="6" t="str">
        <f t="shared" si="7"/>
        <v>!import-table-item --Misc-H --Orb of the Veil --3</v>
      </c>
      <c r="BN18" s="6" t="s">
        <v>379</v>
      </c>
      <c r="BO18" s="6" t="s">
        <v>1397</v>
      </c>
      <c r="BP18" s="6">
        <v>3</v>
      </c>
      <c r="BQ18" s="9" t="str">
        <f>IF(BP18=0,"-",IF(BP18=1,SUM(BP$1:BP17)+1,SUM(BP$1:BP17)+1 &amp; "-" &amp; SUM(BP$1:BP18)))</f>
        <v>80-82</v>
      </c>
      <c r="BR18" s="6" t="str">
        <f t="shared" si="11"/>
        <v>!import-table-item --Spellcaster-H --Staff of Frost --3</v>
      </c>
    </row>
    <row r="19" spans="4:70" x14ac:dyDescent="0.25">
      <c r="D19" s="9"/>
      <c r="F19" s="6" t="s">
        <v>1450</v>
      </c>
      <c r="G19" s="6" t="s">
        <v>1424</v>
      </c>
      <c r="H19" s="6">
        <v>4</v>
      </c>
      <c r="I19" s="9" t="str">
        <f>IF(H19=0,"-",IF(H19=1,SUM(H$1:H18)+1,SUM(H$1:H18)+1 &amp; "-" &amp; SUM(H$1:H19)))</f>
        <v>73-76</v>
      </c>
      <c r="J19" s="6" t="str">
        <f t="shared" si="9"/>
        <v>!import-table-item --Apparel-H --Peregrine Mask --4</v>
      </c>
      <c r="N19" s="9"/>
      <c r="S19" s="9"/>
      <c r="AC19" s="9"/>
      <c r="AH19" s="9"/>
      <c r="AJ19" s="24" t="s">
        <v>1928</v>
      </c>
      <c r="AK19" s="6" t="s">
        <v>1875</v>
      </c>
      <c r="AL19" s="6">
        <v>3</v>
      </c>
      <c r="AM19" s="9" t="str">
        <f>IF(AL19=0,"-",IF(AL19=1,SUM(AL$1:AL18)+1,SUM(AL$1:AL18)+1 &amp; "-" &amp; SUM(AL$1:AL19)))</f>
        <v>71-73</v>
      </c>
      <c r="AN19" s="6" t="str">
        <f t="shared" si="5"/>
        <v>!import-table-item --Arms-H --Forcebreaker [[ 1t[Martial-Melee] ]] --3</v>
      </c>
      <c r="AR19" s="9"/>
      <c r="AY19" s="6" t="s">
        <v>1449</v>
      </c>
      <c r="AZ19" s="6" t="s">
        <v>1399</v>
      </c>
      <c r="BA19" s="6">
        <v>3</v>
      </c>
      <c r="BB19" s="9" t="str">
        <f>IF(BA19=0,"-",IF(BA19=1,SUM(BA$1:BA18)+1,SUM(BA$1:BA18)+1 &amp; "-" &amp; SUM(BA$1:BA19)))</f>
        <v>73-75</v>
      </c>
      <c r="BC19" s="6" t="str">
        <f t="shared" si="7"/>
        <v>!import-table-item --Misc-H --Pennant of the Vind Rune --3</v>
      </c>
      <c r="BN19" s="6" t="s">
        <v>256</v>
      </c>
      <c r="BO19" s="6" t="s">
        <v>1397</v>
      </c>
      <c r="BP19" s="6">
        <v>3</v>
      </c>
      <c r="BQ19" s="9" t="str">
        <f>IF(BP19=0,"-",IF(BP19=1,SUM(BP$1:BP18)+1,SUM(BP$1:BP18)+1 &amp; "-" &amp; SUM(BP$1:BP19)))</f>
        <v>83-85</v>
      </c>
      <c r="BR19" s="6" t="str">
        <f t="shared" si="11"/>
        <v>!import-table-item --Spellcaster-H --Staff of Power --3</v>
      </c>
    </row>
    <row r="20" spans="4:70" x14ac:dyDescent="0.25">
      <c r="D20" s="9"/>
      <c r="F20" s="6" t="s">
        <v>377</v>
      </c>
      <c r="G20" s="6" t="s">
        <v>1397</v>
      </c>
      <c r="H20" s="6">
        <v>4</v>
      </c>
      <c r="I20" s="9" t="str">
        <f>IF(H20=0,"-",IF(H20=1,SUM(H$1:H19)+1,SUM(H$1:H19)+1 &amp; "-" &amp; SUM(H$1:H20)))</f>
        <v>77-80</v>
      </c>
      <c r="J20" s="6" t="str">
        <f t="shared" si="9"/>
        <v>!import-table-item --Apparel-H --Robe of Scintillating Colors --4</v>
      </c>
      <c r="N20" s="9"/>
      <c r="S20" s="9"/>
      <c r="AC20" s="9"/>
      <c r="AH20" s="9"/>
      <c r="AJ20" s="6" t="s">
        <v>1924</v>
      </c>
      <c r="AK20" s="6" t="s">
        <v>1875</v>
      </c>
      <c r="AL20" s="6">
        <v>3</v>
      </c>
      <c r="AM20" s="9" t="str">
        <f>IF(AL20=0,"-",IF(AL20=1,SUM(AL$1:AL19)+1,SUM(AL$1:AL19)+1 &amp; "-" &amp; SUM(AL$1:AL20)))</f>
        <v>74-76</v>
      </c>
      <c r="AN20" s="6" t="str">
        <f t="shared" si="5"/>
        <v>!import-table-item --Arms-H --Hammer of Runic Focus --3</v>
      </c>
      <c r="AR20" s="9"/>
      <c r="AY20" s="6" t="s">
        <v>1452</v>
      </c>
      <c r="AZ20" s="6" t="s">
        <v>1401</v>
      </c>
      <c r="BA20" s="6">
        <v>3</v>
      </c>
      <c r="BB20" s="9" t="str">
        <f>IF(BA20=0,"-",IF(BA20=1,SUM(BA$1:BA19)+1,SUM(BA$1:BA19)+1 &amp; "-" &amp; SUM(BA$1:BA20)))</f>
        <v>76-78</v>
      </c>
      <c r="BC20" s="6" t="str">
        <f t="shared" si="7"/>
        <v>!import-table-item --Misc-H --Prehistoric Figurine of Wondrous Power, Carnelian Triceratops --3</v>
      </c>
      <c r="BN20" s="6" t="s">
        <v>257</v>
      </c>
      <c r="BO20" s="6" t="s">
        <v>1397</v>
      </c>
      <c r="BP20" s="6">
        <v>3</v>
      </c>
      <c r="BQ20" s="9" t="str">
        <f>IF(BP20=0,"-",IF(BP20=1,SUM(BP$1:BP19)+1,SUM(BP$1:BP19)+1 &amp; "-" &amp; SUM(BP$1:BP20)))</f>
        <v>86-88</v>
      </c>
      <c r="BR20" s="6" t="str">
        <f t="shared" si="11"/>
        <v>!import-table-item --Spellcaster-H --Staff of Striking --3</v>
      </c>
    </row>
    <row r="21" spans="4:70" x14ac:dyDescent="0.25">
      <c r="D21" s="9"/>
      <c r="F21" s="6" t="s">
        <v>249</v>
      </c>
      <c r="G21" s="6" t="s">
        <v>1397</v>
      </c>
      <c r="H21" s="6">
        <v>4</v>
      </c>
      <c r="I21" s="9" t="str">
        <f>IF(H21=0,"-",IF(H21=1,SUM(H$1:H20)+1,SUM(H$1:H20)+1 &amp; "-" &amp; SUM(H$1:H21)))</f>
        <v>81-84</v>
      </c>
      <c r="J21" s="6" t="str">
        <f t="shared" si="9"/>
        <v>!import-table-item --Apparel-H --Robe of Stars --4</v>
      </c>
      <c r="N21" s="9"/>
      <c r="S21" s="9"/>
      <c r="AC21" s="9"/>
      <c r="AH21" s="9"/>
      <c r="AJ21" s="24" t="s">
        <v>1089</v>
      </c>
      <c r="AK21" s="6" t="s">
        <v>1397</v>
      </c>
      <c r="AL21" s="6">
        <v>3</v>
      </c>
      <c r="AM21" s="9" t="str">
        <f>IF(AL21=0,"-",IF(AL21=1,SUM(AL$1:AL20)+1,SUM(AL$1:AL20)+1 &amp; "-" &amp; SUM(AL$1:AL21)))</f>
        <v>77-79</v>
      </c>
      <c r="AN21" s="6" t="str">
        <f t="shared" si="5"/>
        <v>!import-table-item --Arms-H --Nine Lives Stealer [[ 1t[Swords] ]] --3</v>
      </c>
      <c r="AR21" s="9"/>
      <c r="AY21" s="6" t="s">
        <v>1458</v>
      </c>
      <c r="AZ21" s="6" t="s">
        <v>1399</v>
      </c>
      <c r="BA21" s="6">
        <v>3</v>
      </c>
      <c r="BB21" s="9" t="str">
        <f>IF(BA21=0,"-",IF(BA21=1,SUM(BA$1:BA20)+1,SUM(BA$1:BA20)+1 &amp; "-" &amp; SUM(BA$1:BA21)))</f>
        <v>79-81</v>
      </c>
      <c r="BC21" s="6" t="str">
        <f t="shared" si="7"/>
        <v>!import-table-item --Misc-H --Shard of the Ise Rune --3</v>
      </c>
      <c r="BN21" s="6" t="s">
        <v>380</v>
      </c>
      <c r="BO21" s="6" t="s">
        <v>1397</v>
      </c>
      <c r="BP21" s="6">
        <v>3</v>
      </c>
      <c r="BQ21" s="9" t="str">
        <f>IF(BP21=0,"-",IF(BP21=1,SUM(BP$1:BP20)+1,SUM(BP$1:BP20)+1 &amp; "-" &amp; SUM(BP$1:BP21)))</f>
        <v>89-91</v>
      </c>
      <c r="BR21" s="6" t="str">
        <f t="shared" si="11"/>
        <v>!import-table-item --Spellcaster-H --Staff of Thunder and Lightning --3</v>
      </c>
    </row>
    <row r="22" spans="4:70" x14ac:dyDescent="0.25">
      <c r="D22" s="9"/>
      <c r="F22" s="6" t="s">
        <v>1930</v>
      </c>
      <c r="G22" s="6" t="s">
        <v>1875</v>
      </c>
      <c r="H22" s="6">
        <v>4</v>
      </c>
      <c r="I22" s="9" t="str">
        <f>IF(H22=0,"-",IF(H22=1,SUM(H$1:H21)+1,SUM(H$1:H21)+1 &amp; "-" &amp; SUM(H$1:H22)))</f>
        <v>85-88</v>
      </c>
      <c r="J22" s="6" t="str">
        <f t="shared" si="9"/>
        <v>!import-table-item --Apparel-H --Skull Helm --4</v>
      </c>
      <c r="N22" s="9"/>
      <c r="S22" s="9"/>
      <c r="AC22" s="9"/>
      <c r="AH22" s="9"/>
      <c r="AJ22" s="6" t="s">
        <v>295</v>
      </c>
      <c r="AK22" s="6" t="s">
        <v>1397</v>
      </c>
      <c r="AL22" s="6">
        <v>3</v>
      </c>
      <c r="AM22" s="9" t="str">
        <f>IF(AL22=0,"-",IF(AL22=1,SUM(AL$1:AL21)+1,SUM(AL$1:AL21)+1 &amp; "-" &amp; SUM(AL$1:AL22)))</f>
        <v>80-82</v>
      </c>
      <c r="AN22" s="6" t="str">
        <f t="shared" si="5"/>
        <v>!import-table-item --Arms-H --Oathbow --3</v>
      </c>
      <c r="AR22" s="9"/>
      <c r="AY22" s="1" t="s">
        <v>1631</v>
      </c>
      <c r="AZ22" s="1" t="s">
        <v>1409</v>
      </c>
      <c r="BA22" s="6">
        <v>3</v>
      </c>
      <c r="BB22" s="9" t="str">
        <f>IF(BA22=0,"-",IF(BA22=1,SUM(BA$1:BA21)+1,SUM(BA$1:BA21)+1 &amp; "-" &amp; SUM(BA$1:BA22)))</f>
        <v>82-84</v>
      </c>
      <c r="BC22" s="6" t="str">
        <f t="shared" si="7"/>
        <v>!import-table-item --Misc-H --Spell Bottle --3</v>
      </c>
      <c r="BN22" s="6" t="s">
        <v>1470</v>
      </c>
      <c r="BO22" s="6" t="s">
        <v>1424</v>
      </c>
      <c r="BP22" s="6">
        <v>3</v>
      </c>
      <c r="BQ22" s="9" t="str">
        <f>IF(BP22=0,"-",IF(BP22=1,SUM(BP$1:BP21)+1,SUM(BP$1:BP21)+1 &amp; "-" &amp; SUM(BP$1:BP22)))</f>
        <v>92-94</v>
      </c>
      <c r="BR22" s="6" t="str">
        <f t="shared" si="11"/>
        <v>!import-table-item --Spellcaster-H --Voyager Staff --3</v>
      </c>
    </row>
    <row r="23" spans="4:70" x14ac:dyDescent="0.25">
      <c r="D23" s="9"/>
      <c r="F23" s="24" t="s">
        <v>1651</v>
      </c>
      <c r="G23" s="6" t="s">
        <v>1403</v>
      </c>
      <c r="H23" s="6">
        <v>4</v>
      </c>
      <c r="I23" s="9" t="str">
        <f>IF(H23=0,"-",IF(H23=1,SUM(H$1:H22)+1,SUM(H$1:H22)+1 &amp; "-" &amp; SUM(H$1:H23)))</f>
        <v>89-92</v>
      </c>
      <c r="J23" s="6" t="str">
        <f t="shared" si="9"/>
        <v>!import-table-item --Apparel-H --Wakened Scaled Ornament of [[ 1t[Dragon-Breath] ]] --4</v>
      </c>
      <c r="N23" s="9"/>
      <c r="S23" s="9"/>
      <c r="AC23" s="9"/>
      <c r="AH23" s="9"/>
      <c r="AJ23" s="6" t="s">
        <v>254</v>
      </c>
      <c r="AK23" s="6" t="s">
        <v>1397</v>
      </c>
      <c r="AL23" s="6">
        <v>3</v>
      </c>
      <c r="AM23" s="9" t="str">
        <f>IF(AL23=0,"-",IF(AL23=1,SUM(AL$1:AL22)+1,SUM(AL$1:AL22)+1 &amp; "-" &amp; SUM(AL$1:AL23)))</f>
        <v>83-85</v>
      </c>
      <c r="AN23" s="6" t="str">
        <f t="shared" si="5"/>
        <v>!import-table-item --Arms-H --Scimitar of Speed --3</v>
      </c>
      <c r="AR23" s="9"/>
      <c r="AY23" s="6" t="s">
        <v>1101</v>
      </c>
      <c r="AZ23" s="6" t="s">
        <v>1398</v>
      </c>
      <c r="BA23" s="6">
        <v>3</v>
      </c>
      <c r="BB23" s="9" t="str">
        <f>IF(BA23=0,"-",IF(BA23=1,SUM(BA$1:BA22)+1,SUM(BA$1:BA22)+1 &amp; "-" &amp; SUM(BA$1:BA23)))</f>
        <v>85-87</v>
      </c>
      <c r="BC23" s="6" t="str">
        <f t="shared" si="7"/>
        <v>!import-table-item --Misc-H --Ventilating Lungs --3</v>
      </c>
      <c r="BN23" s="24" t="s">
        <v>1672</v>
      </c>
      <c r="BO23" s="6" t="s">
        <v>1403</v>
      </c>
      <c r="BP23" s="6">
        <v>3</v>
      </c>
      <c r="BQ23" s="9" t="str">
        <f>IF(BP23=0,"-",IF(BP23=1,SUM(BP$1:BP22)+1,SUM(BP$1:BP22)+1 &amp; "-" &amp; SUM(BP$1:BP23)))</f>
        <v>95-97</v>
      </c>
      <c r="BR23" s="6" t="str">
        <f t="shared" si="11"/>
        <v>!import-table-item --Spellcaster-H --Wakened [[ 1t[FTD-Dragons] ]]-Dragon-Touched Focus --3</v>
      </c>
    </row>
    <row r="24" spans="4:70" x14ac:dyDescent="0.25">
      <c r="D24" s="9"/>
      <c r="F24" s="6" t="s">
        <v>1472</v>
      </c>
      <c r="G24" s="6" t="s">
        <v>1466</v>
      </c>
      <c r="H24" s="6">
        <v>4</v>
      </c>
      <c r="I24" s="9" t="str">
        <f>IF(H24=0,"-",IF(H24=1,SUM(H$1:H23)+1,SUM(H$1:H23)+1 &amp; "-" &amp; SUM(H$1:H24)))</f>
        <v>93-96</v>
      </c>
      <c r="J24" s="6" t="str">
        <f t="shared" si="9"/>
        <v>!import-table-item --Apparel-H --Watchful Helm --4</v>
      </c>
      <c r="N24" s="9"/>
      <c r="S24" s="9"/>
      <c r="AC24" s="9"/>
      <c r="AH24" s="9"/>
      <c r="AJ24" s="6" t="s">
        <v>1467</v>
      </c>
      <c r="AK24" s="6" t="s">
        <v>1414</v>
      </c>
      <c r="AL24" s="6">
        <v>3</v>
      </c>
      <c r="AM24" s="9" t="str">
        <f>IF(AL24=0,"-",IF(AL24=1,SUM(AL$1:AL23)+1,SUM(AL$1:AL23)+1 &amp; "-" &amp; SUM(AL$1:AL24)))</f>
        <v>86-88</v>
      </c>
      <c r="AN24" s="6" t="str">
        <f t="shared" si="5"/>
        <v>!import-table-item --Arms-H --Steel --3</v>
      </c>
      <c r="AY24" s="6" t="s">
        <v>1471</v>
      </c>
      <c r="AZ24" s="6" t="s">
        <v>1403</v>
      </c>
      <c r="BA24" s="6">
        <v>3</v>
      </c>
      <c r="BB24" s="9" t="str">
        <f>IF(BA24=0,"-",IF(BA24=1,SUM(BA$1:BA23)+1,SUM(BA$1:BA23)+1 &amp; "-" &amp; SUM(BA$1:BA24)))</f>
        <v>88-90</v>
      </c>
      <c r="BC24" s="6" t="str">
        <f t="shared" si="7"/>
        <v>!import-table-item --Misc-H --Wakened Dragon Vessel --3</v>
      </c>
      <c r="BN24" s="6" t="s">
        <v>260</v>
      </c>
      <c r="BO24" s="6" t="s">
        <v>1397</v>
      </c>
      <c r="BP24" s="6">
        <v>3</v>
      </c>
      <c r="BQ24" s="9" t="str">
        <f>IF(BP24=0,"-",IF(BP24=1,SUM(BP$1:BP23)+1,SUM(BP$1:BP23)+1 &amp; "-" &amp; SUM(BP$1:BP24)))</f>
        <v>98-100</v>
      </c>
      <c r="BR24" s="6" t="str">
        <f t="shared" si="11"/>
        <v>!import-table-item --Spellcaster-H --Wand of the War Mage, +3 --3</v>
      </c>
    </row>
    <row r="25" spans="4:70" x14ac:dyDescent="0.25">
      <c r="D25" s="9"/>
      <c r="F25" s="6" t="s">
        <v>1473</v>
      </c>
      <c r="G25" s="6" t="s">
        <v>1401</v>
      </c>
      <c r="H25" s="6">
        <v>4</v>
      </c>
      <c r="I25" s="9" t="str">
        <f>IF(H25=0,"-",IF(H25=1,SUM(H$1:H24)+1,SUM(H$1:H24)+1 &amp; "-" &amp; SUM(H$1:H25)))</f>
        <v>97-100</v>
      </c>
      <c r="J25" s="6" t="str">
        <f t="shared" si="9"/>
        <v>!import-table-item --Apparel-H --Wyrmreaver Gauntlets --4</v>
      </c>
      <c r="N25" s="9"/>
      <c r="S25" s="9"/>
      <c r="AC25" s="9"/>
      <c r="AH25" s="9"/>
      <c r="AJ25" s="6" t="s">
        <v>1923</v>
      </c>
      <c r="AK25" s="6" t="s">
        <v>1875</v>
      </c>
      <c r="AL25" s="6">
        <v>3</v>
      </c>
      <c r="AM25" s="9" t="str">
        <f>IF(AL25=0,"-",IF(AL25=1,SUM(AL$1:AL24)+1,SUM(AL$1:AL24)+1 &amp; "-" &amp; SUM(AL$1:AL25)))</f>
        <v>89-91</v>
      </c>
      <c r="AN25" s="6" t="str">
        <f t="shared" si="5"/>
        <v>!import-table-item --Arms-H --Stonemaker War Pick --3</v>
      </c>
      <c r="AY25" s="6" t="s">
        <v>1585</v>
      </c>
      <c r="AZ25" s="6" t="s">
        <v>1397</v>
      </c>
      <c r="BA25" s="6">
        <v>2</v>
      </c>
      <c r="BB25" s="9" t="str">
        <f>IF(BA25=0,"-",IF(BA25=1,SUM(BA$1:BA24)+1,SUM(BA$1:BA24)+1 &amp; "-" &amp; SUM(BA$1:BA25)))</f>
        <v>91-92</v>
      </c>
      <c r="BC25" s="6" t="str">
        <f t="shared" si="7"/>
        <v>!import-table-item --Misc-H --Figurine of Wondrous Power, Obsidian Steed --2</v>
      </c>
    </row>
    <row r="26" spans="4:70" x14ac:dyDescent="0.25">
      <c r="D26" s="9"/>
      <c r="I26" s="9"/>
      <c r="N26" s="9"/>
      <c r="S26" s="9"/>
      <c r="AC26" s="9"/>
      <c r="AH26" s="9"/>
      <c r="AJ26" s="6" t="s">
        <v>1468</v>
      </c>
      <c r="AK26" s="6" t="s">
        <v>1424</v>
      </c>
      <c r="AL26" s="6">
        <v>3</v>
      </c>
      <c r="AM26" s="9" t="str">
        <f>IF(AL26=0,"-",IF(AL26=1,SUM(AL$1:AL25)+1,SUM(AL$1:AL25)+1 &amp; "-" &amp; SUM(AL$1:AL26)))</f>
        <v>92-94</v>
      </c>
      <c r="AN26" s="6" t="str">
        <f t="shared" si="5"/>
        <v>!import-table-item --Arms-H --Sword of the Paruns --3</v>
      </c>
      <c r="AY26" s="6" t="s">
        <v>250</v>
      </c>
      <c r="AZ26" s="6" t="s">
        <v>1397</v>
      </c>
      <c r="BA26" s="6">
        <v>2</v>
      </c>
      <c r="BB26" s="9" t="str">
        <f>IF(BA26=0,"-",IF(BA26=1,SUM(BA$1:BA25)+1,SUM(BA$1:BA25)+1 &amp; "-" &amp; SUM(BA$1:BA26)))</f>
        <v>93-94</v>
      </c>
      <c r="BC26" s="6" t="str">
        <f t="shared" si="7"/>
        <v>!import-table-item --Misc-H --Rod of Absorption --2</v>
      </c>
      <c r="BQ26" s="9"/>
    </row>
    <row r="27" spans="4:70" x14ac:dyDescent="0.25">
      <c r="D27" s="9"/>
      <c r="I27" s="9"/>
      <c r="N27" s="9"/>
      <c r="S27" s="9"/>
      <c r="AC27" s="9"/>
      <c r="AH27" s="9"/>
      <c r="AJ27" s="6" t="s">
        <v>1922</v>
      </c>
      <c r="AK27" s="6" t="s">
        <v>1875</v>
      </c>
      <c r="AL27" s="6">
        <v>3</v>
      </c>
      <c r="AM27" s="9" t="str">
        <f>IF(AL27=0,"-",IF(AL27=1,SUM(AL$1:AL26)+1,SUM(AL$1:AL26)+1 &amp; "-" &amp; SUM(AL$1:AL27)))</f>
        <v>95-97</v>
      </c>
      <c r="AN27" s="6" t="str">
        <f t="shared" si="5"/>
        <v>!import-table-item --Arms-H --Tidecaller Trident --3</v>
      </c>
      <c r="AY27" s="11" t="s">
        <v>251</v>
      </c>
      <c r="AZ27" s="6" t="s">
        <v>1397</v>
      </c>
      <c r="BA27" s="6">
        <v>2</v>
      </c>
      <c r="BB27" s="9" t="str">
        <f>IF(BA27=0,"-",IF(BA27=1,SUM(BA$1:BA26)+1,SUM(BA$1:BA26)+1 &amp; "-" &amp; SUM(BA$1:BA27)))</f>
        <v>95-96</v>
      </c>
      <c r="BC27" s="6" t="str">
        <f t="shared" si="7"/>
        <v>!import-table-item --Misc-H --Rod of Alertness --2</v>
      </c>
      <c r="BQ27" s="9"/>
    </row>
    <row r="28" spans="4:70" x14ac:dyDescent="0.25">
      <c r="D28" s="9"/>
      <c r="I28" s="9"/>
      <c r="N28" s="9"/>
      <c r="S28" s="9"/>
      <c r="AC28" s="9"/>
      <c r="AH28" s="9"/>
      <c r="AJ28" s="6" t="s">
        <v>1469</v>
      </c>
      <c r="AK28" s="6" t="s">
        <v>1679</v>
      </c>
      <c r="AL28" s="6">
        <v>3</v>
      </c>
      <c r="AM28" s="9" t="str">
        <f>IF(AL28=0,"-",IF(AL28=1,SUM(AL$1:AL27)+1,SUM(AL$1:AL27)+1 &amp; "-" &amp; SUM(AL$1:AL28)))</f>
        <v>98-100</v>
      </c>
      <c r="AN28" s="6" t="str">
        <f t="shared" si="5"/>
        <v>!import-table-item --Arms-H --Tinkertop Boltblaster 1000 --3</v>
      </c>
      <c r="AY28" s="6" t="s">
        <v>252</v>
      </c>
      <c r="AZ28" s="6" t="s">
        <v>1397</v>
      </c>
      <c r="BA28" s="6">
        <v>2</v>
      </c>
      <c r="BB28" s="9" t="str">
        <f>IF(BA28=0,"-",IF(BA28=1,SUM(BA$1:BA27)+1,SUM(BA$1:BA27)+1 &amp; "-" &amp; SUM(BA$1:BA28)))</f>
        <v>97-98</v>
      </c>
      <c r="BC28" s="6" t="str">
        <f t="shared" si="7"/>
        <v>!import-table-item --Misc-H --Rod of Security --2</v>
      </c>
      <c r="BQ28" s="9"/>
    </row>
    <row r="29" spans="4:70" x14ac:dyDescent="0.25">
      <c r="D29" s="9"/>
      <c r="I29" s="9"/>
      <c r="N29" s="9"/>
      <c r="S29" s="9"/>
      <c r="AC29" s="9"/>
      <c r="AH29" s="9"/>
      <c r="AJ29" s="6" t="s">
        <v>1436</v>
      </c>
      <c r="AK29" s="6" t="s">
        <v>1479</v>
      </c>
      <c r="AL29" s="6">
        <v>0</v>
      </c>
      <c r="AM29" s="9" t="str">
        <f>IF(AL29=0,"-",IF(AL29=1,SUM(AL$1:AL28)+1,SUM(AL$1:AL28)+1 &amp; "-" &amp; SUM(AL$1:AL29)))</f>
        <v>-</v>
      </c>
      <c r="AN29" s="6" t="str">
        <f t="shared" si="5"/>
        <v>!import-table-item --Arms-H --Javelin of Backbiting --0</v>
      </c>
      <c r="AY29" s="6" t="s">
        <v>259</v>
      </c>
      <c r="AZ29" s="6" t="s">
        <v>1397</v>
      </c>
      <c r="BA29" s="6">
        <v>2</v>
      </c>
      <c r="BB29" s="9" t="str">
        <f>IF(BA29=0,"-",IF(BA29=1,SUM(BA$1:BA28)+1,SUM(BA$1:BA28)+1 &amp; "-" &amp; SUM(BA$1:BA29)))</f>
        <v>99-100</v>
      </c>
      <c r="BC29" s="6" t="str">
        <f t="shared" si="7"/>
        <v>!import-table-item --Misc-H --Wand of Polymorph --2</v>
      </c>
      <c r="BQ29" s="9"/>
    </row>
    <row r="30" spans="4:70" x14ac:dyDescent="0.25">
      <c r="D30" s="9"/>
      <c r="N30" s="9"/>
      <c r="S30" s="9"/>
      <c r="AC30" s="9"/>
      <c r="AH30" s="9"/>
      <c r="AJ30" s="6" t="s">
        <v>1462</v>
      </c>
      <c r="AK30" s="6" t="s">
        <v>1479</v>
      </c>
      <c r="AL30" s="6">
        <v>0</v>
      </c>
      <c r="AM30" s="9" t="str">
        <f>IF(AL30=0,"-",IF(AL30=1,SUM(AL$1:AL29)+1,SUM(AL$1:AL29)+1 &amp; "-" &amp; SUM(AL$1:AL30)))</f>
        <v>-</v>
      </c>
      <c r="AN30" s="6" t="str">
        <f t="shared" si="5"/>
        <v>!import-table-item --Arms-H --Spear of Backbiting --0</v>
      </c>
      <c r="BQ30" s="9"/>
    </row>
    <row r="31" spans="4:70" x14ac:dyDescent="0.25">
      <c r="D31" s="9"/>
      <c r="N31" s="9"/>
      <c r="S31" s="9"/>
      <c r="AH31" s="9"/>
      <c r="BQ31" s="9"/>
    </row>
    <row r="32" spans="4:70" x14ac:dyDescent="0.25">
      <c r="AM32" s="9"/>
    </row>
    <row r="33" spans="39:69" x14ac:dyDescent="0.25">
      <c r="AM33" s="9"/>
      <c r="BQ33" s="9"/>
    </row>
    <row r="34" spans="39:69" x14ac:dyDescent="0.25">
      <c r="AM34" s="9"/>
      <c r="BQ34" s="9"/>
    </row>
    <row r="35" spans="39:69" x14ac:dyDescent="0.25">
      <c r="AM35" s="9"/>
      <c r="BQ35" s="9"/>
    </row>
    <row r="36" spans="39:69" x14ac:dyDescent="0.25">
      <c r="AM36" s="9"/>
      <c r="BQ36" s="9"/>
    </row>
    <row r="37" spans="39:69" x14ac:dyDescent="0.25">
      <c r="AM37" s="9"/>
      <c r="BQ37" s="9"/>
    </row>
    <row r="38" spans="39:69" x14ac:dyDescent="0.25">
      <c r="AM38" s="9"/>
    </row>
    <row r="39" spans="39:69" x14ac:dyDescent="0.25">
      <c r="AM39" s="9"/>
    </row>
    <row r="40" spans="39:69" x14ac:dyDescent="0.25">
      <c r="AM40" s="9"/>
    </row>
    <row r="41" spans="39:69" x14ac:dyDescent="0.25">
      <c r="AM41" s="9"/>
    </row>
  </sheetData>
  <sortState xmlns:xlrd2="http://schemas.microsoft.com/office/spreadsheetml/2017/richdata2" ref="AO2:AS42">
    <sortCondition descending="1" ref="AQ2:AQ42"/>
  </sortState>
  <hyperlinks>
    <hyperlink ref="A2" location="'Table H Major Very Rare'!F:J" display="[[ 1t[Apparel-H] ]]" xr:uid="{378E67F7-A58B-4EC1-A2F5-113977EADFD5}"/>
    <hyperlink ref="A3" location="'Table H Major Very Rare'!U:Y" display="[[ 1t[Armor-H] ]]" xr:uid="{F962DB12-510F-41EE-820E-24E78EF57529}"/>
    <hyperlink ref="A4" location="'Table H Major Very Rare'!AJ:AN" display="[[ 1t[Arms-H] ]]" xr:uid="{0A4F8472-AB87-4967-A1CE-DD17C27528D1}"/>
    <hyperlink ref="A5" location="'Table H Major Very Rare'!AO:AS" display="[[ 1t[Jewelry-H] ]]" xr:uid="{DA6A2743-84B6-477F-81F4-244E5B5786D5}"/>
    <hyperlink ref="A6" location="'Table H Major Very Rare'!AY:BC" display="[[ 1t[Misc-H] ]]" xr:uid="{0BE4E771-08D8-45B4-BD43-B2487FDC4F37}"/>
    <hyperlink ref="A7" location="'Table H Major Very Rare'!BN:BR" display="[[ 1t[Spellcaster-H] ]]" xr:uid="{48BE759A-394B-4520-A01A-F806798C109F}"/>
    <hyperlink ref="F2" location="'Table H Major Very Rare'!K:O" display="[[ 1t[Absorbing-H] ]] Tattoo" xr:uid="{14AF127E-A50D-493F-B163-635FE02781D4}"/>
    <hyperlink ref="F3" location="'Table H Major Very Rare'!P:T" display="Belt of [[ 1t[Giant-H] ]] Giant Strength" xr:uid="{BE90EE71-3424-4CF9-A34C-6EB44C8FA767}"/>
    <hyperlink ref="U5" location="'Table H Major Very Rare'!Z:AD" display="[[ 1t[Shields-H] ]]" xr:uid="{F78622E6-7F96-4205-944B-453A3F99BC76}"/>
    <hyperlink ref="U3" location="'Table H Major Very Rare'!AE:AI" display="[[ 1t[Dragon-H] ]] Dragon Scale Mail" xr:uid="{97C99591-FD81-44D7-A9F2-8FFBEC2168FC}"/>
    <hyperlink ref="AO2" location="'Table H Major Very Rare'!AT:AX" display="[[ 1t[Ioun-Stone-I] ]]" xr:uid="{50AC2633-A7FE-4C7E-86DF-23F07A785247}"/>
    <hyperlink ref="AY2" location="'Table H Major Very Rare'!BD:BH" display="[[ 1t[Stat-Books-H] ]]" xr:uid="{44670754-496C-47F4-84FD-0D7CDE0B005A}"/>
    <hyperlink ref="AY3" location="'Table H Major Very Rare'!BI:BM" display="[[ 1t[Candle-H] ]] Candle of Invocation" xr:uid="{302AB69B-D9CD-48D0-893B-07299DFAAE4F}"/>
    <hyperlink ref="F23" location="'Supplemental Types'!BY:CC" display="Wakened Scaled Ornament of [[ 1t[Dragon-Breath] ]]" xr:uid="{E5E59BD9-2209-4168-956A-755C31EE5530}"/>
    <hyperlink ref="U2" location="'Supplemental Types'!B:F" display="[[ 1t[Armor] ]], +2" xr:uid="{EACB9C67-8C8F-4E88-B860-70126DB4BCE5}"/>
    <hyperlink ref="U4" location="'Supplemental Types'!Q:U" display="[[ 1t[Heavy-Armor] ]] of Safeguarding" xr:uid="{CD4F63F7-F09C-4DDA-A6A8-03424E1E231C}"/>
    <hyperlink ref="U8" location="'Supplemental Types'!B:F" display="Last Stand [[ 1t[Armor] ]]" xr:uid="{1B6EE21C-1925-4AE1-981B-65B63987BCA8}"/>
    <hyperlink ref="U9" location="'Supplemental Types'!B:F" display="Living [[ 1t[Armor] ]]" xr:uid="{930FA407-89B3-4D25-87DC-755015781F3D}"/>
    <hyperlink ref="U12" location="'Supplemental Types'!Q:U" display="Demon [[ 1t[Heavy-Armor] ]]" xr:uid="{4815293F-E270-4642-B14C-894C7509AB7B}"/>
    <hyperlink ref="AJ2" location="'Supplemental Types'!AA:AE" display="[[ 1t[Weapons] ]], +3" xr:uid="{1DC8077D-A681-4436-B4D1-26D7B45FB5F8}"/>
    <hyperlink ref="AJ5" location="'Supplemental Types'!A1" display="Wakened Dragon's Wrath [[ 1t[Dragon-Breath] ]] [[ 1t[Weapons] ]]" xr:uid="{6730D191-F7F1-4A54-BCA6-6CB91984F81F}"/>
    <hyperlink ref="AJ7" location="'Supplemental Types'!BE:BI" display="[[ 1t[Swords] ]] of Sharpness" xr:uid="{4B21D776-C4D8-40E3-916D-78C54AF646CE}"/>
    <hyperlink ref="AJ10" location="'Supplemental Types'!BE:BI" display="Bloodshed [[ 1t[Swords] ]]" xr:uid="{5B9D11CB-FFA3-4350-B8C9-89DBEF6FD53C}"/>
    <hyperlink ref="AJ12" location="'Supplemental Types'!BE:BI" display="Dancing [[ 1t[Swords] ]]" xr:uid="{1EBFE58D-A62C-4910-A68A-D80225B72E5D}"/>
    <hyperlink ref="AJ21" location="'Supplemental Types'!BE:BI" display="Nine Lives Stealer [[ 1t[Swords] ]]" xr:uid="{D5341CF6-1006-4786-AAF6-1143921456F6}"/>
    <hyperlink ref="BN23" location="'Supplemental Types'!CN:CR" display="Wakened [[ 1t[FTD-Dragons] ]]-Dragon-Touched Focus" xr:uid="{3D67C855-7094-4687-A160-EE79D3B5663D}"/>
    <hyperlink ref="U7" location="'Supplemental Types'!Q:U" display="Clockwork [[ 1t[Heavy-Armor] ]]" xr:uid="{5883ACC7-C263-4834-8EF1-E00A5311E379}"/>
    <hyperlink ref="U6" location="'Supplemental Types'!B:F" display="Antimagic [[ 1t[Armor] ]]" xr:uid="{97BFF5D9-B652-4247-AAB8-184C2C39A60F}"/>
    <hyperlink ref="AJ18" location="'Supplemental Types'!BE:BI" display="Fool's Blade [[ 1t[Swords] ]]" xr:uid="{46E5BE2F-59A0-4C58-AD8C-904FE6C3647D}"/>
    <hyperlink ref="AJ19" location="'Supplemental Types'!AP:AT" display="Forcebreaker [[ 1t[Martial-Melee] ]]" xr:uid="{63C9AC3D-5F79-4A55-874C-176E02BA6B5F}"/>
    <hyperlink ref="AJ4" location="'Supplemental Types'!AA:AE" display="[[ 1t[Weapons] ]] of Throne's Command" xr:uid="{28932612-26F6-47C3-AAD0-A791BDB35A9E}"/>
    <hyperlink ref="AJ3" location="'Supplemental Types'!AA:AE" display="[[ 1t[Bows] ]] of Melodies" xr:uid="{29C3957C-20EC-4267-A6C6-45250EDB2EFF}"/>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3CFA0-4A1E-C645-ABAE-BFF209EAE82B}">
  <dimension ref="A1:Y28"/>
  <sheetViews>
    <sheetView workbookViewId="0">
      <selection activeCell="Y1" sqref="Y1:Y1048576"/>
    </sheetView>
  </sheetViews>
  <sheetFormatPr defaultColWidth="11.43359375" defaultRowHeight="18.75" x14ac:dyDescent="0.25"/>
  <cols>
    <col min="1" max="1" width="35.37890625" style="6" bestFit="1" customWidth="1"/>
    <col min="2" max="2" width="8.875" style="6" bestFit="1" customWidth="1"/>
    <col min="3" max="3" width="9.14453125" style="6" bestFit="1" customWidth="1"/>
    <col min="4" max="4" width="10.76171875" style="6" bestFit="1" customWidth="1"/>
    <col min="5" max="5" width="87.16796875" style="15" bestFit="1" customWidth="1"/>
    <col min="6" max="6" width="20.4453125" style="6" bestFit="1" customWidth="1"/>
    <col min="7" max="7" width="8.875" style="6" bestFit="1" customWidth="1"/>
    <col min="8" max="8" width="9.14453125" style="6" bestFit="1" customWidth="1"/>
    <col min="9" max="9" width="6.45703125" style="6" bestFit="1" customWidth="1"/>
    <col min="10" max="10" width="66.453125" style="15" bestFit="1" customWidth="1"/>
    <col min="11" max="11" width="54.48046875" style="6" bestFit="1" customWidth="1"/>
    <col min="12" max="12" width="8.875" style="6" bestFit="1" customWidth="1"/>
    <col min="13" max="13" width="9.14453125" style="6" bestFit="1" customWidth="1"/>
    <col min="14" max="14" width="4.9765625" style="6" bestFit="1" customWidth="1"/>
    <col min="15" max="15" width="94.97265625" style="15" bestFit="1" customWidth="1"/>
    <col min="16" max="16" width="50.84765625" style="6" bestFit="1" customWidth="1"/>
    <col min="17" max="17" width="8.875" style="6" bestFit="1" customWidth="1"/>
    <col min="18" max="18" width="9.14453125" style="6" bestFit="1" customWidth="1"/>
    <col min="19" max="19" width="4.9765625" style="6" bestFit="1" customWidth="1"/>
    <col min="20" max="20" width="89.1875" style="15" bestFit="1" customWidth="1"/>
    <col min="21" max="21" width="35.37890625" style="6" bestFit="1" customWidth="1"/>
    <col min="22" max="22" width="8.875" style="6" bestFit="1" customWidth="1"/>
    <col min="23" max="23" width="9.14453125" style="6" bestFit="1" customWidth="1"/>
    <col min="24" max="24" width="10.76171875" style="6" bestFit="1" customWidth="1"/>
    <col min="25" max="25" width="87.16796875" style="15" bestFit="1" customWidth="1"/>
    <col min="26" max="16384" width="11.43359375" style="6"/>
  </cols>
  <sheetData>
    <row r="1" spans="1:25" s="4" customFormat="1" x14ac:dyDescent="0.25">
      <c r="A1" s="4" t="s">
        <v>4</v>
      </c>
      <c r="B1" s="4" t="s">
        <v>1396</v>
      </c>
      <c r="C1" s="4" t="s">
        <v>9</v>
      </c>
      <c r="D1" s="4" t="str">
        <f>"d" &amp; SUM(C:C)</f>
        <v>d100</v>
      </c>
      <c r="E1" s="14" t="str">
        <f>"!import-table --" &amp; A1 &amp; " --show"</f>
        <v>!import-table --Magic-Item-Table-E --show</v>
      </c>
      <c r="F1" s="4" t="s">
        <v>1954</v>
      </c>
      <c r="G1" s="4" t="s">
        <v>1396</v>
      </c>
      <c r="H1" s="4" t="s">
        <v>9</v>
      </c>
      <c r="I1" s="4" t="str">
        <f>"d" &amp; SUM(H:H)</f>
        <v>d10</v>
      </c>
      <c r="J1" s="14" t="str">
        <f>"!import-table --" &amp; F1 &amp; " --show"</f>
        <v>!import-table --Consumables-E --show</v>
      </c>
      <c r="K1" s="4" t="s">
        <v>1600</v>
      </c>
      <c r="L1" s="4" t="s">
        <v>1396</v>
      </c>
      <c r="M1" s="4" t="s">
        <v>9</v>
      </c>
      <c r="N1" s="4" t="str">
        <f>"d" &amp; SUM(M:M)</f>
        <v>d6</v>
      </c>
      <c r="O1" s="14" t="str">
        <f>"!import-table --" &amp; K1 &amp; " --show"</f>
        <v>!import-table --Potions-E --show</v>
      </c>
      <c r="P1" s="4" t="s">
        <v>1597</v>
      </c>
      <c r="Q1" s="4" t="s">
        <v>1396</v>
      </c>
      <c r="R1" s="4" t="s">
        <v>9</v>
      </c>
      <c r="S1" s="4" t="str">
        <f>"d" &amp; SUM(R:R)</f>
        <v>d6</v>
      </c>
      <c r="T1" s="14" t="str">
        <f>"!import-table --" &amp; P1 &amp; " --show"</f>
        <v>!import-table --Spells-E --show</v>
      </c>
      <c r="U1" s="4" t="s">
        <v>1947</v>
      </c>
      <c r="V1" s="4" t="s">
        <v>1396</v>
      </c>
      <c r="W1" s="4" t="s">
        <v>9</v>
      </c>
      <c r="X1" s="4" t="str">
        <f>"d" &amp; SUM(W:W)</f>
        <v>d6</v>
      </c>
      <c r="Y1" s="14" t="str">
        <f>"!import-table --" &amp; U1 &amp; " --show"</f>
        <v>!import-table --Ammunition-E --show</v>
      </c>
    </row>
    <row r="2" spans="1:25" x14ac:dyDescent="0.25">
      <c r="A2" s="24" t="s">
        <v>1948</v>
      </c>
      <c r="C2" s="6">
        <v>5</v>
      </c>
      <c r="D2" s="9" t="str">
        <f>IF(C2=0,"-",IF(C2=1,SUM(C$1:C5)+1,SUM(C$1:C5)+1 &amp; "-" &amp; SUM(C$1:C5)))</f>
        <v>101-100</v>
      </c>
      <c r="E2" s="15" t="str">
        <f>"!import-table-item --" &amp; A$1 &amp; " --" &amp; A2 &amp; " --" &amp; C2</f>
        <v>!import-table-item --Magic-Item-Table-E --[[ 1t[Ammunition-E] ]] --5</v>
      </c>
      <c r="F2" s="6" t="s">
        <v>96</v>
      </c>
      <c r="G2" s="6" t="s">
        <v>1397</v>
      </c>
      <c r="H2" s="6">
        <v>8</v>
      </c>
      <c r="I2" s="9" t="str">
        <f>IF(H2=0,"-",IF(H2=1,SUM(H$1:H1)+1,SUM(H$1:H1)+1 &amp; "-" &amp; SUM(H$1:H2)))</f>
        <v>1-8</v>
      </c>
      <c r="J2" s="15" t="str">
        <f>"!import-table-item --" &amp; F$1 &amp; " --" &amp; F2 &amp; " --" &amp; H2</f>
        <v>!import-table-item --Consumables-E --Universal Solvent --8</v>
      </c>
      <c r="K2" s="6" t="s">
        <v>94</v>
      </c>
      <c r="L2" s="6" t="s">
        <v>1397</v>
      </c>
      <c r="M2" s="6">
        <v>2</v>
      </c>
      <c r="N2" s="9" t="str">
        <f>IF(M2=0,"-",IF(M2=1,SUM(M$1:M1)+1,SUM(M$1:M1)+1 &amp; "-" &amp; SUM(M$1:M2)))</f>
        <v>1-2</v>
      </c>
      <c r="O2" s="15" t="str">
        <f>"!import-table-item --" &amp; K$1 &amp; " --" &amp; K2 &amp; " --" &amp; M2</f>
        <v>!import-table-item --Potions-E --Potion of Storm Giant Strength --2</v>
      </c>
      <c r="P2" s="31" t="s">
        <v>397</v>
      </c>
      <c r="Q2" s="6" t="s">
        <v>1397</v>
      </c>
      <c r="R2" s="9">
        <v>3</v>
      </c>
      <c r="S2" s="9" t="str">
        <f>IF(R2=0,"-",IF(R2=1,SUM(R$1:R1)+1,SUM(R$1:R1)+1 &amp; "-" &amp; SUM(R$1:R2)))</f>
        <v>1-3</v>
      </c>
      <c r="T2" s="15" t="str">
        <f t="shared" ref="T2:T3" si="0">"!import-table-item --" &amp; P$1 &amp; " --" &amp; P2 &amp; " --" &amp; R2</f>
        <v>!import-table-item --Spells-E --Spell Scroll ([[ 1t[Spells-Level-8] ]]) --3</v>
      </c>
      <c r="U2" s="24" t="s">
        <v>1732</v>
      </c>
      <c r="V2" s="6" t="s">
        <v>1397</v>
      </c>
      <c r="W2" s="6">
        <v>6</v>
      </c>
      <c r="X2" s="9" t="str">
        <f>IF(W2=0,"-",IF(W2=1,SUM(W$1:W1)+1,SUM(W$1:W1)+1 &amp; "-" &amp; SUM(W$1:W2)))</f>
        <v>1-6</v>
      </c>
      <c r="Y2" s="15" t="str">
        <f>"!import-table-item --" &amp; U$1 &amp; " --" &amp; U2 &amp; " --" &amp; W2</f>
        <v>!import-table-item --Ammunition-E --[[ 1t[Ammunition] ]] of Slaying --6</v>
      </c>
    </row>
    <row r="3" spans="1:25" x14ac:dyDescent="0.25">
      <c r="A3" s="24" t="s">
        <v>1953</v>
      </c>
      <c r="C3" s="6">
        <v>15</v>
      </c>
      <c r="D3" s="9" t="str">
        <f>IF(C3=0,"-",IF(C3=1,SUM(C$1:C1)+1,SUM(C$1:C1)+1 &amp; "-" &amp; SUM(C$1:C3)))</f>
        <v>1-20</v>
      </c>
      <c r="E3" s="15" t="str">
        <f>"!import-table-item --" &amp; A$1 &amp; " --" &amp; A3 &amp; " --" &amp; C3</f>
        <v>!import-table-item --Magic-Item-Table-E --[[ 1t[Consumables-E] ]] --15</v>
      </c>
      <c r="F3" s="6" t="s">
        <v>376</v>
      </c>
      <c r="G3" s="6" t="s">
        <v>1397</v>
      </c>
      <c r="H3" s="6">
        <v>2</v>
      </c>
      <c r="I3" s="9" t="str">
        <f>IF(H3=0,"-",IF(H3=1,SUM(H$1:H2)+1,SUM(H$1:H2)+1 &amp; "-" &amp; SUM(H$1:H3)))</f>
        <v>9-10</v>
      </c>
      <c r="J3" s="15" t="str">
        <f>"!import-table-item --" &amp; F$1 &amp; " --" &amp; F3 &amp; " --" &amp; H3</f>
        <v>!import-table-item --Consumables-E --Sovereign Glue --2</v>
      </c>
      <c r="K3" s="6" t="s">
        <v>77</v>
      </c>
      <c r="L3" s="6" t="s">
        <v>1397</v>
      </c>
      <c r="M3" s="6">
        <v>2</v>
      </c>
      <c r="N3" s="9" t="str">
        <f>IF(M3=0,"-",IF(M3=1,SUM(M$1:M2)+1,SUM(M$1:M2)+1 &amp; "-" &amp; SUM(M$1:M3)))</f>
        <v>3-4</v>
      </c>
      <c r="O3" s="15" t="str">
        <f>"!import-table-item --" &amp; K$1 &amp; " --" &amp; K3 &amp; " --" &amp; M3</f>
        <v>!import-table-item --Potions-E --Potion of Supreme Healing --2</v>
      </c>
      <c r="P3" s="24" t="s">
        <v>398</v>
      </c>
      <c r="Q3" s="6" t="s">
        <v>1397</v>
      </c>
      <c r="R3" s="6">
        <v>1</v>
      </c>
      <c r="S3" s="9">
        <f>IF(R3=0,"-",IF(R3=1,SUM(R$1:R2)+1,SUM(R$1:R2)+1 &amp; "-" &amp; SUM(R$1:R3)))</f>
        <v>4</v>
      </c>
      <c r="T3" s="15" t="str">
        <f t="shared" si="0"/>
        <v>!import-table-item --Spells-E --Spell Scroll ([[ 1t[Spells-Level-9] ]]) --1</v>
      </c>
      <c r="X3" s="9"/>
    </row>
    <row r="4" spans="1:25" x14ac:dyDescent="0.25">
      <c r="A4" s="24" t="s">
        <v>1601</v>
      </c>
      <c r="C4" s="6">
        <v>40</v>
      </c>
      <c r="D4" s="9" t="str">
        <f>IF(C4=0,"-",IF(C4=1,SUM(C$1:C3)+1,SUM(C$1:C3)+1 &amp; "-" &amp; SUM(C$1:C4)))</f>
        <v>21-60</v>
      </c>
      <c r="E4" s="15" t="str">
        <f>"!import-table-item --" &amp; A$1 &amp; " --" &amp; A4 &amp; " --" &amp; C4</f>
        <v>!import-table-item --Magic-Item-Table-E --[[ 1t[Potions-E] ]] --40</v>
      </c>
      <c r="I4" s="9"/>
      <c r="K4" s="24" t="s">
        <v>1787</v>
      </c>
      <c r="L4" s="6" t="s">
        <v>1403</v>
      </c>
      <c r="M4" s="6">
        <v>1</v>
      </c>
      <c r="N4" s="9">
        <f>IF(M4=0,"-",IF(M4=1,SUM(M$1:M3)+1,SUM(M$1:M3)+1 &amp; "-" &amp; SUM(M$1:M4)))</f>
        <v>5</v>
      </c>
      <c r="O4" s="15" t="str">
        <f>"!import-table-item --" &amp; K$1 &amp; " --" &amp; K4 &amp; " --" &amp; M4</f>
        <v>!import-table-item --Potions-E --Potion of [[ 1t[All-Dragons] ]] Dragon's Majesty --1</v>
      </c>
      <c r="P4" s="31" t="s">
        <v>1390</v>
      </c>
      <c r="Q4" s="6" t="s">
        <v>1397</v>
      </c>
      <c r="R4" s="9">
        <v>1</v>
      </c>
      <c r="S4" s="9">
        <f>IF(R4=0,"-",IF(R4=1,SUM(R$1:R3)+1,SUM(R$1:R3)+1 &amp; "-" &amp; SUM(R$1:R4)))</f>
        <v>5</v>
      </c>
      <c r="T4" s="15" t="str">
        <f t="shared" ref="T4:T5" si="1">"!import-table-item --" &amp; P$1 &amp; " --" &amp; P4 &amp; " --" &amp; R4</f>
        <v>!import-table-item --Spells-E --Spellwrought Tattoo ([[ 1t[Spells-Level-8] ]]) --1</v>
      </c>
      <c r="X4" s="9"/>
    </row>
    <row r="5" spans="1:25" x14ac:dyDescent="0.25">
      <c r="A5" s="31" t="s">
        <v>1599</v>
      </c>
      <c r="C5" s="9">
        <v>40</v>
      </c>
      <c r="D5" s="9" t="str">
        <f>IF(C5=0,"-",IF(C5=1,SUM(C$1:C4)+1,SUM(C$1:C4)+1 &amp; "-" &amp; SUM(C$1:C5)))</f>
        <v>61-100</v>
      </c>
      <c r="E5" s="15" t="str">
        <f>"!import-table-item --" &amp; A$1 &amp; " --" &amp; A5 &amp; " --" &amp; C5</f>
        <v>!import-table-item --Magic-Item-Table-E --[[ 1t[Spells-E] ]] --40</v>
      </c>
      <c r="I5" s="9"/>
      <c r="K5" s="6" t="s">
        <v>1602</v>
      </c>
      <c r="L5" s="6" t="s">
        <v>1399</v>
      </c>
      <c r="M5" s="6">
        <v>1</v>
      </c>
      <c r="N5" s="9">
        <f>IF(M5=0,"-",IF(M5=1,SUM(M$1:M4)+1,SUM(M$1:M4)+1 &amp; "-" &amp; SUM(M$1:M5)))</f>
        <v>6</v>
      </c>
      <c r="O5" s="15" t="str">
        <f>"!import-table-item --" &amp; K$1 &amp; " --" &amp; K5 &amp; " --" &amp; M5</f>
        <v>!import-table-item --Potions-E --Potion of Giant Size --1</v>
      </c>
      <c r="P5" s="24" t="s">
        <v>1598</v>
      </c>
      <c r="Q5" s="6" t="s">
        <v>1397</v>
      </c>
      <c r="R5" s="6">
        <v>1</v>
      </c>
      <c r="S5" s="9">
        <f>IF(R5=0,"-",IF(R5=1,SUM(R$1:R4)+1,SUM(R$1:R4)+1 &amp; "-" &amp; SUM(R$1:R5)))</f>
        <v>6</v>
      </c>
      <c r="T5" s="15" t="str">
        <f t="shared" si="1"/>
        <v>!import-table-item --Spells-E --Spellwrought Tattoo ([[ 1t[Spells-Level-9] ]]) --1</v>
      </c>
      <c r="X5" s="9"/>
    </row>
    <row r="6" spans="1:25" x14ac:dyDescent="0.25">
      <c r="D6" s="9"/>
      <c r="I6" s="9"/>
      <c r="N6" s="9"/>
      <c r="S6" s="9"/>
      <c r="X6" s="9"/>
    </row>
    <row r="7" spans="1:25" x14ac:dyDescent="0.25">
      <c r="D7" s="9"/>
      <c r="I7" s="9"/>
      <c r="N7" s="9"/>
      <c r="S7" s="9"/>
      <c r="X7" s="9"/>
    </row>
    <row r="8" spans="1:25" x14ac:dyDescent="0.25">
      <c r="D8" s="9"/>
      <c r="I8" s="9"/>
      <c r="N8" s="9"/>
      <c r="S8" s="9"/>
      <c r="X8" s="9"/>
    </row>
    <row r="9" spans="1:25" x14ac:dyDescent="0.25">
      <c r="D9" s="9"/>
      <c r="I9" s="9"/>
      <c r="N9" s="9"/>
      <c r="S9" s="9"/>
      <c r="X9" s="9"/>
    </row>
    <row r="10" spans="1:25" x14ac:dyDescent="0.25">
      <c r="D10" s="9"/>
      <c r="I10" s="9"/>
      <c r="N10" s="9"/>
      <c r="S10" s="9"/>
      <c r="X10" s="9"/>
    </row>
    <row r="11" spans="1:25" x14ac:dyDescent="0.25">
      <c r="D11" s="9"/>
      <c r="I11" s="9"/>
      <c r="N11" s="9"/>
      <c r="S11" s="9"/>
      <c r="X11" s="9"/>
    </row>
    <row r="12" spans="1:25" x14ac:dyDescent="0.25">
      <c r="D12" s="9"/>
      <c r="I12" s="9"/>
      <c r="N12" s="9"/>
      <c r="S12" s="9"/>
      <c r="X12" s="9"/>
    </row>
    <row r="13" spans="1:25" x14ac:dyDescent="0.25">
      <c r="D13" s="9"/>
      <c r="I13" s="9"/>
      <c r="N13" s="9"/>
      <c r="S13" s="9"/>
      <c r="X13" s="9"/>
    </row>
    <row r="14" spans="1:25" x14ac:dyDescent="0.25">
      <c r="D14" s="9"/>
      <c r="I14" s="9"/>
      <c r="N14" s="9"/>
      <c r="S14" s="9"/>
      <c r="X14" s="9"/>
    </row>
    <row r="15" spans="1:25" x14ac:dyDescent="0.25">
      <c r="D15" s="9"/>
      <c r="I15" s="9"/>
      <c r="N15" s="9"/>
      <c r="S15" s="9"/>
      <c r="X15" s="9"/>
    </row>
    <row r="16" spans="1:25" x14ac:dyDescent="0.25">
      <c r="D16" s="9"/>
      <c r="I16" s="9"/>
      <c r="N16" s="9"/>
      <c r="S16" s="9"/>
      <c r="X16" s="9"/>
    </row>
    <row r="17" spans="4:24" x14ac:dyDescent="0.25">
      <c r="D17" s="9"/>
      <c r="I17" s="9"/>
      <c r="N17" s="9"/>
      <c r="S17" s="9"/>
      <c r="X17" s="9"/>
    </row>
    <row r="18" spans="4:24" x14ac:dyDescent="0.25">
      <c r="D18" s="9"/>
      <c r="I18" s="9"/>
      <c r="N18" s="9"/>
      <c r="S18" s="9"/>
      <c r="X18" s="9"/>
    </row>
    <row r="19" spans="4:24" x14ac:dyDescent="0.25">
      <c r="D19" s="9"/>
      <c r="I19" s="9"/>
      <c r="N19" s="9"/>
      <c r="S19" s="9"/>
      <c r="X19" s="9"/>
    </row>
    <row r="20" spans="4:24" x14ac:dyDescent="0.25">
      <c r="D20" s="9"/>
      <c r="I20" s="9"/>
      <c r="N20" s="9"/>
      <c r="S20" s="9"/>
      <c r="X20" s="9"/>
    </row>
    <row r="21" spans="4:24" x14ac:dyDescent="0.25">
      <c r="D21" s="9"/>
      <c r="I21" s="9"/>
      <c r="N21" s="9"/>
      <c r="S21" s="9"/>
      <c r="X21" s="9"/>
    </row>
    <row r="22" spans="4:24" x14ac:dyDescent="0.25">
      <c r="D22" s="9"/>
      <c r="I22" s="9"/>
      <c r="N22" s="9"/>
      <c r="S22" s="9"/>
      <c r="X22" s="9"/>
    </row>
    <row r="23" spans="4:24" x14ac:dyDescent="0.25">
      <c r="D23" s="9"/>
      <c r="I23" s="9"/>
      <c r="N23" s="9"/>
      <c r="S23" s="9"/>
      <c r="X23" s="9"/>
    </row>
    <row r="24" spans="4:24" x14ac:dyDescent="0.25">
      <c r="D24" s="9"/>
      <c r="I24" s="9"/>
      <c r="N24" s="9"/>
      <c r="S24" s="9"/>
      <c r="X24" s="9"/>
    </row>
    <row r="25" spans="4:24" x14ac:dyDescent="0.25">
      <c r="D25" s="9"/>
      <c r="I25" s="9"/>
      <c r="N25" s="9"/>
      <c r="S25" s="9"/>
      <c r="X25" s="9"/>
    </row>
    <row r="26" spans="4:24" x14ac:dyDescent="0.25">
      <c r="D26" s="9"/>
      <c r="I26" s="9"/>
      <c r="N26" s="9"/>
      <c r="S26" s="9"/>
    </row>
    <row r="27" spans="4:24" x14ac:dyDescent="0.25">
      <c r="D27" s="9"/>
    </row>
    <row r="28" spans="4:24" x14ac:dyDescent="0.25">
      <c r="D28" s="9"/>
    </row>
  </sheetData>
  <sortState xmlns:xlrd2="http://schemas.microsoft.com/office/spreadsheetml/2017/richdata2" ref="K2:O29">
    <sortCondition descending="1" ref="M2:M29"/>
  </sortState>
  <hyperlinks>
    <hyperlink ref="A2" location="'Table E Minor Legendary'!U:Y" display="[[ 1t[Ammunition] ]] of Slaying" xr:uid="{BE31D0AB-09C2-7146-BCF8-855C887E81EB}"/>
    <hyperlink ref="A3" location="'Table E Minor Legendary'!F:J" display="[[ 1t[Consumable-E] ]]" xr:uid="{DB500C9D-CEAA-EC4D-A71A-97A575F11FF0}"/>
    <hyperlink ref="A4" location="'Table E Minor Legendary'!K:O" display="[[ 1t[Potions-E] ]]" xr:uid="{2FC35EAE-EFF0-B64E-A88A-3E98815F74C0}"/>
    <hyperlink ref="A5" location="'Table E Minor Legendary'!P:T" display="[[ 1t[Spells-E] ]]" xr:uid="{D3E3AE2A-F2B3-4B43-A913-653F3410C2EA}"/>
    <hyperlink ref="P2" location="'All Spells'!AO:AS" display="Spell Scroll ([[ 1t[Spells-Level-8] ]])" xr:uid="{707640C1-095D-4DE5-BF72-377A4A0B9B5A}"/>
    <hyperlink ref="P4" location="'All Spells'!AO:AS" display="Spellwrought Tattoo ([[ 1t[Spells-Level-8] ]])" xr:uid="{5ABA5195-9D26-48BD-B6DA-B6272E9E925E}"/>
    <hyperlink ref="P3" location="'All Spells'!AT:AX" display="Spell Scroll ([[ 1t[Spells-Level-9] ]])" xr:uid="{711B08B9-8784-4271-8BE3-21032629E793}"/>
    <hyperlink ref="P5" location="'All Spells'!AT:AX" display="Spellwrought Tattoo ([[ 1t[Spells-Level-9] ]])" xr:uid="{B7BBA21D-09F0-4670-879C-029B60570606}"/>
    <hyperlink ref="K4" location="'Supplemental Types'!CS:CW" display="Potion of [[ 1t[All-Dragons] ]] Dragon's Majesty" xr:uid="{76DDD6BE-888C-4C04-9627-C638E9CD13BD}"/>
    <hyperlink ref="U2" location="'Supplemental Types'!AZ:BD" display="[[ 1t[Ammunition] ]] of Slaying" xr:uid="{45CABF62-2796-4343-9D0E-ED039F35007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B7098-18E6-4096-979B-F7C581FE118D}">
  <dimension ref="A1:BH21"/>
  <sheetViews>
    <sheetView zoomScaleNormal="100" workbookViewId="0">
      <selection activeCell="BH1" sqref="BH1:BH1048576"/>
    </sheetView>
  </sheetViews>
  <sheetFormatPr defaultColWidth="8.875" defaultRowHeight="18.75" x14ac:dyDescent="0.25"/>
  <cols>
    <col min="1" max="1" width="23.80859375" style="6" bestFit="1" customWidth="1"/>
    <col min="2" max="2" width="8.875" style="6" bestFit="1" customWidth="1"/>
    <col min="3" max="3" width="9.14453125" style="6" bestFit="1" customWidth="1"/>
    <col min="4" max="4" width="9.28125" style="6" bestFit="1" customWidth="1"/>
    <col min="5" max="5" width="76.67578125" style="15" bestFit="1" customWidth="1"/>
    <col min="6" max="6" width="62.28125" style="6" bestFit="1" customWidth="1"/>
    <col min="7" max="7" width="8.875" style="6"/>
    <col min="8" max="8" width="9.14453125" style="6" bestFit="1" customWidth="1"/>
    <col min="9" max="9" width="5.37890625" style="6" bestFit="1" customWidth="1"/>
    <col min="10" max="10" width="102.37109375" style="15" bestFit="1" customWidth="1"/>
    <col min="11" max="11" width="39.27734375" style="6" bestFit="1" customWidth="1"/>
    <col min="12" max="12" width="8.875" style="6" bestFit="1"/>
    <col min="13" max="13" width="9.14453125" style="6" bestFit="1" customWidth="1"/>
    <col min="14" max="14" width="5.37890625" style="6" bestFit="1" customWidth="1"/>
    <col min="15" max="15" width="78.0234375" style="15" bestFit="1" customWidth="1"/>
    <col min="16" max="16" width="78.15625" style="6" bestFit="1" customWidth="1"/>
    <col min="17" max="17" width="8.875" style="6"/>
    <col min="18" max="18" width="9.14453125" style="6" bestFit="1" customWidth="1"/>
    <col min="19" max="19" width="7.80078125" style="6" bestFit="1" customWidth="1"/>
    <col min="20" max="20" width="115.421875" style="15" bestFit="1" customWidth="1"/>
    <col min="21" max="21" width="30.40234375" style="6" bestFit="1" customWidth="1"/>
    <col min="22" max="22" width="8.875" style="6"/>
    <col min="23" max="23" width="9.14453125" style="6" bestFit="1" customWidth="1"/>
    <col min="24" max="24" width="7.80078125" style="6" bestFit="1" customWidth="1"/>
    <col min="25" max="25" width="73.8515625" style="15" bestFit="1" customWidth="1"/>
    <col min="26" max="26" width="34.16796875" style="6" bestFit="1" customWidth="1"/>
    <col min="27" max="27" width="8.875" style="6"/>
    <col min="28" max="28" width="9.14453125" style="6" bestFit="1" customWidth="1"/>
    <col min="29" max="29" width="9.28125" style="6" bestFit="1" customWidth="1"/>
    <col min="30" max="30" width="74.66015625" style="15" bestFit="1" customWidth="1"/>
    <col min="31" max="31" width="55.15234375" style="6" bestFit="1" customWidth="1"/>
    <col min="32" max="32" width="8.875" style="6"/>
    <col min="33" max="33" width="9.14453125" style="6" bestFit="1" customWidth="1"/>
    <col min="34" max="34" width="7.80078125" style="6" bestFit="1" customWidth="1"/>
    <col min="35" max="35" width="94.97265625" style="15" bestFit="1" customWidth="1"/>
    <col min="36" max="36" width="17.484375" style="6" bestFit="1" customWidth="1"/>
    <col min="37" max="37" width="8.875" style="6"/>
    <col min="38" max="38" width="9.14453125" style="6" bestFit="1" customWidth="1"/>
    <col min="39" max="39" width="6.45703125" style="6" bestFit="1" customWidth="1"/>
    <col min="40" max="40" width="55.421875" style="15" bestFit="1" customWidth="1"/>
    <col min="41" max="41" width="13.85546875" style="6" bestFit="1" customWidth="1"/>
    <col min="42" max="42" width="8.875" style="6"/>
    <col min="43" max="43" width="9.14453125" style="6" bestFit="1" customWidth="1"/>
    <col min="44" max="44" width="4.16796875" style="6" bestFit="1" customWidth="1"/>
    <col min="45" max="45" width="50.4453125" style="15" bestFit="1" customWidth="1"/>
    <col min="46" max="46" width="77.484375" style="6" bestFit="1" customWidth="1"/>
    <col min="47" max="47" width="8.875" style="6" bestFit="1" customWidth="1"/>
    <col min="48" max="48" width="9.14453125" style="6" bestFit="1" customWidth="1"/>
    <col min="49" max="49" width="5.37890625" style="6" bestFit="1" customWidth="1"/>
    <col min="50" max="50" width="114.34375" style="15" bestFit="1" customWidth="1"/>
    <col min="51" max="51" width="16.41015625" style="6" bestFit="1" customWidth="1"/>
    <col min="52" max="52" width="8.875" style="6" bestFit="1" customWidth="1"/>
    <col min="53" max="53" width="9.14453125" style="6" bestFit="1" customWidth="1"/>
    <col min="54" max="54" width="4.9765625" style="6" bestFit="1" customWidth="1"/>
    <col min="55" max="55" width="60.3984375" style="15" bestFit="1" customWidth="1"/>
    <col min="56" max="56" width="44.79296875" style="6" bestFit="1" customWidth="1"/>
    <col min="57" max="57" width="8.875" style="6"/>
    <col min="58" max="58" width="9.14453125" style="6" bestFit="1" customWidth="1"/>
    <col min="59" max="59" width="4.16796875" style="6" bestFit="1" customWidth="1"/>
    <col min="60" max="60" width="88.37890625" style="15" bestFit="1" customWidth="1"/>
    <col min="61" max="16384" width="8.875" style="6"/>
  </cols>
  <sheetData>
    <row r="1" spans="1:60" s="4" customFormat="1" x14ac:dyDescent="0.25">
      <c r="A1" s="4" t="s">
        <v>8</v>
      </c>
      <c r="B1" s="4" t="s">
        <v>1396</v>
      </c>
      <c r="C1" s="4" t="s">
        <v>9</v>
      </c>
      <c r="D1" s="4" t="str">
        <f>"d" &amp; SUM(C:C)</f>
        <v>d100</v>
      </c>
      <c r="E1" s="14" t="str">
        <f>"!import-table --" &amp; A1 &amp; " --show"</f>
        <v>!import-table --Magic-Item-Table-I --show</v>
      </c>
      <c r="F1" s="4" t="s">
        <v>1636</v>
      </c>
      <c r="G1" s="4" t="s">
        <v>1396</v>
      </c>
      <c r="H1" s="4" t="s">
        <v>9</v>
      </c>
      <c r="I1" s="4" t="str">
        <f>"d" &amp; SUM(H:H)</f>
        <v>d12</v>
      </c>
      <c r="J1" s="14" t="str">
        <f>"!import-table --" &amp; F1 &amp; " --show"</f>
        <v>!import-table --Apparel-I --show</v>
      </c>
      <c r="K1" s="4" t="s">
        <v>1637</v>
      </c>
      <c r="L1" s="4" t="s">
        <v>1396</v>
      </c>
      <c r="M1" s="4" t="s">
        <v>9</v>
      </c>
      <c r="N1" s="4" t="str">
        <f>"d" &amp; SUM(M:M)</f>
        <v>d12</v>
      </c>
      <c r="O1" s="14" t="str">
        <f>"!import-table --" &amp; K1 &amp; " --show"</f>
        <v>!import-table --Armor-I --show</v>
      </c>
      <c r="P1" s="4" t="s">
        <v>1635</v>
      </c>
      <c r="Q1" s="4" t="s">
        <v>1396</v>
      </c>
      <c r="R1" s="4" t="s">
        <v>9</v>
      </c>
      <c r="S1" s="4" t="str">
        <f>"d" &amp; SUM(R:R)</f>
        <v>d20</v>
      </c>
      <c r="T1" s="14" t="str">
        <f>"!import-table --" &amp; P1 &amp; " --show"</f>
        <v>!import-table --Arms-I --show</v>
      </c>
      <c r="U1" s="4" t="s">
        <v>1658</v>
      </c>
      <c r="V1" s="4" t="s">
        <v>1396</v>
      </c>
      <c r="W1" s="4" t="s">
        <v>9</v>
      </c>
      <c r="X1" s="4" t="str">
        <f>"d" &amp; SUM(W:W)</f>
        <v>d20</v>
      </c>
      <c r="Y1" s="14" t="str">
        <f>"!import-table --" &amp; U1 &amp; " --show"</f>
        <v>!import-table --Answering-I --show</v>
      </c>
      <c r="Z1" s="4" t="s">
        <v>1652</v>
      </c>
      <c r="AA1" s="4" t="s">
        <v>1396</v>
      </c>
      <c r="AB1" s="4" t="s">
        <v>9</v>
      </c>
      <c r="AC1" s="4" t="str">
        <f>"d" &amp; SUM(AB:AB)</f>
        <v>d100</v>
      </c>
      <c r="AD1" s="14" t="str">
        <f>"!import-table --" &amp; Z1 &amp; " --show"</f>
        <v>!import-table --Sentient-I --show</v>
      </c>
      <c r="AE1" s="4" t="s">
        <v>1639</v>
      </c>
      <c r="AF1" s="4" t="s">
        <v>1396</v>
      </c>
      <c r="AG1" s="4" t="s">
        <v>9</v>
      </c>
      <c r="AH1" s="4" t="str">
        <f>"d" &amp; SUM(AG:AG)</f>
        <v>d20</v>
      </c>
      <c r="AI1" s="14" t="str">
        <f>"!import-table --" &amp; AE1 &amp; " --show"</f>
        <v>!import-table --Jewelry-I --show</v>
      </c>
      <c r="AJ1" s="4" t="s">
        <v>1716</v>
      </c>
      <c r="AK1" s="4" t="s">
        <v>1396</v>
      </c>
      <c r="AL1" s="4" t="s">
        <v>9</v>
      </c>
      <c r="AM1" s="4" t="str">
        <f>"d" &amp; SUM(AL:AL)</f>
        <v>d10</v>
      </c>
      <c r="AN1" s="14" t="str">
        <f>"!import-table --" &amp; AJ1 &amp; " --show"</f>
        <v>!import-table --Shard-I --show</v>
      </c>
      <c r="AO1" s="4" t="s">
        <v>1752</v>
      </c>
      <c r="AP1" s="4" t="s">
        <v>1396</v>
      </c>
      <c r="AQ1" s="4" t="s">
        <v>9</v>
      </c>
      <c r="AR1" s="4" t="str">
        <f>"d" &amp; SUM(AQ:AQ)</f>
        <v>d4</v>
      </c>
      <c r="AS1" s="14" t="str">
        <f>"!import-table --" &amp; AO1 &amp; " --show"</f>
        <v>!import-table --Elemental-I --show</v>
      </c>
      <c r="AT1" s="4" t="s">
        <v>1638</v>
      </c>
      <c r="AU1" s="4" t="s">
        <v>1396</v>
      </c>
      <c r="AV1" s="4" t="s">
        <v>9</v>
      </c>
      <c r="AW1" s="4" t="str">
        <f>"d" &amp; SUM(AV:AV)</f>
        <v>d20</v>
      </c>
      <c r="AX1" s="14" t="str">
        <f>"!import-table --" &amp; AT1 &amp; " --show"</f>
        <v>!import-table --Misc-I --show</v>
      </c>
      <c r="AY1" s="4" t="s">
        <v>1721</v>
      </c>
      <c r="AZ1" s="4" t="s">
        <v>1396</v>
      </c>
      <c r="BA1" s="4" t="s">
        <v>9</v>
      </c>
      <c r="BB1" s="4" t="str">
        <f>"d" &amp; SUM(BA:BA)</f>
        <v>d6</v>
      </c>
      <c r="BC1" s="14" t="str">
        <f>"!import-table --" &amp; AY1 &amp; " --show"</f>
        <v>!import-table --Crystal-Ball-I --show</v>
      </c>
      <c r="BD1" s="4" t="s">
        <v>1715</v>
      </c>
      <c r="BE1" s="4" t="s">
        <v>1396</v>
      </c>
      <c r="BF1" s="4" t="s">
        <v>9</v>
      </c>
      <c r="BG1" s="4" t="str">
        <f>"d" &amp; SUM(BF:BF)</f>
        <v>d8</v>
      </c>
      <c r="BH1" s="14" t="str">
        <f>"!import-table --" &amp; BD1 &amp; " --show"</f>
        <v>!import-table --Spellcaster-I --show</v>
      </c>
    </row>
    <row r="2" spans="1:60" x14ac:dyDescent="0.25">
      <c r="A2" s="24" t="s">
        <v>1644</v>
      </c>
      <c r="C2" s="6">
        <v>15</v>
      </c>
      <c r="D2" s="9" t="str">
        <f>IF(C2=0,"-",IF(C2=1,SUM(C$1:C1)+1,SUM(C$1:C1)+1 &amp; "-" &amp; SUM(C$1:C2)))</f>
        <v>1-15</v>
      </c>
      <c r="E2" s="15" t="str">
        <f t="shared" ref="E2:E7" si="0">"!import-table-item --" &amp; A$1 &amp; " --" &amp; A2 &amp; " --" &amp; C2</f>
        <v>!import-table-item --Magic-Item-Table-I --[[ 1t[Apparel-I] ]] --15</v>
      </c>
      <c r="F2" s="6" t="s">
        <v>316</v>
      </c>
      <c r="G2" s="6" t="s">
        <v>1397</v>
      </c>
      <c r="H2" s="6">
        <v>2</v>
      </c>
      <c r="I2" s="9" t="str">
        <f>IF(H2=0,"-",IF(H2=1,SUM(H$1:H1)+1,SUM(H$1:H1)+1 &amp; "-" &amp; SUM(H$1:H2)))</f>
        <v>1-2</v>
      </c>
      <c r="J2" s="15" t="str">
        <f t="shared" ref="J2:J10" si="1">"!import-table-item --" &amp; F$1 &amp; " --" &amp; F2 &amp; " --" &amp; H2</f>
        <v>!import-table-item --Apparel-I --Belt of Cloud Giant Strength --2</v>
      </c>
      <c r="K2" s="24" t="s">
        <v>1671</v>
      </c>
      <c r="L2" s="6" t="s">
        <v>1397</v>
      </c>
      <c r="M2" s="6">
        <v>6</v>
      </c>
      <c r="N2" s="9" t="str">
        <f>IF(M2=0,"-",IF(M2=1,SUM(M$1:M1)+1,SUM(M$1:M1)+1 &amp; "-" &amp; SUM(M$1:M2)))</f>
        <v>1-6</v>
      </c>
      <c r="O2" s="15" t="str">
        <f t="shared" ref="O2:O8" si="2">"!import-table-item --" &amp; K$1 &amp; " --" &amp; K2 &amp; " --" &amp; M2</f>
        <v>!import-table-item --Armor-I --[[ 1t[Armor] ]], +3 --6</v>
      </c>
      <c r="P2" s="24" t="s">
        <v>1705</v>
      </c>
      <c r="Q2" s="6" t="s">
        <v>1403</v>
      </c>
      <c r="R2" s="6">
        <v>2</v>
      </c>
      <c r="S2" s="9" t="str">
        <f>IF(R2=0,"-",IF(R2=1,SUM(R$1:R1)+1,SUM(R$1:R1)+1 &amp; "-" &amp; SUM(R$1:R2)))</f>
        <v>1-2</v>
      </c>
      <c r="T2" s="15" t="str">
        <f t="shared" ref="T2:T15" si="3">"!import-table-item --" &amp; P$1 &amp; " --" &amp; P2 &amp; " --" &amp; R2</f>
        <v>!import-table-item --Arms-I --Ascendant [[ 1t[Dragon-Breath] ]] Dragon's Wrath [[ 1t[Weapons] ]] --2</v>
      </c>
      <c r="U2" s="6" t="s">
        <v>1659</v>
      </c>
      <c r="V2" s="6" t="s">
        <v>1397</v>
      </c>
      <c r="W2" s="6">
        <v>3</v>
      </c>
      <c r="X2" s="9" t="str">
        <f>IF(W2=0,"-",IF(W2=1,SUM(W$1:W1)+1,SUM(W$1:W1)+1 &amp; "-" &amp; SUM(W$1:W2)))</f>
        <v>1-3</v>
      </c>
      <c r="Y2" s="15" t="str">
        <f t="shared" ref="Y2:Y10" si="4">"!import-table-item --" &amp; U$1 &amp; " --" &amp; U2 &amp; " --" &amp; W2</f>
        <v>!import-table-item --Answering-I --Answerer, CG, Emerald --3</v>
      </c>
      <c r="Z2" s="6" t="s">
        <v>1654</v>
      </c>
      <c r="AA2" s="6" t="s">
        <v>1397</v>
      </c>
      <c r="AB2" s="6">
        <v>10</v>
      </c>
      <c r="AC2" s="9" t="str">
        <f>IF(AB2=0,"-",IF(AB2=1,SUM(AB$1:AB1)+1,SUM(AB$1:AB1)+1 &amp; "-" &amp; SUM(AB$1:AB2)))</f>
        <v>1-10</v>
      </c>
      <c r="AD2" s="15" t="str">
        <f t="shared" ref="AD2:AD12" si="5">"!import-table-item --" &amp; Z$1 &amp; " --" &amp; Z2 &amp; " --" &amp; AB2</f>
        <v>!import-table-item --Sentient-I --Moonblade --10</v>
      </c>
      <c r="AE2" s="24" t="s">
        <v>1753</v>
      </c>
      <c r="AF2" s="6" t="s">
        <v>1513</v>
      </c>
      <c r="AG2" s="6">
        <v>4</v>
      </c>
      <c r="AH2" s="9" t="str">
        <f>IF(AG2=0,"-",IF(AG2=1,SUM(AG$1:AG1)+1,SUM(AG$1:AG1)+1 &amp; "-" &amp; SUM(AG$1:AG2)))</f>
        <v>1-4</v>
      </c>
      <c r="AI2" s="15" t="str">
        <f t="shared" ref="AI2:AI11" si="6">"!import-table-item --" &amp; AE$1 &amp; " --" &amp; AE2 &amp; " --" &amp; AG2</f>
        <v>!import-table-item --Jewelry-I --Shard Solitaire ([[ 1t[Shard-I] ]]) --4</v>
      </c>
      <c r="AJ2" s="6" t="s">
        <v>1754</v>
      </c>
      <c r="AK2" s="6" t="s">
        <v>1513</v>
      </c>
      <c r="AL2" s="6">
        <v>2</v>
      </c>
      <c r="AM2" s="9" t="str">
        <f>IF(AL2=0,"-",IF(AL2=1,SUM(AL$1:AL1)+1,SUM(AL$1:AL1)+1 &amp; "-" &amp; SUM(AL$1:AL2)))</f>
        <v>1-2</v>
      </c>
      <c r="AN2" s="15" t="str">
        <f>"!import-table-item --" &amp; AJ$1 &amp; " --" &amp; AJ2 &amp; " --" &amp; AL2</f>
        <v>!import-table-item --Shard-I --Black Sapphire --2</v>
      </c>
      <c r="AO2" s="6" t="s">
        <v>1717</v>
      </c>
      <c r="AP2" s="6" t="s">
        <v>1397</v>
      </c>
      <c r="AQ2" s="6">
        <v>1</v>
      </c>
      <c r="AR2" s="9">
        <f>IF(AQ2=0,"-",IF(AQ2=1,SUM(AQ$1:AQ1)+1,SUM(AQ$1:AQ1)+1 &amp; "-" &amp; SUM(AQ$1:AQ2)))</f>
        <v>1</v>
      </c>
      <c r="AS2" s="15" t="str">
        <f>"!import-table-item --" &amp; AO$1 &amp; " --" &amp; AO2 &amp; " --" &amp; AQ2</f>
        <v>!import-table-item --Elemental-I --Air --1</v>
      </c>
      <c r="AT2" s="24" t="s">
        <v>1756</v>
      </c>
      <c r="AV2" s="6">
        <v>2</v>
      </c>
      <c r="AW2" s="9" t="str">
        <f>IF(AV2=0,"-",IF(AV2=1,SUM(AV$1:AV1)+1,SUM(AV$1:AV1)+1 &amp; "-" &amp; SUM(AV$1:AV2)))</f>
        <v>1-2</v>
      </c>
      <c r="AX2" s="15" t="str">
        <f t="shared" ref="AX2:AX21" si="7">"!import-table-item --" &amp; AT$1 &amp; " --" &amp; AT2 &amp; " --" &amp; AV2</f>
        <v>!import-table-item --Misc-I --Crystal Ball of [[ 1t[Crystal-Ball-I] ]] --2</v>
      </c>
      <c r="AY2" s="6" t="s">
        <v>1757</v>
      </c>
      <c r="AZ2" s="6" t="s">
        <v>1397</v>
      </c>
      <c r="BA2" s="6">
        <v>2</v>
      </c>
      <c r="BB2" s="9" t="str">
        <f>IF(BA2=0,"-",IF(BA2=1,SUM(BA$1:BA1)+1,SUM(BA$1:BA1)+1 &amp; "-" &amp; SUM(BA$1:BA2)))</f>
        <v>1-2</v>
      </c>
      <c r="BC2" s="15" t="str">
        <f>"!import-table-item --" &amp; AY$1 &amp; " --" &amp; AY2 &amp; " --" &amp; BA2</f>
        <v>!import-table-item --Crystal-Ball-I --Mind Reading --2</v>
      </c>
      <c r="BD2" s="6" t="s">
        <v>1606</v>
      </c>
      <c r="BE2" s="6" t="s">
        <v>1403</v>
      </c>
      <c r="BF2" s="6">
        <v>1</v>
      </c>
      <c r="BG2" s="9">
        <f>IF(BF2=0,"-",IF(BF2=1,SUM(BF$1:BF1)+1,SUM(BF$1:BF1)+1 &amp; "-" &amp; SUM(BF$1:BF2)))</f>
        <v>1</v>
      </c>
      <c r="BH2" s="15" t="str">
        <f t="shared" ref="BH2:BH9" si="8">"!import-table-item --" &amp; BD$1 &amp; " --" &amp; BD2 &amp; " --" &amp; BF2</f>
        <v>!import-table-item --Spellcaster-I --Ascendant Dragon-Touched Focus --1</v>
      </c>
    </row>
    <row r="3" spans="1:60" x14ac:dyDescent="0.25">
      <c r="A3" s="24" t="s">
        <v>1642</v>
      </c>
      <c r="C3" s="6">
        <v>15</v>
      </c>
      <c r="D3" s="9" t="str">
        <f>IF(C3=0,"-",IF(C3=1,SUM(C$1:C2)+1,SUM(C$1:C2)+1 &amp; "-" &amp; SUM(C$1:C3)))</f>
        <v>16-30</v>
      </c>
      <c r="E3" s="15" t="str">
        <f t="shared" si="0"/>
        <v>!import-table-item --Magic-Item-Table-I --[[ 1t[Armor-I] ]] --15</v>
      </c>
      <c r="F3" s="6" t="s">
        <v>1609</v>
      </c>
      <c r="G3" s="6" t="s">
        <v>1402</v>
      </c>
      <c r="H3" s="6">
        <v>2</v>
      </c>
      <c r="I3" s="9" t="str">
        <f>IF(H3=0,"-",IF(H3=1,SUM(H$1:H2)+1,SUM(H$1:H2)+1 &amp; "-" &amp; SUM(H$1:H3)))</f>
        <v>3-4</v>
      </c>
      <c r="J3" s="15" t="str">
        <f t="shared" si="1"/>
        <v>!import-table-item --Apparel-I --Blood Fury Tattoo --2</v>
      </c>
      <c r="K3" s="6" t="s">
        <v>1648</v>
      </c>
      <c r="L3" s="6" t="s">
        <v>1397</v>
      </c>
      <c r="M3" s="6">
        <v>1</v>
      </c>
      <c r="N3" s="9">
        <f>IF(M3=0,"-",IF(M3=1,SUM(M$1:M2)+1,SUM(M$1:M2)+1 &amp; "-" &amp; SUM(M$1:M3)))</f>
        <v>7</v>
      </c>
      <c r="O3" s="15" t="str">
        <f t="shared" si="2"/>
        <v>!import-table-item --Armor-I --Efreeti Chain Mail --1</v>
      </c>
      <c r="P3" s="24" t="s">
        <v>1086</v>
      </c>
      <c r="Q3" s="6" t="s">
        <v>1397</v>
      </c>
      <c r="R3" s="6">
        <v>2</v>
      </c>
      <c r="S3" s="9" t="str">
        <f>IF(R3=0,"-",IF(R3=1,SUM(R$1:R2)+1,SUM(R$1:R2)+1 &amp; "-" &amp; SUM(R$1:R3)))</f>
        <v>3-4</v>
      </c>
      <c r="T3" s="15" t="str">
        <f t="shared" si="3"/>
        <v>!import-table-item --Arms-I --Defender [[ 1t[Swords] ]] --2</v>
      </c>
      <c r="U3" s="6" t="s">
        <v>1665</v>
      </c>
      <c r="V3" s="6" t="s">
        <v>1397</v>
      </c>
      <c r="W3" s="6">
        <v>3</v>
      </c>
      <c r="X3" s="9" t="str">
        <f>IF(W3=0,"-",IF(W3=1,SUM(W$1:W2)+1,SUM(W$1:W2)+1 &amp; "-" &amp; SUM(W$1:W3)))</f>
        <v>4-6</v>
      </c>
      <c r="Y3" s="15" t="str">
        <f t="shared" si="4"/>
        <v>!import-table-item --Answering-I --Retorter, LG, Aquamarine --3</v>
      </c>
      <c r="Z3" s="6" t="s">
        <v>1607</v>
      </c>
      <c r="AA3" s="6" t="s">
        <v>1439</v>
      </c>
      <c r="AB3" s="6">
        <v>9</v>
      </c>
      <c r="AC3" s="9" t="str">
        <f>IF(AB3=0,"-",IF(AB3=1,SUM(AB$1:AB2)+1,SUM(AB$1:AB2)+1 &amp; "-" &amp; SUM(AB$1:AB3)))</f>
        <v>11-19</v>
      </c>
      <c r="AD3" s="15" t="str">
        <f t="shared" si="5"/>
        <v>!import-table-item --Sentient-I --Azuredge --9</v>
      </c>
      <c r="AE3" s="24" t="s">
        <v>1720</v>
      </c>
      <c r="AF3" s="6" t="s">
        <v>1397</v>
      </c>
      <c r="AG3" s="6">
        <v>4</v>
      </c>
      <c r="AH3" s="9" t="str">
        <f>IF(AG3=0,"-",IF(AG3=1,SUM(AG$1:AG2)+1,SUM(AG$1:AG2)+1 &amp; "-" &amp; SUM(AG$1:AG3)))</f>
        <v>5-8</v>
      </c>
      <c r="AI3" s="15" t="str">
        <f t="shared" si="6"/>
        <v>!import-table-item --Jewelry-I --Ring of [[ 1t[Elemental-I] ]] Elemental Command --4</v>
      </c>
      <c r="AJ3" s="6" t="s">
        <v>1498</v>
      </c>
      <c r="AK3" s="6" t="s">
        <v>1513</v>
      </c>
      <c r="AL3" s="6">
        <v>2</v>
      </c>
      <c r="AM3" s="9" t="str">
        <f>IF(AL3=0,"-",IF(AL3=1,SUM(AL$1:AL2)+1,SUM(AL$1:AL2)+1 &amp; "-" &amp; SUM(AL$1:AL3)))</f>
        <v>3-4</v>
      </c>
      <c r="AN3" s="15" t="str">
        <f>"!import-table-item --" &amp; AJ$1 &amp; " --" &amp; AJ3 &amp; " --" &amp; AL3</f>
        <v>!import-table-item --Shard-I --Diamond --2</v>
      </c>
      <c r="AO3" s="6" t="s">
        <v>1718</v>
      </c>
      <c r="AP3" s="6" t="s">
        <v>1397</v>
      </c>
      <c r="AQ3" s="6">
        <v>1</v>
      </c>
      <c r="AR3" s="9">
        <f>IF(AQ3=0,"-",IF(AQ3=1,SUM(AQ$1:AQ2)+1,SUM(AQ$1:AQ2)+1 &amp; "-" &amp; SUM(AQ$1:AQ3)))</f>
        <v>2</v>
      </c>
      <c r="AS3" s="15" t="str">
        <f>"!import-table-item --" &amp; AO$1 &amp; " --" &amp; AO3 &amp; " --" &amp; AQ3</f>
        <v>!import-table-item --Elemental-I --Earth --1</v>
      </c>
      <c r="AT3" s="6" t="s">
        <v>1604</v>
      </c>
      <c r="AU3" s="6" t="s">
        <v>1403</v>
      </c>
      <c r="AV3" s="6">
        <v>1</v>
      </c>
      <c r="AW3" s="9">
        <f>IF(AV3=0,"-",IF(AV3=1,SUM(AV$1:AV2)+1,SUM(AV$1:AV2)+1 &amp; "-" &amp; SUM(AV$1:AV3)))</f>
        <v>3</v>
      </c>
      <c r="AX3" s="15" t="str">
        <f t="shared" si="7"/>
        <v>!import-table-item --Misc-I --Ascendant Dragon Vessel --1</v>
      </c>
      <c r="AY3" s="6" t="s">
        <v>930</v>
      </c>
      <c r="AZ3" s="6" t="s">
        <v>1397</v>
      </c>
      <c r="BA3" s="6">
        <v>2</v>
      </c>
      <c r="BB3" s="9" t="str">
        <f>IF(BA3=0,"-",IF(BA3=1,SUM(BA$1:BA2)+1,SUM(BA$1:BA2)+1 &amp; "-" &amp; SUM(BA$1:BA3)))</f>
        <v>3-4</v>
      </c>
      <c r="BC3" s="15" t="str">
        <f>"!import-table-item --" &amp; AY$1 &amp; " --" &amp; AY3 &amp; " --" &amp; BA3</f>
        <v>!import-table-item --Crystal-Ball-I --Telepathy --2</v>
      </c>
      <c r="BD3" s="6" t="s">
        <v>1914</v>
      </c>
      <c r="BE3" s="6" t="s">
        <v>1875</v>
      </c>
      <c r="BF3" s="6">
        <v>1</v>
      </c>
      <c r="BG3" s="9">
        <f>IF(BF3=0,"-",IF(BF3=1,SUM(BF$1:BF2)+1,SUM(BF$1:BF2)+1 &amp; "-" &amp; SUM(BF$1:BF3)))</f>
        <v>2</v>
      </c>
      <c r="BH3" s="15" t="str">
        <f t="shared" si="8"/>
        <v>!import-table-item --Spellcaster-I --Fate Dealer's Deck, +3 --1</v>
      </c>
    </row>
    <row r="4" spans="1:60" x14ac:dyDescent="0.25">
      <c r="A4" s="24" t="s">
        <v>1643</v>
      </c>
      <c r="C4" s="6">
        <v>20</v>
      </c>
      <c r="D4" s="9" t="str">
        <f>IF(C4=0,"-",IF(C4=1,SUM(C$1:C3)+1,SUM(C$1:C3)+1 &amp; "-" &amp; SUM(C$1:C4)))</f>
        <v>31-50</v>
      </c>
      <c r="E4" s="15" t="str">
        <f t="shared" si="0"/>
        <v>!import-table-item --Magic-Item-Table-I --[[ 1t[Arms-I] ]] --20</v>
      </c>
      <c r="F4" s="6" t="s">
        <v>1621</v>
      </c>
      <c r="G4" s="6" t="s">
        <v>1403</v>
      </c>
      <c r="H4" s="6">
        <v>2</v>
      </c>
      <c r="I4" s="9" t="str">
        <f>IF(H4=0,"-",IF(H4=1,SUM(H$1:H3)+1,SUM(H$1:H3)+1 &amp; "-" &amp; SUM(H$1:H4)))</f>
        <v>5-6</v>
      </c>
      <c r="J4" s="15" t="str">
        <f t="shared" si="1"/>
        <v>!import-table-item --Apparel-I --Platinum Scarf --2</v>
      </c>
      <c r="K4" s="6" t="s">
        <v>1916</v>
      </c>
      <c r="L4" s="6" t="s">
        <v>1875</v>
      </c>
      <c r="M4" s="6">
        <v>1</v>
      </c>
      <c r="N4" s="9">
        <f>IF(M4=0,"-",IF(M4=1,SUM(M$1:M3)+1,SUM(M$1:M3)+1 &amp; "-" &amp; SUM(M$1:M4)))</f>
        <v>8</v>
      </c>
      <c r="O4" s="15" t="str">
        <f t="shared" si="2"/>
        <v>!import-table-item --Armor-I --Euryale's Aegis --1</v>
      </c>
      <c r="P4" s="6" t="s">
        <v>1617</v>
      </c>
      <c r="Q4" s="6" t="s">
        <v>1401</v>
      </c>
      <c r="R4" s="6">
        <v>2</v>
      </c>
      <c r="S4" s="9" t="str">
        <f>IF(R4=0,"-",IF(R4=1,SUM(R$1:R3)+1,SUM(R$1:R3)+1 &amp; "-" &amp; SUM(R$1:R4)))</f>
        <v>5-6</v>
      </c>
      <c r="T4" s="15" t="str">
        <f t="shared" si="3"/>
        <v>!import-table-item --Arms-I --Longbow of the Healing Hearth --2</v>
      </c>
      <c r="U4" s="6" t="s">
        <v>1660</v>
      </c>
      <c r="V4" s="6" t="s">
        <v>1397</v>
      </c>
      <c r="W4" s="6">
        <v>2</v>
      </c>
      <c r="X4" s="9" t="str">
        <f>IF(W4=0,"-",IF(W4=1,SUM(W$1:W3)+1,SUM(W$1:W3)+1 &amp; "-" &amp; SUM(W$1:W4)))</f>
        <v>7-8</v>
      </c>
      <c r="Y4" s="15" t="str">
        <f t="shared" si="4"/>
        <v>!import-table-item --Answering-I --Back Talker, CE, Jet --2</v>
      </c>
      <c r="Z4" s="6" t="s">
        <v>1653</v>
      </c>
      <c r="AA4" s="6" t="s">
        <v>1397</v>
      </c>
      <c r="AB4" s="6">
        <v>9</v>
      </c>
      <c r="AC4" s="9" t="str">
        <f>IF(AB4=0,"-",IF(AB4=1,SUM(AB$1:AB3)+1,SUM(AB$1:AB3)+1 &amp; "-" &amp; SUM(AB$1:AB4)))</f>
        <v>20-28</v>
      </c>
      <c r="AD4" s="15" t="str">
        <f t="shared" si="5"/>
        <v>!import-table-item --Sentient-I --Blackrazor --9</v>
      </c>
      <c r="AE4" s="6" t="s">
        <v>310</v>
      </c>
      <c r="AF4" s="6" t="s">
        <v>1397</v>
      </c>
      <c r="AG4" s="6">
        <v>2</v>
      </c>
      <c r="AH4" s="9" t="str">
        <f>IF(AG4=0,"-",IF(AG4=1,SUM(AG$1:AG3)+1,SUM(AG$1:AG3)+1 &amp; "-" &amp; SUM(AG$1:AG4)))</f>
        <v>9-10</v>
      </c>
      <c r="AI4" s="15" t="str">
        <f t="shared" si="6"/>
        <v>!import-table-item --Jewelry-I --Ring of Djinni Summoning --2</v>
      </c>
      <c r="AJ4" s="6" t="s">
        <v>1504</v>
      </c>
      <c r="AK4" s="6" t="s">
        <v>1513</v>
      </c>
      <c r="AL4" s="6">
        <v>2</v>
      </c>
      <c r="AM4" s="9" t="str">
        <f>IF(AL4=0,"-",IF(AL4=1,SUM(AL$1:AL3)+1,SUM(AL$1:AL3)+1 &amp; "-" &amp; SUM(AL$1:AL4)))</f>
        <v>5-6</v>
      </c>
      <c r="AN4" s="15" t="str">
        <f>"!import-table-item --" &amp; AJ$1 &amp; " --" &amp; AJ4 &amp; " --" &amp; AL4</f>
        <v>!import-table-item --Shard-I --Jacinth --2</v>
      </c>
      <c r="AO4" s="6" t="s">
        <v>407</v>
      </c>
      <c r="AP4" s="6" t="s">
        <v>1397</v>
      </c>
      <c r="AQ4" s="6">
        <v>1</v>
      </c>
      <c r="AR4" s="9">
        <f>IF(AQ4=0,"-",IF(AQ4=1,SUM(AQ$1:AQ3)+1,SUM(AQ$1:AQ3)+1 &amp; "-" &amp; SUM(AQ$1:AQ4)))</f>
        <v>3</v>
      </c>
      <c r="AS4" s="15" t="str">
        <f>"!import-table-item --" &amp; AO$1 &amp; " --" &amp; AO4 &amp; " --" &amp; AQ4</f>
        <v>!import-table-item --Elemental-I --Fire --1</v>
      </c>
      <c r="AT4" s="6" t="s">
        <v>336</v>
      </c>
      <c r="AU4" s="6" t="s">
        <v>1397</v>
      </c>
      <c r="AV4" s="6">
        <v>1</v>
      </c>
      <c r="AW4" s="9">
        <f>IF(AV4=0,"-",IF(AV4=1,SUM(AV$1:AV3)+1,SUM(AV$1:AV3)+1 &amp; "-" &amp; SUM(AV$1:AV4)))</f>
        <v>4</v>
      </c>
      <c r="AX4" s="15" t="str">
        <f t="shared" si="7"/>
        <v>!import-table-item --Misc-I --Cubic Gate --1</v>
      </c>
      <c r="AY4" s="6" t="s">
        <v>875</v>
      </c>
      <c r="AZ4" s="6" t="s">
        <v>1397</v>
      </c>
      <c r="BA4" s="6">
        <v>2</v>
      </c>
      <c r="BB4" s="9" t="str">
        <f>IF(BA4=0,"-",IF(BA4=1,SUM(BA$1:BA3)+1,SUM(BA$1:BA3)+1 &amp; "-" &amp; SUM(BA$1:BA4)))</f>
        <v>5-6</v>
      </c>
      <c r="BC4" s="15" t="str">
        <f>"!import-table-item --" &amp; AY$1 &amp; " --" &amp; AY4 &amp; " --" &amp; BA4</f>
        <v>!import-table-item --Crystal-Ball-I --True Seeing --2</v>
      </c>
      <c r="BD4" s="6" t="s">
        <v>341</v>
      </c>
      <c r="BE4" s="6" t="s">
        <v>1397</v>
      </c>
      <c r="BF4" s="6">
        <v>1</v>
      </c>
      <c r="BG4" s="9">
        <f>IF(BF4=0,"-",IF(BF4=1,SUM(BF$1:BF3)+1,SUM(BF$1:BF3)+1 &amp; "-" &amp; SUM(BF$1:BF4)))</f>
        <v>3</v>
      </c>
      <c r="BH4" s="15" t="str">
        <f t="shared" si="8"/>
        <v>!import-table-item --Spellcaster-I --Instrument of the Bards (Ollahm Harp) --1</v>
      </c>
    </row>
    <row r="5" spans="1:60" x14ac:dyDescent="0.25">
      <c r="A5" s="24" t="s">
        <v>1646</v>
      </c>
      <c r="C5" s="6">
        <v>20</v>
      </c>
      <c r="D5" s="9" t="str">
        <f>IF(C5=0,"-",IF(C5=1,SUM(C$1:C4)+1,SUM(C$1:C4)+1 &amp; "-" &amp; SUM(C$1:C5)))</f>
        <v>51-70</v>
      </c>
      <c r="E5" s="15" t="str">
        <f t="shared" si="0"/>
        <v>!import-table-item --Magic-Item-Table-I --[[ 1t[Jewelry-I] ]] --20</v>
      </c>
      <c r="F5" s="24" t="s">
        <v>1673</v>
      </c>
      <c r="G5" s="6" t="s">
        <v>1403</v>
      </c>
      <c r="H5" s="6">
        <v>1</v>
      </c>
      <c r="I5" s="9">
        <f>IF(H5=0,"-",IF(H5=1,SUM(H$1:H4)+1,SUM(H$1:H4)+1 &amp; "-" &amp; SUM(H$1:H5)))</f>
        <v>7</v>
      </c>
      <c r="J5" s="15" t="str">
        <f t="shared" si="1"/>
        <v>!import-table-item --Apparel-I --Ascendant Scaled Ornament of [[ 1t[Dragon-Breath] ]] --1</v>
      </c>
      <c r="K5" s="6" t="s">
        <v>345</v>
      </c>
      <c r="L5" s="6" t="s">
        <v>1397</v>
      </c>
      <c r="M5" s="6">
        <v>1</v>
      </c>
      <c r="N5" s="9">
        <f>IF(M5=0,"-",IF(M5=1,SUM(M$1:M4)+1,SUM(M$1:M4)+1 &amp; "-" &amp; SUM(M$1:M5)))</f>
        <v>9</v>
      </c>
      <c r="O5" s="15" t="str">
        <f t="shared" si="2"/>
        <v>!import-table-item --Armor-I --Plate Armor of Etherealness --1</v>
      </c>
      <c r="P5" s="6" t="s">
        <v>1624</v>
      </c>
      <c r="Q5" s="6" t="s">
        <v>1401</v>
      </c>
      <c r="R5" s="6">
        <v>2</v>
      </c>
      <c r="S5" s="9" t="str">
        <f>IF(R5=0,"-",IF(R5=1,SUM(R$1:R4)+1,SUM(R$1:R4)+1 &amp; "-" &amp; SUM(R$1:R5)))</f>
        <v>7-8</v>
      </c>
      <c r="T5" s="15" t="str">
        <f t="shared" si="3"/>
        <v>!import-table-item --Arms-I --Reaper's Scream --2</v>
      </c>
      <c r="U5" s="6" t="s">
        <v>1661</v>
      </c>
      <c r="V5" s="6" t="s">
        <v>1397</v>
      </c>
      <c r="W5" s="6">
        <v>2</v>
      </c>
      <c r="X5" s="9" t="str">
        <f>IF(W5=0,"-",IF(W5=1,SUM(W$1:W4)+1,SUM(W$1:W4)+1 &amp; "-" &amp; SUM(W$1:W5)))</f>
        <v>9-10</v>
      </c>
      <c r="Y5" s="15" t="str">
        <f t="shared" si="4"/>
        <v>!import-table-item --Answering-I --Concluder, LN, Amethyst --2</v>
      </c>
      <c r="Z5" s="6" t="s">
        <v>1610</v>
      </c>
      <c r="AA5" s="6" t="s">
        <v>1463</v>
      </c>
      <c r="AB5" s="6">
        <v>9</v>
      </c>
      <c r="AC5" s="9" t="str">
        <f>IF(AB5=0,"-",IF(AB5=1,SUM(AB$1:AB4)+1,SUM(AB$1:AB4)+1 &amp; "-" &amp; SUM(AB$1:AB5)))</f>
        <v>29-37</v>
      </c>
      <c r="AD5" s="15" t="str">
        <f t="shared" si="5"/>
        <v>!import-table-item --Sentient-I --Dawnbringer --9</v>
      </c>
      <c r="AE5" s="6" t="s">
        <v>311</v>
      </c>
      <c r="AF5" s="6" t="s">
        <v>1397</v>
      </c>
      <c r="AG5" s="6">
        <v>2</v>
      </c>
      <c r="AH5" s="9" t="str">
        <f>IF(AG5=0,"-",IF(AG5=1,SUM(AG$1:AG4)+1,SUM(AG$1:AG4)+1 &amp; "-" &amp; SUM(AG$1:AG5)))</f>
        <v>11-12</v>
      </c>
      <c r="AI5" s="15" t="str">
        <f t="shared" si="6"/>
        <v>!import-table-item --Jewelry-I --Ring of Invisibility --2</v>
      </c>
      <c r="AJ5" s="6" t="s">
        <v>1755</v>
      </c>
      <c r="AK5" s="6" t="s">
        <v>1513</v>
      </c>
      <c r="AL5" s="6">
        <v>2</v>
      </c>
      <c r="AM5" s="9" t="str">
        <f>IF(AL5=0,"-",IF(AL5=1,SUM(AL$1:AL4)+1,SUM(AL$1:AL4)+1 &amp; "-" &amp; SUM(AL$1:AL5)))</f>
        <v>7-8</v>
      </c>
      <c r="AN5" s="15" t="str">
        <f>"!import-table-item --" &amp; AJ$1 &amp; " --" &amp; AJ5 &amp; " --" &amp; AL5</f>
        <v>!import-table-item --Shard-I --Rainbow Pearl --2</v>
      </c>
      <c r="AO5" s="6" t="s">
        <v>1719</v>
      </c>
      <c r="AP5" s="6" t="s">
        <v>1397</v>
      </c>
      <c r="AQ5" s="6">
        <v>1</v>
      </c>
      <c r="AR5" s="9">
        <f>IF(AQ5=0,"-",IF(AQ5=1,SUM(AQ$1:AQ4)+1,SUM(AQ$1:AQ4)+1 &amp; "-" &amp; SUM(AQ$1:AQ5)))</f>
        <v>4</v>
      </c>
      <c r="AS5" s="15" t="str">
        <f>"!import-table-item --" &amp; AO$1 &amp; " --" &amp; AO5 &amp; " --" &amp; AQ5</f>
        <v>!import-table-item --Elemental-I --Water --1</v>
      </c>
      <c r="AT5" s="6" t="s">
        <v>1915</v>
      </c>
      <c r="AU5" s="6" t="s">
        <v>1875</v>
      </c>
      <c r="AV5" s="6">
        <v>1</v>
      </c>
      <c r="AW5" s="9">
        <f>IF(AV5=0,"-",IF(AV5=1,SUM(AV$1:AV4)+1,SUM(AV$1:AV4)+1 &amp; "-" &amp; SUM(AV$1:AV5)))</f>
        <v>5</v>
      </c>
      <c r="AX5" s="15" t="str">
        <f t="shared" si="7"/>
        <v>!import-table-item --Misc-I --Deck of Many More Things --1</v>
      </c>
      <c r="BD5" s="6" t="s">
        <v>1917</v>
      </c>
      <c r="BE5" s="6" t="s">
        <v>1875</v>
      </c>
      <c r="BF5" s="6">
        <v>1</v>
      </c>
      <c r="BG5" s="9">
        <f>IF(BF5=0,"-",IF(BF5=1,SUM(BF$1:BF4)+1,SUM(BF$1:BF4)+1 &amp; "-" &amp; SUM(BF$1:BF5)))</f>
        <v>4</v>
      </c>
      <c r="BH5" s="15" t="str">
        <f t="shared" si="8"/>
        <v>!import-table-item --Spellcaster-I --Jester's Mask --1</v>
      </c>
    </row>
    <row r="6" spans="1:60" x14ac:dyDescent="0.25">
      <c r="A6" s="24" t="s">
        <v>1645</v>
      </c>
      <c r="C6" s="6">
        <v>20</v>
      </c>
      <c r="D6" s="9" t="str">
        <f>IF(C6=0,"-",IF(C6=1,SUM(C$1:C5)+1,SUM(C$1:C5)+1 &amp; "-" &amp; SUM(C$1:C6)))</f>
        <v>71-90</v>
      </c>
      <c r="E6" s="15" t="str">
        <f t="shared" si="0"/>
        <v>!import-table-item --Magic-Item-Table-I --[[ 1t[Misc-I] ]] --20</v>
      </c>
      <c r="F6" s="6" t="s">
        <v>1608</v>
      </c>
      <c r="G6" s="6" t="s">
        <v>1398</v>
      </c>
      <c r="H6" s="6">
        <v>1</v>
      </c>
      <c r="I6" s="9">
        <f>IF(H6=0,"-",IF(H6=1,SUM(H$1:H5)+1,SUM(H$1:H5)+1 &amp; "-" &amp; SUM(H$1:H6)))</f>
        <v>8</v>
      </c>
      <c r="J6" s="15" t="str">
        <f t="shared" si="1"/>
        <v>!import-table-item --Apparel-I --Belashyrra's Beholder Crown --1</v>
      </c>
      <c r="K6" s="6" t="s">
        <v>1647</v>
      </c>
      <c r="L6" s="6" t="s">
        <v>1397</v>
      </c>
      <c r="M6" s="6">
        <v>1</v>
      </c>
      <c r="N6" s="9">
        <f>IF(M6=0,"-",IF(M6=1,SUM(M$1:M5)+1,SUM(M$1:M5)+1 &amp; "-" &amp; SUM(M$1:M6)))</f>
        <v>10</v>
      </c>
      <c r="O6" s="15" t="str">
        <f t="shared" si="2"/>
        <v>!import-table-item --Armor-I --Plate Armor of Invulnerability --1</v>
      </c>
      <c r="P6" s="6" t="s">
        <v>313</v>
      </c>
      <c r="Q6" s="6" t="s">
        <v>1397</v>
      </c>
      <c r="R6" s="6">
        <v>2</v>
      </c>
      <c r="S6" s="9" t="str">
        <f>IF(R6=0,"-",IF(R6=1,SUM(R$1:R5)+1,SUM(R$1:R5)+1 &amp; "-" &amp; SUM(R$1:R6)))</f>
        <v>9-10</v>
      </c>
      <c r="T6" s="15" t="str">
        <f t="shared" si="3"/>
        <v>!import-table-item --Arms-I --Rod of Lordly Might --2</v>
      </c>
      <c r="U6" s="6" t="s">
        <v>1662</v>
      </c>
      <c r="V6" s="6" t="s">
        <v>1397</v>
      </c>
      <c r="W6" s="6">
        <v>2</v>
      </c>
      <c r="X6" s="9" t="str">
        <f>IF(W6=0,"-",IF(W6=1,SUM(W$1:W5)+1,SUM(W$1:W5)+1 &amp; "-" &amp; SUM(W$1:W6)))</f>
        <v>11-12</v>
      </c>
      <c r="Y6" s="15" t="str">
        <f t="shared" si="4"/>
        <v>!import-table-item --Answering-I --Last Quip, CN, Tourmaline --2</v>
      </c>
      <c r="Z6" s="6" t="s">
        <v>1614</v>
      </c>
      <c r="AA6" s="6" t="s">
        <v>1605</v>
      </c>
      <c r="AB6" s="6">
        <v>9</v>
      </c>
      <c r="AC6" s="9" t="str">
        <f>IF(AB6=0,"-",IF(AB6=1,SUM(AB$1:AB5)+1,SUM(AB$1:AB5)+1 &amp; "-" &amp; SUM(AB$1:AB6)))</f>
        <v>38-46</v>
      </c>
      <c r="AD6" s="15" t="str">
        <f t="shared" si="5"/>
        <v>!import-table-item --Sentient-I --Graz'tchar, the Decadent End --9</v>
      </c>
      <c r="AE6" s="6" t="s">
        <v>312</v>
      </c>
      <c r="AF6" s="6" t="s">
        <v>1397</v>
      </c>
      <c r="AG6" s="6">
        <v>2</v>
      </c>
      <c r="AH6" s="9" t="str">
        <f>IF(AG6=0,"-",IF(AG6=1,SUM(AG$1:AG5)+1,SUM(AG$1:AG5)+1 &amp; "-" &amp; SUM(AG$1:AG6)))</f>
        <v>13-14</v>
      </c>
      <c r="AI6" s="15" t="str">
        <f t="shared" si="6"/>
        <v>!import-table-item --Jewelry-I --Ring of Spell Turning --2</v>
      </c>
      <c r="AJ6" s="6" t="s">
        <v>1499</v>
      </c>
      <c r="AK6" s="6" t="s">
        <v>1513</v>
      </c>
      <c r="AL6" s="6">
        <v>2</v>
      </c>
      <c r="AM6" s="9" t="str">
        <f>IF(AL6=0,"-",IF(AL6=1,SUM(AL$1:AL5)+1,SUM(AL$1:AL5)+1 &amp; "-" &amp; SUM(AL$1:AL6)))</f>
        <v>9-10</v>
      </c>
      <c r="AN6" s="15" t="str">
        <f>"!import-table-item --" &amp; AJ$1 &amp; " --" &amp; AJ6 &amp; " --" &amp; AL6</f>
        <v>!import-table-item --Shard-I --Ruby --2</v>
      </c>
      <c r="AT6" s="6" t="s">
        <v>337</v>
      </c>
      <c r="AU6" s="6" t="s">
        <v>1397</v>
      </c>
      <c r="AV6" s="6">
        <v>1</v>
      </c>
      <c r="AW6" s="9">
        <f>IF(AV6=0,"-",IF(AV6=1,SUM(AV$1:AV5)+1,SUM(AV$1:AV5)+1 &amp; "-" &amp; SUM(AV$1:AV6)))</f>
        <v>6</v>
      </c>
      <c r="AX6" s="15" t="str">
        <f t="shared" si="7"/>
        <v>!import-table-item --Misc-I --Deck of Many Things --1</v>
      </c>
      <c r="BD6" s="6" t="s">
        <v>1620</v>
      </c>
      <c r="BE6" s="6" t="s">
        <v>1401</v>
      </c>
      <c r="BF6" s="6">
        <v>1</v>
      </c>
      <c r="BG6" s="9">
        <f>IF(BF6=0,"-",IF(BF6=1,SUM(BF$1:BF5)+1,SUM(BF$1:BF5)+1 &amp; "-" &amp; SUM(BF$1:BF6)))</f>
        <v>5</v>
      </c>
      <c r="BH6" s="15" t="str">
        <f t="shared" si="8"/>
        <v>!import-table-item --Spellcaster-I --Orb of Skoraeus --1</v>
      </c>
    </row>
    <row r="7" spans="1:60" x14ac:dyDescent="0.25">
      <c r="A7" s="24" t="s">
        <v>1714</v>
      </c>
      <c r="C7" s="6">
        <v>10</v>
      </c>
      <c r="D7" s="9" t="str">
        <f>IF(C7=0,"-",IF(C7=1,SUM(C$1:C6)+1,SUM(C$1:C6)+1 &amp; "-" &amp; SUM(C$1:C7)))</f>
        <v>91-100</v>
      </c>
      <c r="E7" s="15" t="str">
        <f t="shared" si="0"/>
        <v>!import-table-item --Magic-Item-Table-I --[[ 1t[Spellcaster-I] ]] --10</v>
      </c>
      <c r="F7" s="6" t="s">
        <v>335</v>
      </c>
      <c r="G7" s="6" t="s">
        <v>1397</v>
      </c>
      <c r="H7" s="6">
        <v>1</v>
      </c>
      <c r="I7" s="9">
        <f>IF(H7=0,"-",IF(H7=1,SUM(H$1:H6)+1,SUM(H$1:H6)+1 &amp; "-" &amp; SUM(H$1:H7)))</f>
        <v>9</v>
      </c>
      <c r="J7" s="15" t="str">
        <f t="shared" si="1"/>
        <v>!import-table-item --Apparel-I --Belt of Storm Giant Strength --1</v>
      </c>
      <c r="K7" s="6" t="s">
        <v>1629</v>
      </c>
      <c r="L7" s="6" t="s">
        <v>1401</v>
      </c>
      <c r="M7" s="6">
        <v>1</v>
      </c>
      <c r="N7" s="9">
        <f>IF(M7=0,"-",IF(M7=1,SUM(M$1:M6)+1,SUM(M$1:M6)+1 &amp; "-" &amp; SUM(M$1:M7)))</f>
        <v>11</v>
      </c>
      <c r="O7" s="15" t="str">
        <f t="shared" si="2"/>
        <v>!import-table-item --Armor-I --Shield of the Blazing Dreadnought --1</v>
      </c>
      <c r="P7" s="24" t="s">
        <v>1667</v>
      </c>
      <c r="Q7" s="6" t="s">
        <v>1397</v>
      </c>
      <c r="R7" s="6">
        <v>2</v>
      </c>
      <c r="S7" s="9" t="str">
        <f>IF(R7=0,"-",IF(R7=1,SUM(R$1:R6)+1,SUM(R$1:R6)+1 &amp; "-" &amp; SUM(R$1:R7)))</f>
        <v>11-12</v>
      </c>
      <c r="T7" s="15" t="str">
        <f t="shared" si="3"/>
        <v>!import-table-item --Arms-I --Sword of Answering ([[ 1t[Answering-I] ]]) --2</v>
      </c>
      <c r="U7" s="6" t="s">
        <v>1663</v>
      </c>
      <c r="V7" s="6" t="s">
        <v>1397</v>
      </c>
      <c r="W7" s="6">
        <v>2</v>
      </c>
      <c r="X7" s="9" t="str">
        <f>IF(W7=0,"-",IF(W7=1,SUM(W$1:W6)+1,SUM(W$1:W6)+1 &amp; "-" &amp; SUM(W$1:W7)))</f>
        <v>13-14</v>
      </c>
      <c r="Y7" s="15" t="str">
        <f t="shared" si="4"/>
        <v>!import-table-item --Answering-I --Rebutter, NG, Topaz --2</v>
      </c>
      <c r="Z7" s="6" t="s">
        <v>1616</v>
      </c>
      <c r="AA7" s="6" t="s">
        <v>1482</v>
      </c>
      <c r="AB7" s="6">
        <v>9</v>
      </c>
      <c r="AC7" s="9" t="str">
        <f>IF(AB7=0,"-",IF(AB7=1,SUM(AB$1:AB6)+1,SUM(AB$1:AB6)+1 &amp; "-" &amp; SUM(AB$1:AB7)))</f>
        <v>47-55</v>
      </c>
      <c r="AD7" s="15" t="str">
        <f t="shared" si="5"/>
        <v>!import-table-item --Sentient-I --Hazirawn --9</v>
      </c>
      <c r="AE7" s="6" t="s">
        <v>328</v>
      </c>
      <c r="AF7" s="6" t="s">
        <v>1397</v>
      </c>
      <c r="AG7" s="6">
        <v>2</v>
      </c>
      <c r="AH7" s="9" t="str">
        <f>IF(AG7=0,"-",IF(AG7=1,SUM(AG$1:AG6)+1,SUM(AG$1:AG6)+1 &amp; "-" &amp; SUM(AG$1:AG7)))</f>
        <v>15-16</v>
      </c>
      <c r="AI7" s="15" t="str">
        <f t="shared" si="6"/>
        <v>!import-table-item --Jewelry-I --Scarab of Protection --2</v>
      </c>
      <c r="AT7" s="6" t="s">
        <v>1613</v>
      </c>
      <c r="AU7" s="6" t="s">
        <v>1403</v>
      </c>
      <c r="AV7" s="6">
        <v>1</v>
      </c>
      <c r="AW7" s="9">
        <f>IF(AV7=0,"-",IF(AV7=1,SUM(AV$1:AV6)+1,SUM(AV$1:AV6)+1 &amp; "-" &amp; SUM(AV$1:AV7)))</f>
        <v>7</v>
      </c>
      <c r="AX7" s="15" t="str">
        <f t="shared" si="7"/>
        <v>!import-table-item --Misc-I --Gold Canary Figurine of Wondrous Power --1</v>
      </c>
      <c r="BD7" s="6" t="s">
        <v>1625</v>
      </c>
      <c r="BE7" s="6" t="s">
        <v>1403</v>
      </c>
      <c r="BF7" s="6">
        <v>1</v>
      </c>
      <c r="BG7" s="9">
        <f>IF(BF7=0,"-",IF(BF7=1,SUM(BF$1:BF6)+1,SUM(BF$1:BF6)+1 &amp; "-" &amp; SUM(BF$1:BF7)))</f>
        <v>6</v>
      </c>
      <c r="BH7" s="15" t="str">
        <f t="shared" si="8"/>
        <v>!import-table-item --Spellcaster-I --Ruby Weave Gem --1</v>
      </c>
    </row>
    <row r="8" spans="1:60" x14ac:dyDescent="0.25">
      <c r="F8" s="6" t="s">
        <v>320</v>
      </c>
      <c r="G8" s="6" t="s">
        <v>1397</v>
      </c>
      <c r="H8" s="6">
        <v>1</v>
      </c>
      <c r="I8" s="9">
        <f>IF(H8=0,"-",IF(H8=1,SUM(H$1:H7)+1,SUM(H$1:H7)+1 &amp; "-" &amp; SUM(H$1:H8)))</f>
        <v>10</v>
      </c>
      <c r="J8" s="15" t="str">
        <f t="shared" si="1"/>
        <v>!import-table-item --Apparel-I --Cloak of Invisibility --1</v>
      </c>
      <c r="K8" s="6" t="s">
        <v>1632</v>
      </c>
      <c r="L8" s="6" t="s">
        <v>1401</v>
      </c>
      <c r="M8" s="6">
        <v>1</v>
      </c>
      <c r="N8" s="9">
        <f>IF(M8=0,"-",IF(M8=1,SUM(M$1:M7)+1,SUM(M$1:M7)+1 &amp; "-" &amp; SUM(M$1:M8)))</f>
        <v>12</v>
      </c>
      <c r="O8" s="15" t="str">
        <f t="shared" si="2"/>
        <v>!import-table-item --Armor-I --Stonebreaker's Breastplate --1</v>
      </c>
      <c r="P8" s="24" t="s">
        <v>1919</v>
      </c>
      <c r="Q8" s="6" t="s">
        <v>1875</v>
      </c>
      <c r="R8" s="6">
        <v>1</v>
      </c>
      <c r="S8" s="9">
        <f>IF(R8=0,"-",IF(R8=1,SUM(R$1:R7)+1,SUM(R$1:R7)+1 &amp; "-" &amp; SUM(R$1:R8)))</f>
        <v>13</v>
      </c>
      <c r="T8" s="15" t="str">
        <f t="shared" si="3"/>
        <v>!import-table-item --Arms-I --[[ 1t[Swords] ]] of the Planes --1</v>
      </c>
      <c r="U8" s="6" t="s">
        <v>1664</v>
      </c>
      <c r="V8" s="6" t="s">
        <v>1397</v>
      </c>
      <c r="W8" s="6">
        <v>2</v>
      </c>
      <c r="X8" s="9" t="str">
        <f>IF(W8=0,"-",IF(W8=1,SUM(W$1:W7)+1,SUM(W$1:W7)+1 &amp; "-" &amp; SUM(W$1:W8)))</f>
        <v>15-16</v>
      </c>
      <c r="Y8" s="15" t="str">
        <f t="shared" si="4"/>
        <v>!import-table-item --Answering-I --Replier, N, Peridot --2</v>
      </c>
      <c r="Z8" s="6" t="s">
        <v>1670</v>
      </c>
      <c r="AA8" s="6" t="s">
        <v>1423</v>
      </c>
      <c r="AB8" s="6">
        <v>9</v>
      </c>
      <c r="AC8" s="9" t="str">
        <f>IF(AB8=0,"-",IF(AB8=1,SUM(AB$1:AB7)+1,SUM(AB$1:AB7)+1 &amp; "-" &amp; SUM(AB$1:AB8)))</f>
        <v>56-64</v>
      </c>
      <c r="AD8" s="15" t="str">
        <f t="shared" si="5"/>
        <v>!import-table-item --Sentient-I --Orc-Splitter --9</v>
      </c>
      <c r="AE8" s="6" t="s">
        <v>350</v>
      </c>
      <c r="AF8" s="6" t="s">
        <v>1397</v>
      </c>
      <c r="AG8" s="6">
        <v>1</v>
      </c>
      <c r="AH8" s="9">
        <f>IF(AG8=0,"-",IF(AG8=1,SUM(AG$1:AG7)+1,SUM(AG$1:AG7)+1 &amp; "-" &amp; SUM(AG$1:AG8)))</f>
        <v>17</v>
      </c>
      <c r="AI8" s="15" t="str">
        <f t="shared" si="6"/>
        <v>!import-table-item --Jewelry-I --Ring of Three Wishes --1</v>
      </c>
      <c r="AT8" s="6" t="s">
        <v>1615</v>
      </c>
      <c r="AU8" s="6" t="s">
        <v>1401</v>
      </c>
      <c r="AV8" s="6">
        <v>1</v>
      </c>
      <c r="AW8" s="9">
        <f>IF(AV8=0,"-",IF(AV8=1,SUM(AV$1:AV7)+1,SUM(AV$1:AV7)+1 &amp; "-" &amp; SUM(AV$1:AV8)))</f>
        <v>8</v>
      </c>
      <c r="AX8" s="15" t="str">
        <f t="shared" si="7"/>
        <v>!import-table-item --Misc-I --Harp of Gilded Plenty --1</v>
      </c>
      <c r="BD8" s="6" t="s">
        <v>314</v>
      </c>
      <c r="BE8" s="6" t="s">
        <v>1397</v>
      </c>
      <c r="BF8" s="6">
        <v>1</v>
      </c>
      <c r="BG8" s="9">
        <f>IF(BF8=0,"-",IF(BF8=1,SUM(BF$1:BF7)+1,SUM(BF$1:BF7)+1 &amp; "-" &amp; SUM(BF$1:BF8)))</f>
        <v>7</v>
      </c>
      <c r="BH8" s="15" t="str">
        <f t="shared" si="8"/>
        <v>!import-table-item --Spellcaster-I --Staff of the Magi --1</v>
      </c>
    </row>
    <row r="9" spans="1:60" x14ac:dyDescent="0.25">
      <c r="F9" s="6" t="s">
        <v>1612</v>
      </c>
      <c r="G9" s="6" t="s">
        <v>1466</v>
      </c>
      <c r="H9" s="6">
        <v>1</v>
      </c>
      <c r="I9" s="9">
        <f>IF(H9=0,"-",IF(H9=1,SUM(H$1:H8)+1,SUM(H$1:H8)+1 &amp; "-" &amp; SUM(H$1:H9)))</f>
        <v>11</v>
      </c>
      <c r="J9" s="15" t="str">
        <f t="shared" si="1"/>
        <v>!import-table-item --Apparel-I --Gloves of Soul Catching --1</v>
      </c>
      <c r="P9" s="6" t="s">
        <v>1611</v>
      </c>
      <c r="Q9" s="6" t="s">
        <v>1403</v>
      </c>
      <c r="R9" s="6">
        <v>1</v>
      </c>
      <c r="S9" s="9">
        <f>IF(R9=0,"-",IF(R9=1,SUM(R$1:R8)+1,SUM(R$1:R8)+1 &amp; "-" &amp; SUM(R$1:R9)))</f>
        <v>14</v>
      </c>
      <c r="T9" s="15" t="str">
        <f t="shared" si="3"/>
        <v>!import-table-item --Arms-I --Flail of Tiamat --1</v>
      </c>
      <c r="U9" s="6" t="s">
        <v>1666</v>
      </c>
      <c r="V9" s="6" t="s">
        <v>1397</v>
      </c>
      <c r="W9" s="6">
        <v>2</v>
      </c>
      <c r="X9" s="9" t="str">
        <f>IF(W9=0,"-",IF(W9=1,SUM(W$1:W8)+1,SUM(W$1:W8)+1 &amp; "-" &amp; SUM(W$1:W9)))</f>
        <v>17-18</v>
      </c>
      <c r="Y9" s="15" t="str">
        <f t="shared" si="4"/>
        <v>!import-table-item --Answering-I --Scather, LE, Garnet --2</v>
      </c>
      <c r="Z9" s="6" t="s">
        <v>1630</v>
      </c>
      <c r="AA9" s="6" t="s">
        <v>1414</v>
      </c>
      <c r="AB9" s="6">
        <v>9</v>
      </c>
      <c r="AC9" s="9" t="str">
        <f>IF(AB9=0,"-",IF(AB9=1,SUM(AB$1:AB8)+1,SUM(AB$1:AB8)+1 &amp; "-" &amp; SUM(AB$1:AB9)))</f>
        <v>65-73</v>
      </c>
      <c r="AD9" s="15" t="str">
        <f t="shared" si="5"/>
        <v>!import-table-item --Sentient-I --Snicker-Snack --9</v>
      </c>
      <c r="AE9" s="6" t="s">
        <v>353</v>
      </c>
      <c r="AF9" s="6" t="s">
        <v>1397</v>
      </c>
      <c r="AG9" s="6">
        <v>1</v>
      </c>
      <c r="AH9" s="9">
        <f>IF(AG9=0,"-",IF(AG9=1,SUM(AG$1:AG8)+1,SUM(AG$1:AG8)+1 &amp; "-" &amp; SUM(AG$1:AG9)))</f>
        <v>18</v>
      </c>
      <c r="AI9" s="15" t="str">
        <f t="shared" si="6"/>
        <v>!import-table-item --Jewelry-I --Talisman of Pure Good --1</v>
      </c>
      <c r="AT9" s="6" t="s">
        <v>323</v>
      </c>
      <c r="AU9" s="6" t="s">
        <v>1397</v>
      </c>
      <c r="AV9" s="6">
        <v>1</v>
      </c>
      <c r="AW9" s="9">
        <f>IF(AV9=0,"-",IF(AV9=1,SUM(AV$1:AV8)+1,SUM(AV$1:AV8)+1 &amp; "-" &amp; SUM(AV$1:AV9)))</f>
        <v>9</v>
      </c>
      <c r="AX9" s="15" t="str">
        <f t="shared" si="7"/>
        <v>!import-table-item --Misc-I --Iron Flask --1</v>
      </c>
      <c r="BD9" s="6" t="s">
        <v>356</v>
      </c>
      <c r="BE9" s="6" t="s">
        <v>1397</v>
      </c>
      <c r="BF9" s="6">
        <v>1</v>
      </c>
      <c r="BG9" s="9">
        <f>IF(BF9=0,"-",IF(BF9=1,SUM(BF$1:BF8)+1,SUM(BF$1:BF8)+1 &amp; "-" &amp; SUM(BF$1:BF9)))</f>
        <v>8</v>
      </c>
      <c r="BH9" s="15" t="str">
        <f t="shared" si="8"/>
        <v>!import-table-item --Spellcaster-I --Tome of the Stilled Tongue --1</v>
      </c>
    </row>
    <row r="10" spans="1:60" x14ac:dyDescent="0.25">
      <c r="F10" s="6" t="s">
        <v>326</v>
      </c>
      <c r="G10" s="6" t="s">
        <v>1397</v>
      </c>
      <c r="H10" s="6">
        <v>1</v>
      </c>
      <c r="I10" s="9">
        <f>IF(H10=0,"-",IF(H10=1,SUM(H$1:H9)+1,SUM(H$1:H9)+1 &amp; "-" &amp; SUM(H$1:H10)))</f>
        <v>12</v>
      </c>
      <c r="J10" s="15" t="str">
        <f t="shared" si="1"/>
        <v>!import-table-item --Apparel-I --Robe of the Archmagi --1</v>
      </c>
      <c r="P10" s="6" t="s">
        <v>306</v>
      </c>
      <c r="Q10" s="6" t="s">
        <v>1397</v>
      </c>
      <c r="R10" s="6">
        <v>1</v>
      </c>
      <c r="S10" s="9">
        <f>IF(R10=0,"-",IF(R10=1,SUM(R$1:R9)+1,SUM(R$1:R9)+1 &amp; "-" &amp; SUM(R$1:R10)))</f>
        <v>15</v>
      </c>
      <c r="T10" s="15" t="str">
        <f t="shared" si="3"/>
        <v>!import-table-item --Arms-I --Hammer of Thunderbolts --1</v>
      </c>
      <c r="U10" s="6" t="s">
        <v>1751</v>
      </c>
      <c r="V10" s="6" t="s">
        <v>1397</v>
      </c>
      <c r="W10" s="6">
        <v>2</v>
      </c>
      <c r="X10" s="9" t="str">
        <f>IF(W10=0,"-",IF(W10=1,SUM(W$1:W9)+1,SUM(W$1:W9)+1 &amp; "-" &amp; SUM(W$1:W10)))</f>
        <v>19-20</v>
      </c>
      <c r="Y10" s="15" t="str">
        <f t="shared" si="4"/>
        <v>!import-table-item --Answering-I --Squelcher, NE, Spinel --2</v>
      </c>
      <c r="Z10" s="6" t="s">
        <v>1668</v>
      </c>
      <c r="AA10" s="6" t="s">
        <v>1397</v>
      </c>
      <c r="AB10" s="6">
        <v>9</v>
      </c>
      <c r="AC10" s="9" t="str">
        <f>IF(AB10=0,"-",IF(AB10=1,SUM(AB$1:AB9)+1,SUM(AB$1:AB9)+1 &amp; "-" &amp; SUM(AB$1:AB10)))</f>
        <v>74-82</v>
      </c>
      <c r="AD10" s="15" t="str">
        <f t="shared" si="5"/>
        <v>!import-table-item --Sentient-I --Wave --9</v>
      </c>
      <c r="AE10" s="6" t="s">
        <v>354</v>
      </c>
      <c r="AF10" s="6" t="s">
        <v>1397</v>
      </c>
      <c r="AG10" s="6">
        <v>1</v>
      </c>
      <c r="AH10" s="9">
        <f>IF(AG10=0,"-",IF(AG10=1,SUM(AG$1:AG9)+1,SUM(AG$1:AG9)+1 &amp; "-" &amp; SUM(AG$1:AG10)))</f>
        <v>19</v>
      </c>
      <c r="AI10" s="15" t="str">
        <f t="shared" si="6"/>
        <v>!import-table-item --Jewelry-I --Talisman of the Sphere --1</v>
      </c>
      <c r="AT10" s="6" t="s">
        <v>1722</v>
      </c>
      <c r="AU10" s="6" t="s">
        <v>1397</v>
      </c>
      <c r="AV10" s="6">
        <v>1</v>
      </c>
      <c r="AW10" s="9">
        <f>IF(AV10=0,"-",IF(AV10=1,SUM(AV$1:AV9)+1,SUM(AV$1:AV9)+1 &amp; "-" &amp; SUM(AV$1:AV10)))</f>
        <v>10</v>
      </c>
      <c r="AX10" s="15" t="str">
        <f t="shared" si="7"/>
        <v>!import-table-item --Misc-I --Iron Horn of Valhalla --1</v>
      </c>
    </row>
    <row r="11" spans="1:60" x14ac:dyDescent="0.25">
      <c r="P11" s="24" t="s">
        <v>1087</v>
      </c>
      <c r="Q11" s="6" t="s">
        <v>1397</v>
      </c>
      <c r="R11" s="6">
        <v>1</v>
      </c>
      <c r="S11" s="9">
        <f>IF(R11=0,"-",IF(R11=1,SUM(R$1:R10)+1,SUM(R$1:R10)+1 &amp; "-" &amp; SUM(R$1:R11)))</f>
        <v>16</v>
      </c>
      <c r="T11" s="15" t="str">
        <f t="shared" si="3"/>
        <v>!import-table-item --Arms-I --Holy Avenger [[ 1t[Swords] ]] --1</v>
      </c>
      <c r="Z11" s="6" t="s">
        <v>1634</v>
      </c>
      <c r="AA11" s="6" t="s">
        <v>1479</v>
      </c>
      <c r="AB11" s="6">
        <v>9</v>
      </c>
      <c r="AC11" s="9" t="str">
        <f>IF(AB11=0,"-",IF(AB11=1,SUM(AB$1:AB10)+1,SUM(AB$1:AB10)+1 &amp; "-" &amp; SUM(AB$1:AB11)))</f>
        <v>83-91</v>
      </c>
      <c r="AD11" s="15" t="str">
        <f t="shared" si="5"/>
        <v>!import-table-item --Sentient-I --Waythe --9</v>
      </c>
      <c r="AE11" s="6" t="s">
        <v>355</v>
      </c>
      <c r="AF11" s="6" t="s">
        <v>1397</v>
      </c>
      <c r="AG11" s="6">
        <v>1</v>
      </c>
      <c r="AH11" s="9">
        <f>IF(AG11=0,"-",IF(AG11=1,SUM(AG$1:AG10)+1,SUM(AG$1:AG10)+1 &amp; "-" &amp; SUM(AG$1:AG11)))</f>
        <v>20</v>
      </c>
      <c r="AI11" s="15" t="str">
        <f t="shared" si="6"/>
        <v>!import-table-item --Jewelry-I --Talisman of Ultimate Evil --1</v>
      </c>
      <c r="AT11" s="6" t="s">
        <v>1618</v>
      </c>
      <c r="AU11" s="6" t="s">
        <v>1466</v>
      </c>
      <c r="AV11" s="6">
        <v>1</v>
      </c>
      <c r="AW11" s="9">
        <f>IF(AV11=0,"-",IF(AV11=1,SUM(AV$1:AV10)+1,SUM(AV$1:AV10)+1 &amp; "-" &amp; SUM(AV$1:AV11)))</f>
        <v>11</v>
      </c>
      <c r="AX11" s="15" t="str">
        <f t="shared" si="7"/>
        <v>!import-table-item --Misc-I --Nether Scroll of Azumar --1</v>
      </c>
    </row>
    <row r="12" spans="1:60" x14ac:dyDescent="0.25">
      <c r="P12" s="24" t="s">
        <v>1088</v>
      </c>
      <c r="Q12" s="6" t="s">
        <v>1397</v>
      </c>
      <c r="R12" s="6">
        <v>1</v>
      </c>
      <c r="S12" s="9">
        <f>IF(R12=0,"-",IF(R12=1,SUM(R$1:R11)+1,SUM(R$1:R11)+1 &amp; "-" &amp; SUM(R$1:R12)))</f>
        <v>17</v>
      </c>
      <c r="T12" s="15" t="str">
        <f t="shared" si="3"/>
        <v>!import-table-item --Arms-I --Luck Blade [[ 1t[Swords] ]] --1</v>
      </c>
      <c r="Z12" s="6" t="s">
        <v>1669</v>
      </c>
      <c r="AA12" s="6" t="s">
        <v>1397</v>
      </c>
      <c r="AB12" s="6">
        <v>9</v>
      </c>
      <c r="AC12" s="9" t="str">
        <f>IF(AB12=0,"-",IF(AB12=1,SUM(AB$1:AB11)+1,SUM(AB$1:AB11)+1 &amp; "-" &amp; SUM(AB$1:AB12)))</f>
        <v>92-100</v>
      </c>
      <c r="AD12" s="15" t="str">
        <f t="shared" si="5"/>
        <v>!import-table-item --Sentient-I --Whelm --9</v>
      </c>
      <c r="AT12" s="6" t="s">
        <v>1619</v>
      </c>
      <c r="AU12" s="6" t="s">
        <v>1409</v>
      </c>
      <c r="AV12" s="6">
        <v>1</v>
      </c>
      <c r="AW12" s="9">
        <f>IF(AV12=0,"-",IF(AV12=1,SUM(AV$1:AV11)+1,SUM(AV$1:AV11)+1 &amp; "-" &amp; SUM(AV$1:AV12)))</f>
        <v>12</v>
      </c>
      <c r="AX12" s="15" t="str">
        <f t="shared" si="7"/>
        <v>!import-table-item --Misc-I --Nightfall Pearl --1</v>
      </c>
    </row>
    <row r="13" spans="1:60" x14ac:dyDescent="0.25">
      <c r="P13" s="6" t="s">
        <v>1623</v>
      </c>
      <c r="Q13" s="6" t="s">
        <v>1424</v>
      </c>
      <c r="R13" s="6">
        <v>1</v>
      </c>
      <c r="S13" s="9">
        <f>IF(R13=0,"-",IF(R13=1,SUM(R$1:R12)+1,SUM(R$1:R12)+1 &amp; "-" &amp; SUM(R$1:R13)))</f>
        <v>18</v>
      </c>
      <c r="T13" s="15" t="str">
        <f t="shared" si="3"/>
        <v>!import-table-item --Arms-I --Rakdos Riteknife --1</v>
      </c>
      <c r="AT13" s="6" t="s">
        <v>1622</v>
      </c>
      <c r="AU13" s="6" t="s">
        <v>1401</v>
      </c>
      <c r="AV13" s="6">
        <v>1</v>
      </c>
      <c r="AW13" s="9">
        <f>IF(AV13=0,"-",IF(AV13=1,SUM(AV$1:AV12)+1,SUM(AV$1:AV12)+1 &amp; "-" &amp; SUM(AV$1:AV13)))</f>
        <v>13</v>
      </c>
      <c r="AX13" s="15" t="str">
        <f t="shared" si="7"/>
        <v>!import-table-item --Misc-I --Prehistoric Figurine of Wondrous Power, Jasper Tyrannosaurus Rex --1</v>
      </c>
    </row>
    <row r="14" spans="1:60" x14ac:dyDescent="0.25">
      <c r="P14" s="6" t="s">
        <v>1633</v>
      </c>
      <c r="Q14" s="6" t="s">
        <v>1403</v>
      </c>
      <c r="R14" s="6">
        <v>1</v>
      </c>
      <c r="S14" s="9">
        <f>IF(R14=0,"-",IF(R14=1,SUM(R$1:R13)+1,SUM(R$1:R13)+1 &amp; "-" &amp; SUM(R$1:R14)))</f>
        <v>19</v>
      </c>
      <c r="T14" s="15" t="str">
        <f t="shared" si="3"/>
        <v>!import-table-item --Arms-I --Topaz Annihilator --1</v>
      </c>
      <c r="AT14" s="6" t="s">
        <v>327</v>
      </c>
      <c r="AU14" s="6" t="s">
        <v>1397</v>
      </c>
      <c r="AV14" s="6">
        <v>1</v>
      </c>
      <c r="AW14" s="9">
        <f>IF(AV14=0,"-",IF(AV14=1,SUM(AV$1:AV13)+1,SUM(AV$1:AV13)+1 &amp; "-" &amp; SUM(AV$1:AV14)))</f>
        <v>14</v>
      </c>
      <c r="AX14" s="15" t="str">
        <f t="shared" si="7"/>
        <v>!import-table-item --Misc-I --Rod of Resurrection --1</v>
      </c>
    </row>
    <row r="15" spans="1:60" x14ac:dyDescent="0.25">
      <c r="P15" s="24" t="s">
        <v>1093</v>
      </c>
      <c r="Q15" s="6" t="s">
        <v>1397</v>
      </c>
      <c r="R15" s="6">
        <v>1</v>
      </c>
      <c r="S15" s="9">
        <f>IF(R15=0,"-",IF(R15=1,SUM(R$1:R14)+1,SUM(R$1:R14)+1 &amp; "-" &amp; SUM(R$1:R15)))</f>
        <v>20</v>
      </c>
      <c r="T15" s="15" t="str">
        <f t="shared" si="3"/>
        <v>!import-table-item --Arms-I --Vorpal [[ 1t[Swords] ]] --1</v>
      </c>
      <c r="AT15" s="6" t="s">
        <v>1626</v>
      </c>
      <c r="AU15" s="6" t="s">
        <v>1627</v>
      </c>
      <c r="AV15" s="6">
        <v>1</v>
      </c>
      <c r="AW15" s="9">
        <f>IF(AV15=0,"-",IF(AV15=1,SUM(AV$1:AV14)+1,SUM(AV$1:AV14)+1 &amp; "-" &amp; SUM(AV$1:AV15)))</f>
        <v>15</v>
      </c>
      <c r="AX15" s="15" t="str">
        <f t="shared" si="7"/>
        <v>!import-table-item --Misc-I --Scroll of Tarrasque Summoning --1</v>
      </c>
    </row>
    <row r="16" spans="1:60" x14ac:dyDescent="0.25">
      <c r="AT16" s="6" t="s">
        <v>1628</v>
      </c>
      <c r="AU16" s="6" t="s">
        <v>1627</v>
      </c>
      <c r="AV16" s="6">
        <v>1</v>
      </c>
      <c r="AW16" s="9">
        <f>IF(AV16=0,"-",IF(AV16=1,SUM(AV$1:AV15)+1,SUM(AV$1:AV15)+1 &amp; "-" &amp; SUM(AV$1:AV16)))</f>
        <v>16</v>
      </c>
      <c r="AX16" s="15" t="str">
        <f t="shared" si="7"/>
        <v>!import-table-item --Misc-I --Scroll of the Comet --1</v>
      </c>
    </row>
    <row r="17" spans="46:50" x14ac:dyDescent="0.25">
      <c r="AT17" s="6" t="s">
        <v>352</v>
      </c>
      <c r="AU17" s="6" t="s">
        <v>1397</v>
      </c>
      <c r="AV17" s="6">
        <v>1</v>
      </c>
      <c r="AW17" s="9">
        <f>IF(AV17=0,"-",IF(AV17=1,SUM(AV$1:AV16)+1,SUM(AV$1:AV16)+1 &amp; "-" &amp; SUM(AV$1:AV17)))</f>
        <v>17</v>
      </c>
      <c r="AX17" s="15" t="str">
        <f t="shared" si="7"/>
        <v>!import-table-item --Misc-I --Sphere of Annihilation --1</v>
      </c>
    </row>
    <row r="18" spans="46:50" x14ac:dyDescent="0.25">
      <c r="AT18" s="6" t="s">
        <v>1918</v>
      </c>
      <c r="AU18" s="6" t="s">
        <v>1875</v>
      </c>
      <c r="AV18" s="6">
        <v>1</v>
      </c>
      <c r="AW18" s="9">
        <f>IF(AV18=0,"-",IF(AV18=1,SUM(AV$1:AV17)+1,SUM(AV$1:AV17)+1 &amp; "-" &amp; SUM(AV$1:AV18)))</f>
        <v>18</v>
      </c>
      <c r="AX18" s="15" t="str">
        <f t="shared" si="7"/>
        <v>!import-table-item --Misc-I --Spindle of Fate --1</v>
      </c>
    </row>
    <row r="19" spans="46:50" x14ac:dyDescent="0.25">
      <c r="AT19" s="6" t="s">
        <v>1920</v>
      </c>
      <c r="AU19" s="6" t="s">
        <v>1875</v>
      </c>
      <c r="AV19" s="6">
        <v>1</v>
      </c>
      <c r="AW19" s="9">
        <f>IF(AV19=0,"-",IF(AV19=1,SUM(AV$1:AV18)+1,SUM(AV$1:AV18)+1 &amp; "-" &amp; SUM(AV$1:AV19)))</f>
        <v>19</v>
      </c>
      <c r="AX19" s="15" t="str">
        <f t="shared" si="7"/>
        <v>!import-table-item --Misc-I --Telescopic Transporter --1</v>
      </c>
    </row>
    <row r="20" spans="46:50" x14ac:dyDescent="0.25">
      <c r="AT20" s="6" t="s">
        <v>331</v>
      </c>
      <c r="AU20" s="6" t="s">
        <v>1397</v>
      </c>
      <c r="AV20" s="6">
        <v>1</v>
      </c>
      <c r="AW20" s="9">
        <f>IF(AV20=0,"-",IF(AV20=1,SUM(AV$1:AV19)+1,SUM(AV$1:AV19)+1 &amp; "-" &amp; SUM(AV$1:AV20)))</f>
        <v>20</v>
      </c>
      <c r="AX20" s="15" t="str">
        <f t="shared" si="7"/>
        <v>!import-table-item --Misc-I --Well of Many Worlds --1</v>
      </c>
    </row>
    <row r="21" spans="46:50" x14ac:dyDescent="0.25">
      <c r="AT21" s="6" t="s">
        <v>333</v>
      </c>
      <c r="AU21" s="6" t="s">
        <v>1397</v>
      </c>
      <c r="AV21" s="6">
        <v>0</v>
      </c>
      <c r="AW21" s="9" t="str">
        <f>IF(AV21=0,"-",IF(AV21=1,SUM(AV$1:AV20)+1,SUM(AV$1:AV20)+1 &amp; "-" &amp; SUM(AV$1:AV21)))</f>
        <v>-</v>
      </c>
      <c r="AX21" s="15" t="str">
        <f t="shared" si="7"/>
        <v>!import-table-item --Misc-I --Apparatus of Kwalish --0</v>
      </c>
    </row>
  </sheetData>
  <sortState xmlns:xlrd2="http://schemas.microsoft.com/office/spreadsheetml/2017/richdata2" ref="K2:O22">
    <sortCondition descending="1" ref="M2:M22"/>
  </sortState>
  <hyperlinks>
    <hyperlink ref="A2" location="'Table I Major Legendary'!F:J" display="[[ 1t[Apparel-I] ]]" xr:uid="{0346024A-FB26-4A8F-BB8B-4999C293D0A8}"/>
    <hyperlink ref="A3" location="'Table I Major Legendary'!K:O" display="[[ 1t[Armor-I] ]]" xr:uid="{FD7DB5A9-AF64-4E3E-AAF3-16B849C747FE}"/>
    <hyperlink ref="A4" location="'Table I Major Legendary'!P:T" display="[[ 1t[Arms-I] ]]" xr:uid="{BE459078-ECFC-40B8-BE67-B8965F8E28F7}"/>
    <hyperlink ref="A5" location="'Table I Major Legendary'!AE:AI" display="[[ 1t[Jewelry-I] ]]" xr:uid="{17A32C93-9207-468C-8DEA-E17DC4A1A457}"/>
    <hyperlink ref="A6" location="'Table I Major Legendary'!AT:AX" display="[[ 1t[Misc-I] ]]" xr:uid="{7BDC56CB-4750-4F28-9945-D24A9A86AC23}"/>
    <hyperlink ref="A7" location="'Table I Major Legendary'!BD:BH" display="[[ 1t[Spellcaster-I] ]]" xr:uid="{03CCCC72-7449-4E78-BCE9-4A7EFEAB352F}"/>
    <hyperlink ref="P7" location="'Table I Major Legendary'!U:Y" display="Sword of Answering ([[ 1t[Answering-I] ]])" xr:uid="{DE1F8B57-5DFC-483B-BF78-C77A708C84C2}"/>
    <hyperlink ref="AE2" location="'Table I Major Legendary'!AJ:AN" display="Shard Solitaire ([[ 1t[Shard-I] ]])" xr:uid="{3CEEC559-8984-4853-B830-458AC773B6A4}"/>
    <hyperlink ref="AE3" location="'Table I Major Legendary'!AO:AS" display="Ring of [[ 1t[Elemental-I] ]] Elemental Command" xr:uid="{DAC3E3AC-CA47-40A9-A4DD-609D70478607}"/>
    <hyperlink ref="AT2" location="'Table I Major Legendary'!AY:BC" display="Crystal Ball of [[ 1t[Crystal-Ball-I] ]]" xr:uid="{A5CCBFDB-510B-43F9-BE88-712737373176}"/>
    <hyperlink ref="K2" location="'Supplemental Types'!B:F" display="[[ 1t[Armor] ]], +3" xr:uid="{BB6EC411-7B86-471B-B937-5F244CA0F935}"/>
    <hyperlink ref="P3" location="'Supplemental Types'!BE:BI" display="Defender [[ 1t[Swords] ]]" xr:uid="{EA8C1591-B561-4E81-8CB4-401239B3E448}"/>
    <hyperlink ref="P11" location="'Supplemental Types'!BE:BI" display="Holy Avenger [[ 1t[Swords] ]]" xr:uid="{507838AD-9E19-4150-B0C7-9646D275D575}"/>
    <hyperlink ref="P12" location="'Supplemental Types'!BE:BI" display="Luck Blade [[ 1t[Swords] ]]" xr:uid="{908F6439-5C6C-4EBF-9C43-CCA77F53C2AB}"/>
    <hyperlink ref="P15" location="'Supplemental Types'!BE:BI" display="Vorpal [[ 1t[Swords] ]]" xr:uid="{03FA6110-69E7-436B-827E-A0CA7E1AC735}"/>
    <hyperlink ref="F5" location="'Supplemental Types'!BY:CC" display="Ascendant Scaled Ornament of [[ 1t[Dragon-Breath] ]]" xr:uid="{12911B81-1C98-4F14-8B6B-2416A2A4A6D4}"/>
    <hyperlink ref="P8" location="'Supplemental Types'!BE:BI" display="[[ 1t[Swords] ]] of the Planes" xr:uid="{ECEF81B8-0058-470B-A129-123A7C71CFA9}"/>
    <hyperlink ref="P2" location="'Supplemental Types'!A:A" display="Ascendant [[ 1t[Dragon-Breath] ]] Dragon's Wrath [[ 1t[Weapons] ]]" xr:uid="{46DBA655-E6C5-43B1-85B3-F344D8F9FAEE}"/>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D7D9-574A-4FEB-A157-E8A6CC37CAAF}">
  <dimension ref="A1:AX87"/>
  <sheetViews>
    <sheetView workbookViewId="0">
      <selection activeCell="K86" sqref="K86"/>
    </sheetView>
  </sheetViews>
  <sheetFormatPr defaultColWidth="8.875" defaultRowHeight="18.75" x14ac:dyDescent="0.25"/>
  <cols>
    <col min="1" max="1" width="22.46484375" style="1" bestFit="1" customWidth="1"/>
    <col min="2" max="2" width="8.875" style="1" bestFit="1" customWidth="1"/>
    <col min="3" max="3" width="9.14453125" style="1" bestFit="1" customWidth="1"/>
    <col min="4" max="4" width="5.37890625" style="1" bestFit="1" customWidth="1"/>
    <col min="5" max="5" width="67.6640625" style="1" bestFit="1" customWidth="1"/>
    <col min="6" max="6" width="35.109375" style="1" bestFit="1" customWidth="1"/>
    <col min="7" max="7" width="8.875" style="1" bestFit="1" customWidth="1"/>
    <col min="8" max="8" width="9.14453125" style="1" bestFit="1" customWidth="1"/>
    <col min="9" max="9" width="5.37890625" style="1" bestFit="1" customWidth="1"/>
    <col min="10" max="10" width="80.30859375" style="1" bestFit="1" customWidth="1"/>
    <col min="11" max="11" width="31.87890625" style="1" bestFit="1" customWidth="1"/>
    <col min="12" max="12" width="8.875" style="1" bestFit="1" customWidth="1"/>
    <col min="13" max="13" width="9.14453125" style="1" bestFit="1" customWidth="1"/>
    <col min="14" max="14" width="5.37890625" style="1" bestFit="1" customWidth="1"/>
    <col min="15" max="15" width="76.9453125" style="1" bestFit="1" customWidth="1"/>
    <col min="16" max="16" width="29.0546875" style="1" bestFit="1" customWidth="1"/>
    <col min="17" max="17" width="8.875" style="1" bestFit="1" customWidth="1"/>
    <col min="18" max="18" width="9.14453125" style="1" bestFit="1" customWidth="1"/>
    <col min="19" max="19" width="5.37890625" style="1" bestFit="1" customWidth="1"/>
    <col min="20" max="20" width="74.12109375" style="1" bestFit="1" customWidth="1"/>
    <col min="21" max="21" width="38.47265625" style="1" bestFit="1" customWidth="1"/>
    <col min="22" max="22" width="8.875" style="1" bestFit="1" customWidth="1"/>
    <col min="23" max="23" width="9.14453125" style="1" bestFit="1" customWidth="1"/>
    <col min="24" max="24" width="5.37890625" style="1" bestFit="1" customWidth="1"/>
    <col min="25" max="25" width="83.40234375" style="1" bestFit="1" customWidth="1"/>
    <col min="26" max="26" width="28.25" style="1" bestFit="1" customWidth="1"/>
    <col min="27" max="27" width="8.875" style="1" bestFit="1" customWidth="1"/>
    <col min="28" max="28" width="9.14453125" style="1" bestFit="1" customWidth="1"/>
    <col min="29" max="29" width="5.37890625" style="1" bestFit="1" customWidth="1"/>
    <col min="30" max="30" width="73.44921875" style="1" bestFit="1" customWidth="1"/>
    <col min="31" max="31" width="33.08984375" style="1" bestFit="1" customWidth="1"/>
    <col min="32" max="32" width="8.875" style="1" bestFit="1" customWidth="1"/>
    <col min="33" max="33" width="9.14453125" style="1" bestFit="1" customWidth="1"/>
    <col min="34" max="34" width="5.37890625" style="1" bestFit="1" customWidth="1"/>
    <col min="35" max="35" width="78.29296875" style="1" bestFit="1" customWidth="1"/>
    <col min="36" max="36" width="43.98828125" style="1" bestFit="1" customWidth="1"/>
    <col min="37" max="37" width="8.875" style="1" bestFit="1" customWidth="1"/>
    <col min="38" max="38" width="9.14453125" style="1" bestFit="1" customWidth="1"/>
    <col min="39" max="39" width="5.37890625" style="1" bestFit="1" customWidth="1"/>
    <col min="40" max="40" width="89.1875" style="1" bestFit="1" customWidth="1"/>
    <col min="41" max="41" width="31.4765625" style="1" bestFit="1" customWidth="1"/>
    <col min="42" max="42" width="8.875" style="1" bestFit="1" customWidth="1"/>
    <col min="43" max="43" width="9.14453125" style="1" bestFit="1" customWidth="1"/>
    <col min="44" max="44" width="5.37890625" style="1" bestFit="1" customWidth="1"/>
    <col min="45" max="45" width="76.67578125" style="1" bestFit="1" customWidth="1"/>
    <col min="46" max="46" width="23.80859375" style="1" bestFit="1" customWidth="1"/>
    <col min="47" max="47" width="8.875" style="1" bestFit="1" customWidth="1"/>
    <col min="48" max="48" width="9.14453125" style="1" bestFit="1" customWidth="1"/>
    <col min="49" max="49" width="5.37890625" style="1" bestFit="1" customWidth="1"/>
    <col min="50" max="50" width="69.0078125" style="1" bestFit="1" customWidth="1"/>
    <col min="51" max="51" width="14.125" style="1" bestFit="1" customWidth="1"/>
    <col min="52" max="52" width="9.953125" style="1" bestFit="1" customWidth="1"/>
    <col min="53" max="16384" width="8.875" style="1"/>
  </cols>
  <sheetData>
    <row r="1" spans="1:50" s="2" customFormat="1" x14ac:dyDescent="0.25">
      <c r="A1" s="4" t="s">
        <v>399</v>
      </c>
      <c r="B1" s="4" t="s">
        <v>1396</v>
      </c>
      <c r="C1" s="4" t="s">
        <v>9</v>
      </c>
      <c r="D1" s="4" t="str">
        <f>"d" &amp; SUM(C:C)</f>
        <v>d45</v>
      </c>
      <c r="E1" s="13" t="str">
        <f>"!import-table --" &amp; A1 &amp; " --show"</f>
        <v>!import-table --Spells-Cantrip --show</v>
      </c>
      <c r="F1" s="4" t="s">
        <v>389</v>
      </c>
      <c r="G1" s="4" t="s">
        <v>1396</v>
      </c>
      <c r="H1" s="4" t="s">
        <v>9</v>
      </c>
      <c r="I1" s="4" t="str">
        <f>"d" &amp; SUM(H:H)</f>
        <v>d76</v>
      </c>
      <c r="J1" s="13" t="str">
        <f>"!import-table --" &amp; F1 &amp; " --show"</f>
        <v>!import-table --Spells-Level-1 --show</v>
      </c>
      <c r="K1" s="4" t="s">
        <v>381</v>
      </c>
      <c r="L1" s="4" t="s">
        <v>1396</v>
      </c>
      <c r="M1" s="4" t="s">
        <v>9</v>
      </c>
      <c r="N1" s="4" t="str">
        <f>"d" &amp; SUM(M:M)</f>
        <v>d84</v>
      </c>
      <c r="O1" s="13" t="str">
        <f>"!import-table --" &amp; K1 &amp; " --show"</f>
        <v>!import-table --Spells-Level-2 --show</v>
      </c>
      <c r="P1" s="4" t="s">
        <v>382</v>
      </c>
      <c r="Q1" s="4" t="s">
        <v>1396</v>
      </c>
      <c r="R1" s="4" t="s">
        <v>9</v>
      </c>
      <c r="S1" s="4" t="str">
        <f>"d" &amp; SUM(R:R)</f>
        <v>d70</v>
      </c>
      <c r="T1" s="13" t="str">
        <f>"!import-table --" &amp; P1 &amp; " --show"</f>
        <v>!import-table --Spells-Level-3 --show</v>
      </c>
      <c r="U1" s="4" t="s">
        <v>383</v>
      </c>
      <c r="V1" s="4" t="s">
        <v>1396</v>
      </c>
      <c r="W1" s="4" t="s">
        <v>9</v>
      </c>
      <c r="X1" s="4" t="str">
        <f>"d" &amp; SUM(W:W)</f>
        <v>d51</v>
      </c>
      <c r="Y1" s="13" t="str">
        <f>"!import-table --" &amp; U1 &amp; " --show"</f>
        <v>!import-table --Spells-Level-4 --show</v>
      </c>
      <c r="Z1" s="4" t="s">
        <v>384</v>
      </c>
      <c r="AA1" s="4" t="s">
        <v>1396</v>
      </c>
      <c r="AB1" s="4" t="s">
        <v>9</v>
      </c>
      <c r="AC1" s="4" t="str">
        <f>"d" &amp; SUM(AB:AB)</f>
        <v>d62</v>
      </c>
      <c r="AD1" s="13" t="str">
        <f>"!import-table --" &amp; Z1 &amp; " --show"</f>
        <v>!import-table --Spells-Level-5 --show</v>
      </c>
      <c r="AE1" s="4" t="s">
        <v>385</v>
      </c>
      <c r="AF1" s="4" t="s">
        <v>1396</v>
      </c>
      <c r="AG1" s="4" t="s">
        <v>9</v>
      </c>
      <c r="AH1" s="4" t="str">
        <f>"d" &amp; SUM(AG:AG)</f>
        <v>d48</v>
      </c>
      <c r="AI1" s="13" t="str">
        <f>"!import-table --" &amp; AE1 &amp; " --show"</f>
        <v>!import-table --Spells-Level-6 --show</v>
      </c>
      <c r="AJ1" s="4" t="s">
        <v>386</v>
      </c>
      <c r="AK1" s="4" t="s">
        <v>1396</v>
      </c>
      <c r="AL1" s="4" t="s">
        <v>9</v>
      </c>
      <c r="AM1" s="4" t="str">
        <f>"d" &amp; SUM(AL:AL)</f>
        <v>d28</v>
      </c>
      <c r="AN1" s="13" t="str">
        <f>"!import-table --" &amp; AJ1 &amp; " --show"</f>
        <v>!import-table --Spells-Level-7 --show</v>
      </c>
      <c r="AO1" s="4" t="s">
        <v>387</v>
      </c>
      <c r="AP1" s="4" t="s">
        <v>1396</v>
      </c>
      <c r="AQ1" s="4" t="s">
        <v>9</v>
      </c>
      <c r="AR1" s="4" t="str">
        <f>"d" &amp; SUM(AQ:AQ)</f>
        <v>d24</v>
      </c>
      <c r="AS1" s="13" t="str">
        <f>"!import-table --" &amp; AO1 &amp; " --show"</f>
        <v>!import-table --Spells-Level-8 --show</v>
      </c>
      <c r="AT1" s="4" t="s">
        <v>388</v>
      </c>
      <c r="AU1" s="4" t="s">
        <v>1396</v>
      </c>
      <c r="AV1" s="4" t="s">
        <v>9</v>
      </c>
      <c r="AW1" s="4" t="str">
        <f>"d" &amp; SUM(AV:AV)</f>
        <v>d22</v>
      </c>
      <c r="AX1" s="13" t="str">
        <f>"!import-table --" &amp; AT1 &amp; " --show"</f>
        <v>!import-table --Spells-Level-9 --show</v>
      </c>
    </row>
    <row r="2" spans="1:50" x14ac:dyDescent="0.25">
      <c r="A2" s="6" t="s">
        <v>524</v>
      </c>
      <c r="B2" s="6" t="s">
        <v>1503</v>
      </c>
      <c r="C2" s="6">
        <v>1</v>
      </c>
      <c r="D2" s="9">
        <f>IF(C2=0,"-",IF(C2=1,SUM(C$1:C1)+1,SUM(C$1:C1)+1 &amp; "-" &amp; SUM(C$1:C2)))</f>
        <v>1</v>
      </c>
      <c r="E2" s="6" t="str">
        <f t="shared" ref="E2:E46" si="0">"!import-table-item --" &amp; A$1 &amp; " --" &amp; A2 &amp; " --" &amp; C2</f>
        <v>!import-table-item --Spells-Cantrip --Acid Splash --1</v>
      </c>
      <c r="F2" s="6" t="s">
        <v>447</v>
      </c>
      <c r="G2" s="6" t="s">
        <v>1493</v>
      </c>
      <c r="H2" s="6">
        <v>1</v>
      </c>
      <c r="I2" s="9">
        <f>IF(H2=0,"-",IF(H2=1,SUM(H$1:H1)+1,SUM(H$1:H1)+1 &amp; "-" &amp; SUM(H$1:H2)))</f>
        <v>1</v>
      </c>
      <c r="J2" s="6" t="str">
        <f t="shared" ref="J2:J33" si="1">"!import-table-item --" &amp; F$1 &amp; " --" &amp; F2 &amp; " --" &amp; H2</f>
        <v>!import-table-item --Spells-Level-1 --Absorb Elements --1</v>
      </c>
      <c r="K2" s="6" t="s">
        <v>569</v>
      </c>
      <c r="L2" s="6" t="s">
        <v>1493</v>
      </c>
      <c r="M2" s="6">
        <v>1</v>
      </c>
      <c r="N2" s="9">
        <f>IF(M2=0,"-",IF(M2=1,SUM(M$1:M1)+1,SUM(M$1:M1)+1 &amp; "-" &amp; SUM(M$1:M2)))</f>
        <v>1</v>
      </c>
      <c r="O2" s="6" t="str">
        <f t="shared" ref="O2:O33" si="2">"!import-table-item --" &amp; K$1 &amp; " --" &amp; K2 &amp; " --" &amp; M2</f>
        <v>!import-table-item --Spells-Level-2 --Aganazzar's Scorcher --1</v>
      </c>
      <c r="P2" s="6" t="s">
        <v>651</v>
      </c>
      <c r="Q2" s="6" t="s">
        <v>1503</v>
      </c>
      <c r="R2" s="6">
        <v>1</v>
      </c>
      <c r="S2" s="9">
        <f>IF(R2=0,"-",IF(R2=1,SUM(R$1:R1)+1,SUM(R$1:R1)+1 &amp; "-" &amp; SUM(R$1:R2)))</f>
        <v>1</v>
      </c>
      <c r="T2" s="6" t="str">
        <f t="shared" ref="T2:T33" si="3">"!import-table-item --" &amp; P$1 &amp; " --" &amp; P2 &amp; " --" &amp; R2</f>
        <v>!import-table-item --Spells-Level-3 --Animate Dead --1</v>
      </c>
      <c r="U2" s="6" t="s">
        <v>721</v>
      </c>
      <c r="V2" s="6" t="s">
        <v>1503</v>
      </c>
      <c r="W2" s="6">
        <v>1</v>
      </c>
      <c r="X2" s="9">
        <f>IF(W2=0,"-",IF(W2=1,SUM(W$1:W1)+1,SUM(W$1:W1)+1 &amp; "-" &amp; SUM(W$1:W2)))</f>
        <v>1</v>
      </c>
      <c r="Y2" s="6" t="str">
        <f t="shared" ref="Y2:Y33" si="4">"!import-table-item --" &amp; U$1 &amp; " --" &amp; U2 &amp; " --" &amp; W2</f>
        <v>!import-table-item --Spells-Level-4 --Arcane Eye --1</v>
      </c>
      <c r="Z2" s="6" t="s">
        <v>770</v>
      </c>
      <c r="AA2" s="6" t="s">
        <v>1503</v>
      </c>
      <c r="AB2" s="6">
        <v>1</v>
      </c>
      <c r="AC2" s="9">
        <f>IF(AB2=0,"-",IF(AB2=1,SUM(AB$1:AB1)+1,SUM(AB$1:AB1)+1 &amp; "-" &amp; SUM(AB$1:AB2)))</f>
        <v>1</v>
      </c>
      <c r="AD2" s="6" t="str">
        <f t="shared" ref="AD2:AD33" si="5">"!import-table-item --" &amp; Z$1 &amp; " --" &amp; Z2 &amp; " --" &amp; AB2</f>
        <v>!import-table-item --Spells-Level-5 --Animate Objects --1</v>
      </c>
      <c r="AE2" s="6" t="s">
        <v>832</v>
      </c>
      <c r="AF2" s="6" t="s">
        <v>1503</v>
      </c>
      <c r="AG2" s="6">
        <v>1</v>
      </c>
      <c r="AH2" s="9">
        <f>IF(AG2=0,"-",IF(AG2=1,SUM(AG$1:AG1)+1,SUM(AG$1:AG1)+1 &amp; "-" &amp; SUM(AG$1:AG2)))</f>
        <v>1</v>
      </c>
      <c r="AI2" s="6" t="str">
        <f>"!import-table-item --" &amp; AE$1 &amp; " --" &amp; AE2 &amp; " --" &amp; AG2</f>
        <v>!import-table-item --Spells-Level-6 --Arcane Gate --1</v>
      </c>
      <c r="AJ2" s="6" t="s">
        <v>880</v>
      </c>
      <c r="AK2" s="6" t="s">
        <v>1503</v>
      </c>
      <c r="AL2" s="6">
        <v>1</v>
      </c>
      <c r="AM2" s="9">
        <f>IF(AL2=0,"-",IF(AL2=1,SUM(AL$1:AL1)+1,SUM(AL$1:AL1)+1 &amp; "-" &amp; SUM(AL$1:AL2)))</f>
        <v>1</v>
      </c>
      <c r="AN2" s="6" t="str">
        <f t="shared" ref="AN2:AN28" si="6">"!import-table-item --" &amp; AJ$1 &amp; " --" &amp; AJ2 &amp; " --" &amp; AL2</f>
        <v>!import-table-item --Spells-Level-7 --Conjure Celestial --1</v>
      </c>
      <c r="AO2" s="6" t="s">
        <v>908</v>
      </c>
      <c r="AP2" s="6" t="s">
        <v>1493</v>
      </c>
      <c r="AQ2" s="6">
        <v>1</v>
      </c>
      <c r="AR2" s="9">
        <f>IF(AQ2=0,"-",IF(AQ2=1,SUM(AQ$1:AQ1)+1,SUM(AQ$1:AQ1)+1 &amp; "-" &amp; SUM(AQ$1:AQ2)))</f>
        <v>1</v>
      </c>
      <c r="AS2" s="6" t="str">
        <f t="shared" ref="AS2:AS24" si="7">"!import-table-item --" &amp; AO$1 &amp; " --" &amp; AO2 &amp; " --" &amp; AQ2</f>
        <v>!import-table-item --Spells-Level-8 --Abi-Dalzim's Horrid Wilting --1</v>
      </c>
      <c r="AT2" s="6" t="s">
        <v>932</v>
      </c>
      <c r="AU2" s="6" t="s">
        <v>1503</v>
      </c>
      <c r="AV2" s="6">
        <v>1</v>
      </c>
      <c r="AW2" s="9">
        <f>IF(AV2=0,"-",IF(AV2=1,SUM(AV$1:AV1)+1,SUM(AV$1:AV1)+1 &amp; "-" &amp; SUM(AV$1:AV2)))</f>
        <v>1</v>
      </c>
      <c r="AX2" s="6" t="str">
        <f t="shared" ref="AX2:AX22" si="8">"!import-table-item --" &amp; AT$1 &amp; " --" &amp; AT2 &amp; " --" &amp; AV2</f>
        <v>!import-table-item --Spells-Level-9 --Astral Projection --1</v>
      </c>
    </row>
    <row r="3" spans="1:50" x14ac:dyDescent="0.25">
      <c r="A3" s="6" t="s">
        <v>525</v>
      </c>
      <c r="B3" s="6" t="s">
        <v>1503</v>
      </c>
      <c r="C3" s="6">
        <v>1</v>
      </c>
      <c r="D3" s="9">
        <f>IF(C3=0,"-",IF(C3=1,SUM(C$1:C2)+1,SUM(C$1:C2)+1 &amp; "-" &amp; SUM(C$1:C3)))</f>
        <v>2</v>
      </c>
      <c r="E3" s="6" t="str">
        <f t="shared" si="0"/>
        <v>!import-table-item --Spells-Cantrip --Blade Ward --1</v>
      </c>
      <c r="F3" s="6" t="s">
        <v>448</v>
      </c>
      <c r="G3" s="6" t="s">
        <v>1503</v>
      </c>
      <c r="H3" s="6">
        <v>1</v>
      </c>
      <c r="I3" s="9">
        <f>IF(H3=0,"-",IF(H3=1,SUM(H$1:H2)+1,SUM(H$1:H2)+1 &amp; "-" &amp; SUM(H$1:H3)))</f>
        <v>2</v>
      </c>
      <c r="J3" s="6" t="str">
        <f t="shared" si="1"/>
        <v>!import-table-item --Spells-Level-1 --Alarm --1</v>
      </c>
      <c r="K3" s="6" t="s">
        <v>570</v>
      </c>
      <c r="L3" s="6" t="s">
        <v>1503</v>
      </c>
      <c r="M3" s="6">
        <v>1</v>
      </c>
      <c r="N3" s="9">
        <f>IF(M3=0,"-",IF(M3=1,SUM(M$1:M2)+1,SUM(M$1:M2)+1 &amp; "-" &amp; SUM(M$1:M3)))</f>
        <v>2</v>
      </c>
      <c r="O3" s="6" t="str">
        <f t="shared" si="2"/>
        <v>!import-table-item --Spells-Level-2 --Aid --1</v>
      </c>
      <c r="P3" s="6" t="s">
        <v>1894</v>
      </c>
      <c r="Q3" s="6" t="s">
        <v>1875</v>
      </c>
      <c r="R3" s="6">
        <v>1</v>
      </c>
      <c r="S3" s="9">
        <f>IF(R3=0,"-",IF(R3=1,SUM(R$1:R2)+1,SUM(R$1:R2)+1 &amp; "-" &amp; SUM(R$1:R3)))</f>
        <v>2</v>
      </c>
      <c r="T3" s="6" t="str">
        <f t="shared" si="3"/>
        <v>!import-table-item --Spells-Level-3 --Antagonize --1</v>
      </c>
      <c r="U3" s="6" t="s">
        <v>722</v>
      </c>
      <c r="V3" s="6" t="s">
        <v>1503</v>
      </c>
      <c r="W3" s="6">
        <v>1</v>
      </c>
      <c r="X3" s="9">
        <f>IF(W3=0,"-",IF(W3=1,SUM(W$1:W2)+1,SUM(W$1:W2)+1 &amp; "-" &amp; SUM(W$1:W3)))</f>
        <v>2</v>
      </c>
      <c r="Y3" s="6" t="str">
        <f t="shared" si="4"/>
        <v>!import-table-item --Spells-Level-4 --Aura of Life --1</v>
      </c>
      <c r="Z3" s="6" t="s">
        <v>771</v>
      </c>
      <c r="AA3" s="6" t="s">
        <v>1503</v>
      </c>
      <c r="AB3" s="6">
        <v>1</v>
      </c>
      <c r="AC3" s="9">
        <f>IF(AB3=0,"-",IF(AB3=1,SUM(AB$1:AB2)+1,SUM(AB$1:AB2)+1 &amp; "-" &amp; SUM(AB$1:AB3)))</f>
        <v>2</v>
      </c>
      <c r="AD3" s="6" t="str">
        <f t="shared" si="5"/>
        <v>!import-table-item --Spells-Level-5 --Antilife Shell --1</v>
      </c>
      <c r="AE3" s="6" t="s">
        <v>833</v>
      </c>
      <c r="AF3" s="6" t="s">
        <v>1503</v>
      </c>
      <c r="AG3" s="6">
        <v>1</v>
      </c>
      <c r="AH3" s="9">
        <f>IF(AG3=0,"-",IF(AG3=1,SUM(AG$1:AG2)+1,SUM(AG$1:AG2)+1 &amp; "-" &amp; SUM(AG$1:AG3)))</f>
        <v>2</v>
      </c>
      <c r="AI3" s="6" t="str">
        <f t="shared" ref="AI3:AI49" si="9">"!import-table-item --" &amp; AE$1 &amp; " --" &amp; AE3 &amp; " --" &amp; AG3</f>
        <v>!import-table-item --Spells-Level-6 --Blade Barrier --1</v>
      </c>
      <c r="AJ3" s="6" t="s">
        <v>881</v>
      </c>
      <c r="AK3" s="6" t="s">
        <v>1483</v>
      </c>
      <c r="AL3" s="6">
        <v>1</v>
      </c>
      <c r="AM3" s="9">
        <f>IF(AL3=0,"-",IF(AL3=1,SUM(AL$1:AL2)+1,SUM(AL$1:AL2)+1 &amp; "-" &amp; SUM(AL$1:AL3)))</f>
        <v>2</v>
      </c>
      <c r="AN3" s="6" t="str">
        <f t="shared" si="6"/>
        <v>!import-table-item --Spells-Level-7 --Create Magen --1</v>
      </c>
      <c r="AO3" s="6" t="s">
        <v>909</v>
      </c>
      <c r="AP3" s="6" t="s">
        <v>1503</v>
      </c>
      <c r="AQ3" s="6">
        <v>1</v>
      </c>
      <c r="AR3" s="9">
        <f>IF(AQ3=0,"-",IF(AQ3=1,SUM(AQ$1:AQ2)+1,SUM(AQ$1:AQ2)+1 &amp; "-" &amp; SUM(AQ$1:AQ3)))</f>
        <v>2</v>
      </c>
      <c r="AS3" s="6" t="str">
        <f t="shared" si="7"/>
        <v>!import-table-item --Spells-Level-8 --Animal Shapes --1</v>
      </c>
      <c r="AT3" s="6" t="s">
        <v>933</v>
      </c>
      <c r="AU3" s="6" t="s">
        <v>1402</v>
      </c>
      <c r="AV3" s="6">
        <v>1</v>
      </c>
      <c r="AW3" s="9">
        <f>IF(AV3=0,"-",IF(AV3=1,SUM(AV$1:AV2)+1,SUM(AV$1:AV2)+1 &amp; "-" &amp; SUM(AV$1:AV3)))</f>
        <v>2</v>
      </c>
      <c r="AX3" s="6" t="str">
        <f t="shared" si="8"/>
        <v>!import-table-item --Spells-Level-9 --Blade of Disaster --1</v>
      </c>
    </row>
    <row r="4" spans="1:50" x14ac:dyDescent="0.25">
      <c r="A4" s="6" t="s">
        <v>526</v>
      </c>
      <c r="B4" s="6" t="s">
        <v>1402</v>
      </c>
      <c r="C4" s="6">
        <v>1</v>
      </c>
      <c r="D4" s="9">
        <f>IF(C4=0,"-",IF(C4=1,SUM(C$1:C3)+1,SUM(C$1:C3)+1 &amp; "-" &amp; SUM(C$1:C4)))</f>
        <v>3</v>
      </c>
      <c r="E4" s="6" t="str">
        <f t="shared" si="0"/>
        <v>!import-table-item --Spells-Cantrip --Booming Blade --1</v>
      </c>
      <c r="F4" s="6" t="s">
        <v>449</v>
      </c>
      <c r="G4" s="6" t="s">
        <v>1503</v>
      </c>
      <c r="H4" s="6">
        <v>1</v>
      </c>
      <c r="I4" s="9">
        <f>IF(H4=0,"-",IF(H4=1,SUM(H$1:H3)+1,SUM(H$1:H3)+1 &amp; "-" &amp; SUM(H$1:H4)))</f>
        <v>3</v>
      </c>
      <c r="J4" s="6" t="str">
        <f t="shared" si="1"/>
        <v>!import-table-item --Spells-Level-1 --Animal Friendship --1</v>
      </c>
      <c r="K4" s="6" t="s">
        <v>571</v>
      </c>
      <c r="L4" s="6" t="s">
        <v>1431</v>
      </c>
      <c r="M4" s="6">
        <v>1</v>
      </c>
      <c r="N4" s="9">
        <f>IF(M4=0,"-",IF(M4=1,SUM(M$1:M3)+1,SUM(M$1:M3)+1 &amp; "-" &amp; SUM(M$1:M4)))</f>
        <v>3</v>
      </c>
      <c r="O4" s="6" t="str">
        <f t="shared" si="2"/>
        <v>!import-table-item --Spells-Level-2 --Air Bubble --1</v>
      </c>
      <c r="P4" s="6" t="s">
        <v>652</v>
      </c>
      <c r="Q4" s="6" t="s">
        <v>1403</v>
      </c>
      <c r="R4" s="6">
        <v>1</v>
      </c>
      <c r="S4" s="9">
        <f>IF(R4=0,"-",IF(R4=1,SUM(R$1:R3)+1,SUM(R$1:R3)+1 &amp; "-" &amp; SUM(R$1:R4)))</f>
        <v>3</v>
      </c>
      <c r="T4" s="6" t="str">
        <f t="shared" si="3"/>
        <v>!import-table-item --Spells-Level-3 --Ashardalon's Stride --1</v>
      </c>
      <c r="U4" s="6" t="s">
        <v>723</v>
      </c>
      <c r="V4" s="6" t="s">
        <v>1503</v>
      </c>
      <c r="W4" s="6">
        <v>1</v>
      </c>
      <c r="X4" s="9">
        <f>IF(W4=0,"-",IF(W4=1,SUM(W$1:W3)+1,SUM(W$1:W3)+1 &amp; "-" &amp; SUM(W$1:W4)))</f>
        <v>3</v>
      </c>
      <c r="Y4" s="6" t="str">
        <f t="shared" si="4"/>
        <v>!import-table-item --Spells-Level-4 --Aura of Purity --1</v>
      </c>
      <c r="Z4" s="6" t="s">
        <v>772</v>
      </c>
      <c r="AA4" s="6" t="s">
        <v>1503</v>
      </c>
      <c r="AB4" s="6">
        <v>1</v>
      </c>
      <c r="AC4" s="9">
        <f>IF(AB4=0,"-",IF(AB4=1,SUM(AB$1:AB3)+1,SUM(AB$1:AB3)+1 &amp; "-" &amp; SUM(AB$1:AB4)))</f>
        <v>3</v>
      </c>
      <c r="AD4" s="6" t="str">
        <f t="shared" si="5"/>
        <v>!import-table-item --Spells-Level-5 --Awaken --1</v>
      </c>
      <c r="AE4" s="6" t="s">
        <v>834</v>
      </c>
      <c r="AF4" s="6" t="s">
        <v>1493</v>
      </c>
      <c r="AG4" s="6">
        <v>1</v>
      </c>
      <c r="AH4" s="9">
        <f>IF(AG4=0,"-",IF(AG4=1,SUM(AG$1:AG3)+1,SUM(AG$1:AG3)+1 &amp; "-" &amp; SUM(AG$1:AG4)))</f>
        <v>3</v>
      </c>
      <c r="AI4" s="6" t="str">
        <f t="shared" si="9"/>
        <v>!import-table-item --Spells-Level-6 --Bones of the Earth --1</v>
      </c>
      <c r="AJ4" s="6" t="s">
        <v>882</v>
      </c>
      <c r="AK4" s="6" t="s">
        <v>1493</v>
      </c>
      <c r="AL4" s="6">
        <v>1</v>
      </c>
      <c r="AM4" s="9">
        <f>IF(AL4=0,"-",IF(AL4=1,SUM(AL$1:AL3)+1,SUM(AL$1:AL3)+1 &amp; "-" &amp; SUM(AL$1:AL4)))</f>
        <v>3</v>
      </c>
      <c r="AN4" s="6" t="str">
        <f t="shared" si="6"/>
        <v>!import-table-item --Spells-Level-7 --Crown of Stars --1</v>
      </c>
      <c r="AO4" s="6" t="s">
        <v>910</v>
      </c>
      <c r="AP4" s="6" t="s">
        <v>1503</v>
      </c>
      <c r="AQ4" s="6">
        <v>1</v>
      </c>
      <c r="AR4" s="9">
        <f>IF(AQ4=0,"-",IF(AQ4=1,SUM(AQ$1:AQ3)+1,SUM(AQ$1:AQ3)+1 &amp; "-" &amp; SUM(AQ$1:AQ4)))</f>
        <v>3</v>
      </c>
      <c r="AS4" s="6" t="str">
        <f t="shared" si="7"/>
        <v>!import-table-item --Spells-Level-8 --Antimagic Field --1</v>
      </c>
      <c r="AT4" s="6" t="s">
        <v>934</v>
      </c>
      <c r="AU4" s="6" t="s">
        <v>1503</v>
      </c>
      <c r="AV4" s="6">
        <v>1</v>
      </c>
      <c r="AW4" s="9">
        <f>IF(AV4=0,"-",IF(AV4=1,SUM(AV$1:AV3)+1,SUM(AV$1:AV3)+1 &amp; "-" &amp; SUM(AV$1:AV4)))</f>
        <v>3</v>
      </c>
      <c r="AX4" s="6" t="str">
        <f t="shared" si="8"/>
        <v>!import-table-item --Spells-Level-9 --Foresight --1</v>
      </c>
    </row>
    <row r="5" spans="1:50" x14ac:dyDescent="0.25">
      <c r="A5" s="6" t="s">
        <v>527</v>
      </c>
      <c r="B5" s="6" t="s">
        <v>1503</v>
      </c>
      <c r="C5" s="6">
        <v>1</v>
      </c>
      <c r="D5" s="9">
        <f>IF(C5=0,"-",IF(C5=1,SUM(C$1:C4)+1,SUM(C$1:C4)+1 &amp; "-" &amp; SUM(C$1:C5)))</f>
        <v>4</v>
      </c>
      <c r="E5" s="6" t="str">
        <f t="shared" si="0"/>
        <v>!import-table-item --Spells-Cantrip --Chill Touch --1</v>
      </c>
      <c r="F5" s="6" t="s">
        <v>450</v>
      </c>
      <c r="G5" s="6" t="s">
        <v>1503</v>
      </c>
      <c r="H5" s="6">
        <v>1</v>
      </c>
      <c r="I5" s="9">
        <f>IF(H5=0,"-",IF(H5=1,SUM(H$1:H4)+1,SUM(H$1:H4)+1 &amp; "-" &amp; SUM(H$1:H5)))</f>
        <v>4</v>
      </c>
      <c r="J5" s="6" t="str">
        <f t="shared" si="1"/>
        <v>!import-table-item --Spells-Level-1 --Armor of Agathys --1</v>
      </c>
      <c r="K5" s="6" t="s">
        <v>572</v>
      </c>
      <c r="L5" s="6" t="s">
        <v>1503</v>
      </c>
      <c r="M5" s="6">
        <v>1</v>
      </c>
      <c r="N5" s="9">
        <f>IF(M5=0,"-",IF(M5=1,SUM(M$1:M4)+1,SUM(M$1:M4)+1 &amp; "-" &amp; SUM(M$1:M5)))</f>
        <v>4</v>
      </c>
      <c r="O5" s="6" t="str">
        <f t="shared" si="2"/>
        <v>!import-table-item --Spells-Level-2 --Alter Self --1</v>
      </c>
      <c r="P5" s="6" t="s">
        <v>653</v>
      </c>
      <c r="Q5" s="6" t="s">
        <v>1503</v>
      </c>
      <c r="R5" s="6">
        <v>1</v>
      </c>
      <c r="S5" s="9">
        <f>IF(R5=0,"-",IF(R5=1,SUM(R$1:R4)+1,SUM(R$1:R4)+1 &amp; "-" &amp; SUM(R$1:R5)))</f>
        <v>4</v>
      </c>
      <c r="T5" s="6" t="str">
        <f t="shared" si="3"/>
        <v>!import-table-item --Spells-Level-3 --Aura of Vitality --1</v>
      </c>
      <c r="U5" s="6" t="s">
        <v>724</v>
      </c>
      <c r="V5" s="6" t="s">
        <v>1503</v>
      </c>
      <c r="W5" s="6">
        <v>1</v>
      </c>
      <c r="X5" s="9">
        <f>IF(W5=0,"-",IF(W5=1,SUM(W$1:W4)+1,SUM(W$1:W4)+1 &amp; "-" &amp; SUM(W$1:W5)))</f>
        <v>4</v>
      </c>
      <c r="Y5" s="6" t="str">
        <f t="shared" si="4"/>
        <v>!import-table-item --Spells-Level-4 --Banishment --1</v>
      </c>
      <c r="Z5" s="6" t="s">
        <v>773</v>
      </c>
      <c r="AA5" s="6" t="s">
        <v>1503</v>
      </c>
      <c r="AB5" s="6">
        <v>1</v>
      </c>
      <c r="AC5" s="9">
        <f>IF(AB5=0,"-",IF(AB5=1,SUM(AB$1:AB4)+1,SUM(AB$1:AB4)+1 &amp; "-" &amp; SUM(AB$1:AB5)))</f>
        <v>4</v>
      </c>
      <c r="AD5" s="6" t="str">
        <f t="shared" si="5"/>
        <v>!import-table-item --Spells-Level-5 --Banishing Smite --1</v>
      </c>
      <c r="AE5" s="6" t="s">
        <v>835</v>
      </c>
      <c r="AF5" s="6" t="s">
        <v>1503</v>
      </c>
      <c r="AG5" s="6">
        <v>1</v>
      </c>
      <c r="AH5" s="9">
        <f>IF(AG5=0,"-",IF(AG5=1,SUM(AG$1:AG4)+1,SUM(AG$1:AG4)+1 &amp; "-" &amp; SUM(AG$1:AG5)))</f>
        <v>4</v>
      </c>
      <c r="AI5" s="6" t="str">
        <f t="shared" si="9"/>
        <v>!import-table-item --Spells-Level-6 --Chain Lightning --1</v>
      </c>
      <c r="AJ5" s="6" t="s">
        <v>883</v>
      </c>
      <c r="AK5" s="6" t="s">
        <v>1503</v>
      </c>
      <c r="AL5" s="6">
        <v>1</v>
      </c>
      <c r="AM5" s="9">
        <f>IF(AL5=0,"-",IF(AL5=1,SUM(AL$1:AL4)+1,SUM(AL$1:AL4)+1 &amp; "-" &amp; SUM(AL$1:AL5)))</f>
        <v>4</v>
      </c>
      <c r="AN5" s="6" t="str">
        <f t="shared" si="6"/>
        <v>!import-table-item --Spells-Level-7 --Delayed Blast Fireball --1</v>
      </c>
      <c r="AO5" s="6" t="s">
        <v>911</v>
      </c>
      <c r="AP5" s="6" t="s">
        <v>1503</v>
      </c>
      <c r="AQ5" s="6">
        <v>1</v>
      </c>
      <c r="AR5" s="9">
        <f>IF(AQ5=0,"-",IF(AQ5=1,SUM(AQ$1:AQ4)+1,SUM(AQ$1:AQ4)+1 &amp; "-" &amp; SUM(AQ$1:AQ5)))</f>
        <v>4</v>
      </c>
      <c r="AS5" s="6" t="str">
        <f t="shared" si="7"/>
        <v>!import-table-item --Spells-Level-8 --Antipathy/Sympathy --1</v>
      </c>
      <c r="AT5" s="6" t="s">
        <v>935</v>
      </c>
      <c r="AU5" s="6" t="s">
        <v>1503</v>
      </c>
      <c r="AV5" s="6">
        <v>1</v>
      </c>
      <c r="AW5" s="9">
        <f>IF(AV5=0,"-",IF(AV5=1,SUM(AV$1:AV4)+1,SUM(AV$1:AV4)+1 &amp; "-" &amp; SUM(AV$1:AV5)))</f>
        <v>4</v>
      </c>
      <c r="AX5" s="6" t="str">
        <f t="shared" si="8"/>
        <v>!import-table-item --Spells-Level-9 --Gate --1</v>
      </c>
    </row>
    <row r="6" spans="1:50" x14ac:dyDescent="0.25">
      <c r="A6" s="6" t="s">
        <v>528</v>
      </c>
      <c r="B6" s="6" t="s">
        <v>1493</v>
      </c>
      <c r="C6" s="6">
        <v>1</v>
      </c>
      <c r="D6" s="9">
        <f>IF(C6=0,"-",IF(C6=1,SUM(C$1:C5)+1,SUM(C$1:C5)+1 &amp; "-" &amp; SUM(C$1:C6)))</f>
        <v>5</v>
      </c>
      <c r="E6" s="6" t="str">
        <f t="shared" si="0"/>
        <v>!import-table-item --Spells-Cantrip --Control Flames --1</v>
      </c>
      <c r="F6" s="6" t="s">
        <v>451</v>
      </c>
      <c r="G6" s="6" t="s">
        <v>1503</v>
      </c>
      <c r="H6" s="6">
        <v>1</v>
      </c>
      <c r="I6" s="9">
        <f>IF(H6=0,"-",IF(H6=1,SUM(H$1:H5)+1,SUM(H$1:H5)+1 &amp; "-" &amp; SUM(H$1:H6)))</f>
        <v>5</v>
      </c>
      <c r="J6" s="6" t="str">
        <f t="shared" si="1"/>
        <v>!import-table-item --Spells-Level-1 --Arms of Hadar --1</v>
      </c>
      <c r="K6" s="6" t="s">
        <v>573</v>
      </c>
      <c r="L6" s="6" t="s">
        <v>1503</v>
      </c>
      <c r="M6" s="6">
        <v>1</v>
      </c>
      <c r="N6" s="9">
        <f>IF(M6=0,"-",IF(M6=1,SUM(M$1:M5)+1,SUM(M$1:M5)+1 &amp; "-" &amp; SUM(M$1:M6)))</f>
        <v>5</v>
      </c>
      <c r="O6" s="6" t="str">
        <f t="shared" si="2"/>
        <v>!import-table-item --Spells-Level-2 --Animal Messenger --1</v>
      </c>
      <c r="P6" s="6" t="s">
        <v>654</v>
      </c>
      <c r="Q6" s="6" t="s">
        <v>1503</v>
      </c>
      <c r="R6" s="6">
        <v>1</v>
      </c>
      <c r="S6" s="9">
        <f>IF(R6=0,"-",IF(R6=1,SUM(R$1:R5)+1,SUM(R$1:R5)+1 &amp; "-" &amp; SUM(R$1:R6)))</f>
        <v>5</v>
      </c>
      <c r="T6" s="6" t="str">
        <f t="shared" si="3"/>
        <v>!import-table-item --Spells-Level-3 --Beacon of Hope --1</v>
      </c>
      <c r="U6" s="6" t="s">
        <v>725</v>
      </c>
      <c r="V6" s="6" t="s">
        <v>1503</v>
      </c>
      <c r="W6" s="6">
        <v>1</v>
      </c>
      <c r="X6" s="9">
        <f>IF(W6=0,"-",IF(W6=1,SUM(W$1:W5)+1,SUM(W$1:W5)+1 &amp; "-" &amp; SUM(W$1:W6)))</f>
        <v>5</v>
      </c>
      <c r="Y6" s="6" t="str">
        <f t="shared" si="4"/>
        <v>!import-table-item --Spells-Level-4 --Blight --1</v>
      </c>
      <c r="Z6" s="6" t="s">
        <v>774</v>
      </c>
      <c r="AA6" s="6" t="s">
        <v>1503</v>
      </c>
      <c r="AB6" s="6">
        <v>1</v>
      </c>
      <c r="AC6" s="9">
        <f>IF(AB6=0,"-",IF(AB6=1,SUM(AB$1:AB5)+1,SUM(AB$1:AB5)+1 &amp; "-" &amp; SUM(AB$1:AB6)))</f>
        <v>5</v>
      </c>
      <c r="AD6" s="6" t="str">
        <f t="shared" si="5"/>
        <v>!import-table-item --Spells-Level-5 --Bigby's Hand --1</v>
      </c>
      <c r="AE6" s="6" t="s">
        <v>836</v>
      </c>
      <c r="AF6" s="6" t="s">
        <v>1503</v>
      </c>
      <c r="AG6" s="6">
        <v>1</v>
      </c>
      <c r="AH6" s="9">
        <f>IF(AG6=0,"-",IF(AG6=1,SUM(AG$1:AG5)+1,SUM(AG$1:AG5)+1 &amp; "-" &amp; SUM(AG$1:AG6)))</f>
        <v>5</v>
      </c>
      <c r="AI6" s="6" t="str">
        <f t="shared" si="9"/>
        <v>!import-table-item --Spells-Level-6 --Circle of Death --1</v>
      </c>
      <c r="AJ6" s="6" t="s">
        <v>884</v>
      </c>
      <c r="AK6" s="6" t="s">
        <v>1503</v>
      </c>
      <c r="AL6" s="6">
        <v>1</v>
      </c>
      <c r="AM6" s="9">
        <f>IF(AL6=0,"-",IF(AL6=1,SUM(AL$1:AL5)+1,SUM(AL$1:AL5)+1 &amp; "-" &amp; SUM(AL$1:AL6)))</f>
        <v>5</v>
      </c>
      <c r="AN6" s="6" t="str">
        <f t="shared" si="6"/>
        <v>!import-table-item --Spells-Level-7 --Divine Word --1</v>
      </c>
      <c r="AO6" s="6" t="s">
        <v>912</v>
      </c>
      <c r="AP6" s="6" t="s">
        <v>1503</v>
      </c>
      <c r="AQ6" s="6">
        <v>1</v>
      </c>
      <c r="AR6" s="9">
        <f>IF(AQ6=0,"-",IF(AQ6=1,SUM(AQ$1:AQ5)+1,SUM(AQ$1:AQ5)+1 &amp; "-" &amp; SUM(AQ$1:AQ6)))</f>
        <v>5</v>
      </c>
      <c r="AS6" s="6" t="str">
        <f t="shared" si="7"/>
        <v>!import-table-item --Spells-Level-8 --Clone --1</v>
      </c>
      <c r="AT6" s="6" t="s">
        <v>936</v>
      </c>
      <c r="AU6" s="6" t="s">
        <v>1503</v>
      </c>
      <c r="AV6" s="6">
        <v>1</v>
      </c>
      <c r="AW6" s="9">
        <f>IF(AV6=0,"-",IF(AV6=1,SUM(AV$1:AV5)+1,SUM(AV$1:AV5)+1 &amp; "-" &amp; SUM(AV$1:AV6)))</f>
        <v>5</v>
      </c>
      <c r="AX6" s="6" t="str">
        <f t="shared" si="8"/>
        <v>!import-table-item --Spells-Level-9 --Imprisonment --1</v>
      </c>
    </row>
    <row r="7" spans="1:50" x14ac:dyDescent="0.25">
      <c r="A7" s="6" t="s">
        <v>529</v>
      </c>
      <c r="B7" s="6" t="s">
        <v>1493</v>
      </c>
      <c r="C7" s="6">
        <v>1</v>
      </c>
      <c r="D7" s="9">
        <f>IF(C7=0,"-",IF(C7=1,SUM(C$1:C6)+1,SUM(C$1:C6)+1 &amp; "-" &amp; SUM(C$1:C7)))</f>
        <v>6</v>
      </c>
      <c r="E7" s="6" t="str">
        <f t="shared" si="0"/>
        <v>!import-table-item --Spells-Cantrip --Create Bonfire --1</v>
      </c>
      <c r="F7" s="6" t="s">
        <v>452</v>
      </c>
      <c r="G7" s="6" t="s">
        <v>1503</v>
      </c>
      <c r="H7" s="6">
        <v>1</v>
      </c>
      <c r="I7" s="9">
        <f>IF(H7=0,"-",IF(H7=1,SUM(H$1:H6)+1,SUM(H$1:H6)+1 &amp; "-" &amp; SUM(H$1:H7)))</f>
        <v>6</v>
      </c>
      <c r="J7" s="6" t="str">
        <f t="shared" si="1"/>
        <v>!import-table-item --Spells-Level-1 --Bane --1</v>
      </c>
      <c r="K7" s="6" t="s">
        <v>574</v>
      </c>
      <c r="L7" s="6" t="s">
        <v>1503</v>
      </c>
      <c r="M7" s="6">
        <v>1</v>
      </c>
      <c r="N7" s="9">
        <f>IF(M7=0,"-",IF(M7=1,SUM(M$1:M6)+1,SUM(M$1:M6)+1 &amp; "-" &amp; SUM(M$1:M7)))</f>
        <v>6</v>
      </c>
      <c r="O7" s="6" t="str">
        <f t="shared" si="2"/>
        <v>!import-table-item --Spells-Level-2 --Arcane Lock --1</v>
      </c>
      <c r="P7" s="6" t="s">
        <v>655</v>
      </c>
      <c r="Q7" s="6" t="s">
        <v>1503</v>
      </c>
      <c r="R7" s="6">
        <v>1</v>
      </c>
      <c r="S7" s="9">
        <f>IF(R7=0,"-",IF(R7=1,SUM(R$1:R6)+1,SUM(R$1:R6)+1 &amp; "-" &amp; SUM(R$1:R7)))</f>
        <v>6</v>
      </c>
      <c r="T7" s="6" t="str">
        <f t="shared" si="3"/>
        <v>!import-table-item --Spells-Level-3 --Bestow Curse --1</v>
      </c>
      <c r="U7" s="6" t="s">
        <v>726</v>
      </c>
      <c r="V7" s="6" t="s">
        <v>1493</v>
      </c>
      <c r="W7" s="6">
        <v>1</v>
      </c>
      <c r="X7" s="9">
        <f>IF(W7=0,"-",IF(W7=1,SUM(W$1:W6)+1,SUM(W$1:W6)+1 &amp; "-" &amp; SUM(W$1:W7)))</f>
        <v>6</v>
      </c>
      <c r="Y7" s="6" t="str">
        <f t="shared" si="4"/>
        <v>!import-table-item --Spells-Level-4 --Charm Monster --1</v>
      </c>
      <c r="Z7" s="6" t="s">
        <v>775</v>
      </c>
      <c r="AA7" s="6" t="s">
        <v>1503</v>
      </c>
      <c r="AB7" s="6">
        <v>1</v>
      </c>
      <c r="AC7" s="9">
        <f>IF(AB7=0,"-",IF(AB7=1,SUM(AB$1:AB6)+1,SUM(AB$1:AB6)+1 &amp; "-" &amp; SUM(AB$1:AB7)))</f>
        <v>6</v>
      </c>
      <c r="AD7" s="6" t="str">
        <f t="shared" si="5"/>
        <v>!import-table-item --Spells-Level-5 --Circle of Power --1</v>
      </c>
      <c r="AE7" s="6" t="s">
        <v>837</v>
      </c>
      <c r="AF7" s="6" t="s">
        <v>1503</v>
      </c>
      <c r="AG7" s="6">
        <v>1</v>
      </c>
      <c r="AH7" s="9">
        <f>IF(AG7=0,"-",IF(AG7=1,SUM(AG$1:AG6)+1,SUM(AG$1:AG6)+1 &amp; "-" &amp; SUM(AG$1:AG7)))</f>
        <v>6</v>
      </c>
      <c r="AI7" s="6" t="str">
        <f t="shared" si="9"/>
        <v>!import-table-item --Spells-Level-6 --Conjure Fey --1</v>
      </c>
      <c r="AJ7" s="6" t="s">
        <v>885</v>
      </c>
      <c r="AK7" s="6" t="s">
        <v>1403</v>
      </c>
      <c r="AL7" s="6">
        <v>1</v>
      </c>
      <c r="AM7" s="9">
        <f>IF(AL7=0,"-",IF(AL7=1,SUM(AL$1:AL6)+1,SUM(AL$1:AL6)+1 &amp; "-" &amp; SUM(AL$1:AL7)))</f>
        <v>6</v>
      </c>
      <c r="AN7" s="6" t="str">
        <f t="shared" si="6"/>
        <v>!import-table-item --Spells-Level-7 --Draconic Transformation --1</v>
      </c>
      <c r="AO7" s="6" t="s">
        <v>913</v>
      </c>
      <c r="AP7" s="6" t="s">
        <v>1503</v>
      </c>
      <c r="AQ7" s="6">
        <v>1</v>
      </c>
      <c r="AR7" s="9">
        <f>IF(AQ7=0,"-",IF(AQ7=1,SUM(AQ$1:AQ6)+1,SUM(AQ$1:AQ6)+1 &amp; "-" &amp; SUM(AQ$1:AQ7)))</f>
        <v>6</v>
      </c>
      <c r="AS7" s="6" t="str">
        <f t="shared" si="7"/>
        <v>!import-table-item --Spells-Level-8 --Control Weather --1</v>
      </c>
      <c r="AT7" s="6" t="s">
        <v>937</v>
      </c>
      <c r="AU7" s="6" t="s">
        <v>1493</v>
      </c>
      <c r="AV7" s="6">
        <v>1</v>
      </c>
      <c r="AW7" s="9">
        <f>IF(AV7=0,"-",IF(AV7=1,SUM(AV$1:AV6)+1,SUM(AV$1:AV6)+1 &amp; "-" &amp; SUM(AV$1:AV7)))</f>
        <v>6</v>
      </c>
      <c r="AX7" s="6" t="str">
        <f t="shared" si="8"/>
        <v>!import-table-item --Spells-Level-9 --Invulnerability --1</v>
      </c>
    </row>
    <row r="8" spans="1:50" x14ac:dyDescent="0.25">
      <c r="A8" s="6" t="s">
        <v>530</v>
      </c>
      <c r="B8" s="6" t="s">
        <v>1503</v>
      </c>
      <c r="C8" s="6">
        <v>1</v>
      </c>
      <c r="D8" s="9">
        <f>IF(C8=0,"-",IF(C8=1,SUM(C$1:C7)+1,SUM(C$1:C7)+1 &amp; "-" &amp; SUM(C$1:C8)))</f>
        <v>7</v>
      </c>
      <c r="E8" s="6" t="str">
        <f t="shared" si="0"/>
        <v>!import-table-item --Spells-Cantrip --Dancing Lights --1</v>
      </c>
      <c r="F8" s="6" t="s">
        <v>453</v>
      </c>
      <c r="G8" s="6" t="s">
        <v>1493</v>
      </c>
      <c r="H8" s="6">
        <v>1</v>
      </c>
      <c r="I8" s="9">
        <f>IF(H8=0,"-",IF(H8=1,SUM(H$1:H7)+1,SUM(H$1:H7)+1 &amp; "-" &amp; SUM(H$1:H8)))</f>
        <v>7</v>
      </c>
      <c r="J8" s="6" t="str">
        <f t="shared" si="1"/>
        <v>!import-table-item --Spells-Level-1 --Beast Bond --1</v>
      </c>
      <c r="K8" s="6" t="s">
        <v>575</v>
      </c>
      <c r="L8" s="6" t="s">
        <v>1503</v>
      </c>
      <c r="M8" s="6">
        <v>1</v>
      </c>
      <c r="N8" s="9">
        <f>IF(M8=0,"-",IF(M8=1,SUM(M$1:M7)+1,SUM(M$1:M7)+1 &amp; "-" &amp; SUM(M$1:M8)))</f>
        <v>7</v>
      </c>
      <c r="O8" s="6" t="str">
        <f t="shared" si="2"/>
        <v>!import-table-item --Spells-Level-2 --Augury --1</v>
      </c>
      <c r="P8" s="6" t="s">
        <v>656</v>
      </c>
      <c r="Q8" s="6" t="s">
        <v>1503</v>
      </c>
      <c r="R8" s="6">
        <v>1</v>
      </c>
      <c r="S8" s="9">
        <f>IF(R8=0,"-",IF(R8=1,SUM(R$1:R7)+1,SUM(R$1:R7)+1 &amp; "-" &amp; SUM(R$1:R8)))</f>
        <v>7</v>
      </c>
      <c r="T8" s="6" t="str">
        <f t="shared" si="3"/>
        <v>!import-table-item --Spells-Level-3 --Blinding Smite --1</v>
      </c>
      <c r="U8" s="6" t="s">
        <v>727</v>
      </c>
      <c r="V8" s="6" t="s">
        <v>1503</v>
      </c>
      <c r="W8" s="6">
        <v>1</v>
      </c>
      <c r="X8" s="9">
        <f>IF(W8=0,"-",IF(W8=1,SUM(W$1:W7)+1,SUM(W$1:W7)+1 &amp; "-" &amp; SUM(W$1:W8)))</f>
        <v>7</v>
      </c>
      <c r="Y8" s="6" t="str">
        <f t="shared" si="4"/>
        <v>!import-table-item --Spells-Level-4 --Compulsion --1</v>
      </c>
      <c r="Z8" s="6" t="s">
        <v>776</v>
      </c>
      <c r="AA8" s="6" t="s">
        <v>1503</v>
      </c>
      <c r="AB8" s="6">
        <v>1</v>
      </c>
      <c r="AC8" s="9">
        <f>IF(AB8=0,"-",IF(AB8=1,SUM(AB$1:AB7)+1,SUM(AB$1:AB7)+1 &amp; "-" &amp; SUM(AB$1:AB8)))</f>
        <v>7</v>
      </c>
      <c r="AD8" s="6" t="str">
        <f t="shared" si="5"/>
        <v>!import-table-item --Spells-Level-5 --Cloudkill --1</v>
      </c>
      <c r="AE8" s="6" t="s">
        <v>838</v>
      </c>
      <c r="AF8" s="6" t="s">
        <v>1503</v>
      </c>
      <c r="AG8" s="6">
        <v>1</v>
      </c>
      <c r="AH8" s="9">
        <f>IF(AG8=0,"-",IF(AG8=1,SUM(AG$1:AG7)+1,SUM(AG$1:AG7)+1 &amp; "-" &amp; SUM(AG$1:AG8)))</f>
        <v>7</v>
      </c>
      <c r="AI8" s="6" t="str">
        <f t="shared" si="9"/>
        <v>!import-table-item --Spells-Level-6 --Contingency --1</v>
      </c>
      <c r="AJ8" s="6" t="s">
        <v>886</v>
      </c>
      <c r="AK8" s="6" t="s">
        <v>1402</v>
      </c>
      <c r="AL8" s="6">
        <v>1</v>
      </c>
      <c r="AM8" s="9">
        <f>IF(AL8=0,"-",IF(AL8=1,SUM(AL$1:AL7)+1,SUM(AL$1:AL7)+1 &amp; "-" &amp; SUM(AL$1:AL8)))</f>
        <v>7</v>
      </c>
      <c r="AN8" s="6" t="str">
        <f t="shared" si="6"/>
        <v>!import-table-item --Spells-Level-7 --Dream of the Blue Veil --1</v>
      </c>
      <c r="AO8" s="6" t="s">
        <v>914</v>
      </c>
      <c r="AP8" s="6" t="s">
        <v>1409</v>
      </c>
      <c r="AQ8" s="6">
        <v>1</v>
      </c>
      <c r="AR8" s="9">
        <f>IF(AQ8=0,"-",IF(AQ8=1,SUM(AQ$1:AQ7)+1,SUM(AQ$1:AQ7)+1 &amp; "-" &amp; SUM(AQ$1:AQ8)))</f>
        <v>7</v>
      </c>
      <c r="AS8" s="6" t="str">
        <f t="shared" si="7"/>
        <v>!import-table-item --Spells-Level-8 --Dark Star --1</v>
      </c>
      <c r="AT8" s="6" t="s">
        <v>938</v>
      </c>
      <c r="AU8" s="6" t="s">
        <v>1503</v>
      </c>
      <c r="AV8" s="6">
        <v>1</v>
      </c>
      <c r="AW8" s="9">
        <f>IF(AV8=0,"-",IF(AV8=1,SUM(AV$1:AV7)+1,SUM(AV$1:AV7)+1 &amp; "-" &amp; SUM(AV$1:AV8)))</f>
        <v>7</v>
      </c>
      <c r="AX8" s="6" t="str">
        <f t="shared" si="8"/>
        <v>!import-table-item --Spells-Level-9 --Mass Heal --1</v>
      </c>
    </row>
    <row r="9" spans="1:50" x14ac:dyDescent="0.25">
      <c r="A9" s="6" t="s">
        <v>531</v>
      </c>
      <c r="B9" s="6" t="s">
        <v>1503</v>
      </c>
      <c r="C9" s="6">
        <v>1</v>
      </c>
      <c r="D9" s="9">
        <f>IF(C9=0,"-",IF(C9=1,SUM(C$1:C8)+1,SUM(C$1:C8)+1 &amp; "-" &amp; SUM(C$1:C9)))</f>
        <v>8</v>
      </c>
      <c r="E9" s="6" t="str">
        <f t="shared" si="0"/>
        <v>!import-table-item --Spells-Cantrip --Druidcraft --1</v>
      </c>
      <c r="F9" s="6" t="s">
        <v>455</v>
      </c>
      <c r="G9" s="6" t="s">
        <v>1503</v>
      </c>
      <c r="H9" s="6">
        <v>1</v>
      </c>
      <c r="I9" s="9">
        <f>IF(H9=0,"-",IF(H9=1,SUM(H$1:H8)+1,SUM(H$1:H8)+1 &amp; "-" &amp; SUM(H$1:H9)))</f>
        <v>8</v>
      </c>
      <c r="J9" s="6" t="str">
        <f t="shared" si="1"/>
        <v>!import-table-item --Spells-Level-1 --Bless --1</v>
      </c>
      <c r="K9" s="6" t="s">
        <v>576</v>
      </c>
      <c r="L9" s="6" t="s">
        <v>1503</v>
      </c>
      <c r="M9" s="6">
        <v>1</v>
      </c>
      <c r="N9" s="9">
        <f>IF(M9=0,"-",IF(M9=1,SUM(M$1:M8)+1,SUM(M$1:M8)+1 &amp; "-" &amp; SUM(M$1:M9)))</f>
        <v>8</v>
      </c>
      <c r="O9" s="6" t="str">
        <f t="shared" si="2"/>
        <v>!import-table-item --Spells-Level-2 --Barkskin --1</v>
      </c>
      <c r="P9" s="6" t="s">
        <v>657</v>
      </c>
      <c r="Q9" s="6" t="s">
        <v>1503</v>
      </c>
      <c r="R9" s="6">
        <v>1</v>
      </c>
      <c r="S9" s="9">
        <f>IF(R9=0,"-",IF(R9=1,SUM(R$1:R8)+1,SUM(R$1:R8)+1 &amp; "-" &amp; SUM(R$1:R9)))</f>
        <v>8</v>
      </c>
      <c r="T9" s="6" t="str">
        <f t="shared" si="3"/>
        <v>!import-table-item --Spells-Level-3 --Blink --1</v>
      </c>
      <c r="U9" s="6" t="s">
        <v>728</v>
      </c>
      <c r="V9" s="6" t="s">
        <v>1503</v>
      </c>
      <c r="W9" s="6">
        <v>1</v>
      </c>
      <c r="X9" s="9">
        <f>IF(W9=0,"-",IF(W9=1,SUM(W$1:W8)+1,SUM(W$1:W8)+1 &amp; "-" &amp; SUM(W$1:W9)))</f>
        <v>8</v>
      </c>
      <c r="Y9" s="6" t="str">
        <f t="shared" si="4"/>
        <v>!import-table-item --Spells-Level-4 --Confusion --1</v>
      </c>
      <c r="Z9" s="6" t="s">
        <v>777</v>
      </c>
      <c r="AA9" s="6" t="s">
        <v>1503</v>
      </c>
      <c r="AB9" s="6">
        <v>1</v>
      </c>
      <c r="AC9" s="9">
        <f>IF(AB9=0,"-",IF(AB9=1,SUM(AB$1:AB8)+1,SUM(AB$1:AB8)+1 &amp; "-" &amp; SUM(AB$1:AB9)))</f>
        <v>8</v>
      </c>
      <c r="AD9" s="6" t="str">
        <f t="shared" si="5"/>
        <v>!import-table-item --Spells-Level-5 --Commune --1</v>
      </c>
      <c r="AE9" s="6" t="s">
        <v>839</v>
      </c>
      <c r="AF9" s="6" t="s">
        <v>1493</v>
      </c>
      <c r="AG9" s="6">
        <v>1</v>
      </c>
      <c r="AH9" s="9">
        <f>IF(AG9=0,"-",IF(AG9=1,SUM(AG$1:AG8)+1,SUM(AG$1:AG8)+1 &amp; "-" &amp; SUM(AG$1:AG9)))</f>
        <v>8</v>
      </c>
      <c r="AI9" s="6" t="str">
        <f t="shared" si="9"/>
        <v>!import-table-item --Spells-Level-6 --Create Homunculus --1</v>
      </c>
      <c r="AJ9" s="6" t="s">
        <v>887</v>
      </c>
      <c r="AK9" s="6" t="s">
        <v>1503</v>
      </c>
      <c r="AL9" s="6">
        <v>1</v>
      </c>
      <c r="AM9" s="9">
        <f>IF(AL9=0,"-",IF(AL9=1,SUM(AL$1:AL8)+1,SUM(AL$1:AL8)+1 &amp; "-" &amp; SUM(AL$1:AL9)))</f>
        <v>8</v>
      </c>
      <c r="AN9" s="6" t="str">
        <f t="shared" si="6"/>
        <v>!import-table-item --Spells-Level-7 --Etherealness --1</v>
      </c>
      <c r="AO9" s="6" t="s">
        <v>915</v>
      </c>
      <c r="AP9" s="6" t="s">
        <v>1503</v>
      </c>
      <c r="AQ9" s="6">
        <v>1</v>
      </c>
      <c r="AR9" s="9">
        <f>IF(AQ9=0,"-",IF(AQ9=1,SUM(AQ$1:AQ8)+1,SUM(AQ$1:AQ8)+1 &amp; "-" &amp; SUM(AQ$1:AQ9)))</f>
        <v>8</v>
      </c>
      <c r="AS9" s="6" t="str">
        <f t="shared" si="7"/>
        <v>!import-table-item --Spells-Level-8 --Demiplane --1</v>
      </c>
      <c r="AT9" s="6" t="s">
        <v>939</v>
      </c>
      <c r="AU9" s="6" t="s">
        <v>1493</v>
      </c>
      <c r="AV9" s="6">
        <v>1</v>
      </c>
      <c r="AW9" s="9">
        <f>IF(AV9=0,"-",IF(AV9=1,SUM(AV$1:AV8)+1,SUM(AV$1:AV8)+1 &amp; "-" &amp; SUM(AV$1:AV9)))</f>
        <v>8</v>
      </c>
      <c r="AX9" s="6" t="str">
        <f t="shared" si="8"/>
        <v>!import-table-item --Spells-Level-9 --Mass Polymorph --1</v>
      </c>
    </row>
    <row r="10" spans="1:50" x14ac:dyDescent="0.25">
      <c r="A10" s="6" t="s">
        <v>532</v>
      </c>
      <c r="B10" s="6" t="s">
        <v>1503</v>
      </c>
      <c r="C10" s="6">
        <v>1</v>
      </c>
      <c r="D10" s="9">
        <f>IF(C10=0,"-",IF(C10=1,SUM(C$1:C9)+1,SUM(C$1:C9)+1 &amp; "-" &amp; SUM(C$1:C10)))</f>
        <v>9</v>
      </c>
      <c r="E10" s="6" t="str">
        <f t="shared" si="0"/>
        <v>!import-table-item --Spells-Cantrip --Eldritch Blast --1</v>
      </c>
      <c r="F10" s="6" t="s">
        <v>456</v>
      </c>
      <c r="G10" s="6" t="s">
        <v>1503</v>
      </c>
      <c r="H10" s="6">
        <v>1</v>
      </c>
      <c r="I10" s="9">
        <f>IF(H10=0,"-",IF(H10=1,SUM(H$1:H9)+1,SUM(H$1:H9)+1 &amp; "-" &amp; SUM(H$1:H10)))</f>
        <v>9</v>
      </c>
      <c r="J10" s="6" t="str">
        <f t="shared" si="1"/>
        <v>!import-table-item --Spells-Level-1 --Burning Hands --1</v>
      </c>
      <c r="K10" s="6" t="s">
        <v>577</v>
      </c>
      <c r="L10" s="6" t="s">
        <v>1503</v>
      </c>
      <c r="M10" s="6">
        <v>1</v>
      </c>
      <c r="N10" s="9">
        <f>IF(M10=0,"-",IF(M10=1,SUM(M$1:M9)+1,SUM(M$1:M9)+1 &amp; "-" &amp; SUM(M$1:M10)))</f>
        <v>9</v>
      </c>
      <c r="O10" s="6" t="str">
        <f t="shared" si="2"/>
        <v>!import-table-item --Spells-Level-2 --Beast Sense --1</v>
      </c>
      <c r="P10" s="6" t="s">
        <v>658</v>
      </c>
      <c r="Q10" s="6" t="s">
        <v>1503</v>
      </c>
      <c r="R10" s="6">
        <v>1</v>
      </c>
      <c r="S10" s="9">
        <f>IF(R10=0,"-",IF(R10=1,SUM(R$1:R9)+1,SUM(R$1:R9)+1 &amp; "-" &amp; SUM(R$1:R10)))</f>
        <v>9</v>
      </c>
      <c r="T10" s="6" t="str">
        <f t="shared" si="3"/>
        <v>!import-table-item --Spells-Level-3 --Call Lightning --1</v>
      </c>
      <c r="U10" s="6" t="s">
        <v>729</v>
      </c>
      <c r="V10" s="6" t="s">
        <v>1503</v>
      </c>
      <c r="W10" s="6">
        <v>1</v>
      </c>
      <c r="X10" s="9">
        <f>IF(W10=0,"-",IF(W10=1,SUM(W$1:W9)+1,SUM(W$1:W9)+1 &amp; "-" &amp; SUM(W$1:W10)))</f>
        <v>9</v>
      </c>
      <c r="Y10" s="6" t="str">
        <f t="shared" si="4"/>
        <v>!import-table-item --Spells-Level-4 --Conjure Minor Elementals --1</v>
      </c>
      <c r="Z10" s="6" t="s">
        <v>778</v>
      </c>
      <c r="AA10" s="6" t="s">
        <v>1503</v>
      </c>
      <c r="AB10" s="6">
        <v>1</v>
      </c>
      <c r="AC10" s="9">
        <f>IF(AB10=0,"-",IF(AB10=1,SUM(AB$1:AB9)+1,SUM(AB$1:AB9)+1 &amp; "-" &amp; SUM(AB$1:AB10)))</f>
        <v>9</v>
      </c>
      <c r="AD10" s="6" t="str">
        <f t="shared" si="5"/>
        <v>!import-table-item --Spells-Level-5 --Commune with Nature --1</v>
      </c>
      <c r="AE10" s="6" t="s">
        <v>840</v>
      </c>
      <c r="AF10" s="6" t="s">
        <v>1503</v>
      </c>
      <c r="AG10" s="6">
        <v>1</v>
      </c>
      <c r="AH10" s="9">
        <f>IF(AG10=0,"-",IF(AG10=1,SUM(AG$1:AG9)+1,SUM(AG$1:AG9)+1 &amp; "-" &amp; SUM(AG$1:AG10)))</f>
        <v>9</v>
      </c>
      <c r="AI10" s="6" t="str">
        <f t="shared" si="9"/>
        <v>!import-table-item --Spells-Level-6 --Create Undead --1</v>
      </c>
      <c r="AJ10" s="6" t="s">
        <v>888</v>
      </c>
      <c r="AK10" s="6" t="s">
        <v>1503</v>
      </c>
      <c r="AL10" s="6">
        <v>1</v>
      </c>
      <c r="AM10" s="9">
        <f>IF(AL10=0,"-",IF(AL10=1,SUM(AL$1:AL9)+1,SUM(AL$1:AL9)+1 &amp; "-" &amp; SUM(AL$1:AL10)))</f>
        <v>9</v>
      </c>
      <c r="AN10" s="6" t="str">
        <f t="shared" si="6"/>
        <v>!import-table-item --Spells-Level-7 --Finger of Death --1</v>
      </c>
      <c r="AO10" s="6" t="s">
        <v>916</v>
      </c>
      <c r="AP10" s="6" t="s">
        <v>1503</v>
      </c>
      <c r="AQ10" s="6">
        <v>1</v>
      </c>
      <c r="AR10" s="9">
        <f>IF(AQ10=0,"-",IF(AQ10=1,SUM(AQ$1:AQ9)+1,SUM(AQ$1:AQ9)+1 &amp; "-" &amp; SUM(AQ$1:AQ10)))</f>
        <v>9</v>
      </c>
      <c r="AS10" s="6" t="str">
        <f t="shared" si="7"/>
        <v>!import-table-item --Spells-Level-8 --Dominate Monster --1</v>
      </c>
      <c r="AT10" s="6" t="s">
        <v>940</v>
      </c>
      <c r="AU10" s="6" t="s">
        <v>1503</v>
      </c>
      <c r="AV10" s="6">
        <v>1</v>
      </c>
      <c r="AW10" s="9">
        <f>IF(AV10=0,"-",IF(AV10=1,SUM(AV$1:AV9)+1,SUM(AV$1:AV9)+1 &amp; "-" &amp; SUM(AV$1:AV10)))</f>
        <v>9</v>
      </c>
      <c r="AX10" s="6" t="str">
        <f t="shared" si="8"/>
        <v>!import-table-item --Spells-Level-9 --Meteor Swarm --1</v>
      </c>
    </row>
    <row r="11" spans="1:50" x14ac:dyDescent="0.25">
      <c r="A11" s="6" t="s">
        <v>533</v>
      </c>
      <c r="B11" s="6" t="s">
        <v>1503</v>
      </c>
      <c r="C11" s="6">
        <v>1</v>
      </c>
      <c r="D11" s="9">
        <f>IF(C11=0,"-",IF(C11=1,SUM(C$1:C10)+1,SUM(C$1:C10)+1 &amp; "-" &amp; SUM(C$1:C11)))</f>
        <v>10</v>
      </c>
      <c r="E11" s="6" t="str">
        <f t="shared" si="0"/>
        <v>!import-table-item --Spells-Cantrip --Fire Bolt --1</v>
      </c>
      <c r="F11" s="6" t="s">
        <v>457</v>
      </c>
      <c r="G11" s="6" t="s">
        <v>1493</v>
      </c>
      <c r="H11" s="6">
        <v>1</v>
      </c>
      <c r="I11" s="9">
        <f>IF(H11=0,"-",IF(H11=1,SUM(H$1:H10)+1,SUM(H$1:H10)+1 &amp; "-" &amp; SUM(H$1:H11)))</f>
        <v>10</v>
      </c>
      <c r="J11" s="6" t="str">
        <f t="shared" si="1"/>
        <v>!import-table-item --Spells-Level-1 --Catapult --1</v>
      </c>
      <c r="K11" s="6" t="s">
        <v>578</v>
      </c>
      <c r="L11" s="6" t="s">
        <v>1503</v>
      </c>
      <c r="M11" s="6">
        <v>1</v>
      </c>
      <c r="N11" s="9">
        <f>IF(M11=0,"-",IF(M11=1,SUM(M$1:M10)+1,SUM(M$1:M10)+1 &amp; "-" &amp; SUM(M$1:M11)))</f>
        <v>10</v>
      </c>
      <c r="O11" s="6" t="str">
        <f t="shared" si="2"/>
        <v>!import-table-item --Spells-Level-2 --Blindness/Deafness --1</v>
      </c>
      <c r="P11" s="6" t="s">
        <v>659</v>
      </c>
      <c r="Q11" s="6" t="s">
        <v>1493</v>
      </c>
      <c r="R11" s="6">
        <v>1</v>
      </c>
      <c r="S11" s="9">
        <f>IF(R11=0,"-",IF(R11=1,SUM(R$1:R10)+1,SUM(R$1:R10)+1 &amp; "-" &amp; SUM(R$1:R11)))</f>
        <v>10</v>
      </c>
      <c r="T11" s="6" t="str">
        <f t="shared" si="3"/>
        <v>!import-table-item --Spells-Level-3 --Catnap --1</v>
      </c>
      <c r="U11" s="6" t="s">
        <v>730</v>
      </c>
      <c r="V11" s="6" t="s">
        <v>1503</v>
      </c>
      <c r="W11" s="6">
        <v>1</v>
      </c>
      <c r="X11" s="9">
        <f>IF(W11=0,"-",IF(W11=1,SUM(W$1:W10)+1,SUM(W$1:W10)+1 &amp; "-" &amp; SUM(W$1:W11)))</f>
        <v>10</v>
      </c>
      <c r="Y11" s="6" t="str">
        <f t="shared" si="4"/>
        <v>!import-table-item --Spells-Level-4 --Conjure Woodland Beings --1</v>
      </c>
      <c r="Z11" s="6" t="s">
        <v>779</v>
      </c>
      <c r="AA11" s="6" t="s">
        <v>1503</v>
      </c>
      <c r="AB11" s="6">
        <v>1</v>
      </c>
      <c r="AC11" s="9">
        <f>IF(AB11=0,"-",IF(AB11=1,SUM(AB$1:AB10)+1,SUM(AB$1:AB10)+1 &amp; "-" &amp; SUM(AB$1:AB11)))</f>
        <v>10</v>
      </c>
      <c r="AD11" s="6" t="str">
        <f t="shared" si="5"/>
        <v>!import-table-item --Spells-Level-5 --Cone of Cold --1</v>
      </c>
      <c r="AE11" s="6" t="s">
        <v>841</v>
      </c>
      <c r="AF11" s="6" t="s">
        <v>1503</v>
      </c>
      <c r="AG11" s="6">
        <v>1</v>
      </c>
      <c r="AH11" s="9">
        <f>IF(AG11=0,"-",IF(AG11=1,SUM(AG$1:AG10)+1,SUM(AG$1:AG10)+1 &amp; "-" &amp; SUM(AG$1:AG11)))</f>
        <v>10</v>
      </c>
      <c r="AI11" s="6" t="str">
        <f t="shared" si="9"/>
        <v>!import-table-item --Spells-Level-6 --Disintegrate --1</v>
      </c>
      <c r="AJ11" s="6" t="s">
        <v>889</v>
      </c>
      <c r="AK11" s="6" t="s">
        <v>1503</v>
      </c>
      <c r="AL11" s="6">
        <v>1</v>
      </c>
      <c r="AM11" s="9">
        <f>IF(AL11=0,"-",IF(AL11=1,SUM(AL$1:AL10)+1,SUM(AL$1:AL10)+1 &amp; "-" &amp; SUM(AL$1:AL11)))</f>
        <v>10</v>
      </c>
      <c r="AN11" s="6" t="str">
        <f t="shared" si="6"/>
        <v>!import-table-item --Spells-Level-7 --Fire Storm --1</v>
      </c>
      <c r="AO11" s="6" t="s">
        <v>917</v>
      </c>
      <c r="AP11" s="6" t="s">
        <v>1503</v>
      </c>
      <c r="AQ11" s="6">
        <v>1</v>
      </c>
      <c r="AR11" s="9">
        <f>IF(AQ11=0,"-",IF(AQ11=1,SUM(AQ$1:AQ10)+1,SUM(AQ$1:AQ10)+1 &amp; "-" &amp; SUM(AQ$1:AQ11)))</f>
        <v>10</v>
      </c>
      <c r="AS11" s="6" t="str">
        <f t="shared" si="7"/>
        <v>!import-table-item --Spells-Level-8 --Earthquake --1</v>
      </c>
      <c r="AT11" s="6" t="s">
        <v>941</v>
      </c>
      <c r="AU11" s="6" t="s">
        <v>1503</v>
      </c>
      <c r="AV11" s="6">
        <v>1</v>
      </c>
      <c r="AW11" s="9">
        <f>IF(AV11=0,"-",IF(AV11=1,SUM(AV$1:AV10)+1,SUM(AV$1:AV10)+1 &amp; "-" &amp; SUM(AV$1:AV11)))</f>
        <v>10</v>
      </c>
      <c r="AX11" s="6" t="str">
        <f t="shared" si="8"/>
        <v>!import-table-item --Spells-Level-9 --Power Word Heal --1</v>
      </c>
    </row>
    <row r="12" spans="1:50" x14ac:dyDescent="0.25">
      <c r="A12" s="6" t="s">
        <v>534</v>
      </c>
      <c r="B12" s="6" t="s">
        <v>1503</v>
      </c>
      <c r="C12" s="6">
        <v>1</v>
      </c>
      <c r="D12" s="9">
        <f>IF(C12=0,"-",IF(C12=1,SUM(C$1:C11)+1,SUM(C$1:C11)+1 &amp; "-" &amp; SUM(C$1:C12)))</f>
        <v>11</v>
      </c>
      <c r="E12" s="6" t="str">
        <f t="shared" si="0"/>
        <v>!import-table-item --Spells-Cantrip --Friends --1</v>
      </c>
      <c r="F12" s="6" t="s">
        <v>458</v>
      </c>
      <c r="G12" s="6" t="s">
        <v>1493</v>
      </c>
      <c r="H12" s="6">
        <v>1</v>
      </c>
      <c r="I12" s="9">
        <f>IF(H12=0,"-",IF(H12=1,SUM(H$1:H11)+1,SUM(H$1:H11)+1 &amp; "-" &amp; SUM(H$1:H12)))</f>
        <v>11</v>
      </c>
      <c r="J12" s="6" t="str">
        <f t="shared" si="1"/>
        <v>!import-table-item --Spells-Level-1 --Cause Fear --1</v>
      </c>
      <c r="K12" s="6" t="s">
        <v>579</v>
      </c>
      <c r="L12" s="6" t="s">
        <v>1503</v>
      </c>
      <c r="M12" s="6">
        <v>1</v>
      </c>
      <c r="N12" s="9">
        <f>IF(M12=0,"-",IF(M12=1,SUM(M$1:M11)+1,SUM(M$1:M11)+1 &amp; "-" &amp; SUM(M$1:M12)))</f>
        <v>11</v>
      </c>
      <c r="O12" s="6" t="str">
        <f t="shared" si="2"/>
        <v>!import-table-item --Spells-Level-2 --Blur --1</v>
      </c>
      <c r="P12" s="6" t="s">
        <v>660</v>
      </c>
      <c r="Q12" s="6" t="s">
        <v>1503</v>
      </c>
      <c r="R12" s="6">
        <v>1</v>
      </c>
      <c r="S12" s="9">
        <f>IF(R12=0,"-",IF(R12=1,SUM(R$1:R11)+1,SUM(R$1:R11)+1 &amp; "-" &amp; SUM(R$1:R12)))</f>
        <v>11</v>
      </c>
      <c r="T12" s="6" t="str">
        <f t="shared" si="3"/>
        <v>!import-table-item --Spells-Level-3 --Clairvoyance --1</v>
      </c>
      <c r="U12" s="6" t="s">
        <v>731</v>
      </c>
      <c r="V12" s="6" t="s">
        <v>1503</v>
      </c>
      <c r="W12" s="6">
        <v>1</v>
      </c>
      <c r="X12" s="9">
        <f>IF(W12=0,"-",IF(W12=1,SUM(W$1:W11)+1,SUM(W$1:W11)+1 &amp; "-" &amp; SUM(W$1:W12)))</f>
        <v>11</v>
      </c>
      <c r="Y12" s="6" t="str">
        <f t="shared" si="4"/>
        <v>!import-table-item --Spells-Level-4 --Control Water --1</v>
      </c>
      <c r="Z12" s="6" t="s">
        <v>780</v>
      </c>
      <c r="AA12" s="6" t="s">
        <v>1503</v>
      </c>
      <c r="AB12" s="6">
        <v>1</v>
      </c>
      <c r="AC12" s="9">
        <f>IF(AB12=0,"-",IF(AB12=1,SUM(AB$1:AB11)+1,SUM(AB$1:AB11)+1 &amp; "-" &amp; SUM(AB$1:AB12)))</f>
        <v>11</v>
      </c>
      <c r="AD12" s="6" t="str">
        <f t="shared" si="5"/>
        <v>!import-table-item --Spells-Level-5 --Conjure Elemental --1</v>
      </c>
      <c r="AE12" s="6" t="s">
        <v>842</v>
      </c>
      <c r="AF12" s="6" t="s">
        <v>1503</v>
      </c>
      <c r="AG12" s="6">
        <v>1</v>
      </c>
      <c r="AH12" s="9">
        <f>IF(AG12=0,"-",IF(AG12=1,SUM(AG$1:AG11)+1,SUM(AG$1:AG11)+1 &amp; "-" &amp; SUM(AG$1:AG12)))</f>
        <v>11</v>
      </c>
      <c r="AI12" s="6" t="str">
        <f t="shared" si="9"/>
        <v>!import-table-item --Spells-Level-6 --Drawmij's Instant Summons --1</v>
      </c>
      <c r="AJ12" s="6" t="s">
        <v>890</v>
      </c>
      <c r="AK12" s="6" t="s">
        <v>1503</v>
      </c>
      <c r="AL12" s="6">
        <v>1</v>
      </c>
      <c r="AM12" s="9">
        <f>IF(AL12=0,"-",IF(AL12=1,SUM(AL$1:AL11)+1,SUM(AL$1:AL11)+1 &amp; "-" &amp; SUM(AL$1:AL12)))</f>
        <v>11</v>
      </c>
      <c r="AN12" s="6" t="str">
        <f t="shared" si="6"/>
        <v>!import-table-item --Spells-Level-7 --Forcecage --1</v>
      </c>
      <c r="AO12" s="6" t="s">
        <v>918</v>
      </c>
      <c r="AP12" s="6" t="s">
        <v>1503</v>
      </c>
      <c r="AQ12" s="6">
        <v>1</v>
      </c>
      <c r="AR12" s="9">
        <f>IF(AQ12=0,"-",IF(AQ12=1,SUM(AQ$1:AQ11)+1,SUM(AQ$1:AQ11)+1 &amp; "-" &amp; SUM(AQ$1:AQ12)))</f>
        <v>11</v>
      </c>
      <c r="AS12" s="6" t="str">
        <f t="shared" si="7"/>
        <v>!import-table-item --Spells-Level-8 --Feeblemind --1</v>
      </c>
      <c r="AT12" s="6" t="s">
        <v>942</v>
      </c>
      <c r="AU12" s="6" t="s">
        <v>1503</v>
      </c>
      <c r="AV12" s="6">
        <v>1</v>
      </c>
      <c r="AW12" s="9">
        <f>IF(AV12=0,"-",IF(AV12=1,SUM(AV$1:AV11)+1,SUM(AV$1:AV11)+1 &amp; "-" &amp; SUM(AV$1:AV12)))</f>
        <v>11</v>
      </c>
      <c r="AX12" s="6" t="str">
        <f t="shared" si="8"/>
        <v>!import-table-item --Spells-Level-9 --Power Word Kill --1</v>
      </c>
    </row>
    <row r="13" spans="1:50" x14ac:dyDescent="0.25">
      <c r="A13" s="6" t="s">
        <v>535</v>
      </c>
      <c r="B13" s="6" t="s">
        <v>1493</v>
      </c>
      <c r="C13" s="6">
        <v>1</v>
      </c>
      <c r="D13" s="9">
        <f>IF(C13=0,"-",IF(C13=1,SUM(C$1:C12)+1,SUM(C$1:C12)+1 &amp; "-" &amp; SUM(C$1:C13)))</f>
        <v>12</v>
      </c>
      <c r="E13" s="6" t="str">
        <f t="shared" si="0"/>
        <v>!import-table-item --Spells-Cantrip --Frostbite --1</v>
      </c>
      <c r="F13" s="6" t="s">
        <v>459</v>
      </c>
      <c r="G13" s="6" t="s">
        <v>1493</v>
      </c>
      <c r="H13" s="6">
        <v>1</v>
      </c>
      <c r="I13" s="9">
        <f>IF(H13=0,"-",IF(H13=1,SUM(H$1:H12)+1,SUM(H$1:H12)+1 &amp; "-" &amp; SUM(H$1:H13)))</f>
        <v>12</v>
      </c>
      <c r="J13" s="6" t="str">
        <f t="shared" si="1"/>
        <v>!import-table-item --Spells-Level-1 --Ceremony --1</v>
      </c>
      <c r="K13" s="6" t="s">
        <v>580</v>
      </c>
      <c r="L13" s="6" t="s">
        <v>1494</v>
      </c>
      <c r="M13" s="6">
        <v>1</v>
      </c>
      <c r="N13" s="9">
        <f>IF(M13=0,"-",IF(M13=1,SUM(M$1:M12)+1,SUM(M$1:M12)+1 &amp; "-" &amp; SUM(M$1:M13)))</f>
        <v>12</v>
      </c>
      <c r="O13" s="6" t="str">
        <f t="shared" si="2"/>
        <v>!import-table-item --Spells-Level-2 --Borrowed Knowledge --1</v>
      </c>
      <c r="P13" s="6" t="s">
        <v>661</v>
      </c>
      <c r="Q13" s="6" t="s">
        <v>1503</v>
      </c>
      <c r="R13" s="6">
        <v>1</v>
      </c>
      <c r="S13" s="9">
        <f>IF(R13=0,"-",IF(R13=1,SUM(R$1:R12)+1,SUM(R$1:R12)+1 &amp; "-" &amp; SUM(R$1:R13)))</f>
        <v>12</v>
      </c>
      <c r="T13" s="6" t="str">
        <f t="shared" si="3"/>
        <v>!import-table-item --Spells-Level-3 --Conjure Animals --1</v>
      </c>
      <c r="U13" s="6" t="s">
        <v>732</v>
      </c>
      <c r="V13" s="6" t="s">
        <v>1503</v>
      </c>
      <c r="W13" s="6">
        <v>1</v>
      </c>
      <c r="X13" s="9">
        <f>IF(W13=0,"-",IF(W13=1,SUM(W$1:W12)+1,SUM(W$1:W12)+1 &amp; "-" &amp; SUM(W$1:W13)))</f>
        <v>12</v>
      </c>
      <c r="Y13" s="6" t="str">
        <f t="shared" si="4"/>
        <v>!import-table-item --Spells-Level-4 --Death Ward --1</v>
      </c>
      <c r="Z13" s="6" t="s">
        <v>781</v>
      </c>
      <c r="AA13" s="6" t="s">
        <v>1503</v>
      </c>
      <c r="AB13" s="6">
        <v>1</v>
      </c>
      <c r="AC13" s="9">
        <f>IF(AB13=0,"-",IF(AB13=1,SUM(AB$1:AB12)+1,SUM(AB$1:AB12)+1 &amp; "-" &amp; SUM(AB$1:AB13)))</f>
        <v>12</v>
      </c>
      <c r="AD13" s="6" t="str">
        <f t="shared" si="5"/>
        <v>!import-table-item --Spells-Level-5 --Conjure Volley --1</v>
      </c>
      <c r="AE13" s="6" t="s">
        <v>843</v>
      </c>
      <c r="AF13" s="6" t="s">
        <v>1493</v>
      </c>
      <c r="AG13" s="6">
        <v>1</v>
      </c>
      <c r="AH13" s="9">
        <f>IF(AG13=0,"-",IF(AG13=1,SUM(AG$1:AG12)+1,SUM(AG$1:AG12)+1 &amp; "-" &amp; SUM(AG$1:AG13)))</f>
        <v>12</v>
      </c>
      <c r="AI13" s="6" t="str">
        <f t="shared" si="9"/>
        <v>!import-table-item --Spells-Level-6 --Druid Grove --1</v>
      </c>
      <c r="AJ13" s="6" t="s">
        <v>891</v>
      </c>
      <c r="AK13" s="6" t="s">
        <v>1503</v>
      </c>
      <c r="AL13" s="6">
        <v>1</v>
      </c>
      <c r="AM13" s="9">
        <f>IF(AL13=0,"-",IF(AL13=1,SUM(AL$1:AL12)+1,SUM(AL$1:AL12)+1 &amp; "-" &amp; SUM(AL$1:AL13)))</f>
        <v>12</v>
      </c>
      <c r="AN13" s="6" t="str">
        <f t="shared" si="6"/>
        <v>!import-table-item --Spells-Level-7 --Mirage Arcane --1</v>
      </c>
      <c r="AO13" s="6" t="s">
        <v>919</v>
      </c>
      <c r="AP13" s="6" t="s">
        <v>1503</v>
      </c>
      <c r="AQ13" s="6">
        <v>1</v>
      </c>
      <c r="AR13" s="9">
        <f>IF(AQ13=0,"-",IF(AQ13=1,SUM(AQ$1:AQ12)+1,SUM(AQ$1:AQ12)+1 &amp; "-" &amp; SUM(AQ$1:AQ13)))</f>
        <v>12</v>
      </c>
      <c r="AS13" s="6" t="str">
        <f t="shared" si="7"/>
        <v>!import-table-item --Spells-Level-8 --Glibness --1</v>
      </c>
      <c r="AT13" s="6" t="s">
        <v>943</v>
      </c>
      <c r="AU13" s="6" t="s">
        <v>1503</v>
      </c>
      <c r="AV13" s="6">
        <v>1</v>
      </c>
      <c r="AW13" s="9">
        <f>IF(AV13=0,"-",IF(AV13=1,SUM(AV$1:AV12)+1,SUM(AV$1:AV12)+1 &amp; "-" &amp; SUM(AV$1:AV13)))</f>
        <v>12</v>
      </c>
      <c r="AX13" s="6" t="str">
        <f t="shared" si="8"/>
        <v>!import-table-item --Spells-Level-9 --Prismatic Wall --1</v>
      </c>
    </row>
    <row r="14" spans="1:50" x14ac:dyDescent="0.25">
      <c r="A14" s="6" t="s">
        <v>536</v>
      </c>
      <c r="B14" s="6" t="s">
        <v>1402</v>
      </c>
      <c r="C14" s="6">
        <v>1</v>
      </c>
      <c r="D14" s="9">
        <f>IF(C14=0,"-",IF(C14=1,SUM(C$1:C13)+1,SUM(C$1:C13)+1 &amp; "-" &amp; SUM(C$1:C14)))</f>
        <v>13</v>
      </c>
      <c r="E14" s="6" t="str">
        <f t="shared" si="0"/>
        <v>!import-table-item --Spells-Cantrip --Green-Flame Blade --1</v>
      </c>
      <c r="F14" s="6" t="s">
        <v>460</v>
      </c>
      <c r="G14" s="6" t="s">
        <v>1493</v>
      </c>
      <c r="H14" s="6">
        <v>1</v>
      </c>
      <c r="I14" s="9">
        <f>IF(H14=0,"-",IF(H14=1,SUM(H$1:H13)+1,SUM(H$1:H13)+1 &amp; "-" &amp; SUM(H$1:H14)))</f>
        <v>13</v>
      </c>
      <c r="J14" s="6" t="str">
        <f t="shared" si="1"/>
        <v>!import-table-item --Spells-Level-1 --Chaos Bolt --1</v>
      </c>
      <c r="K14" s="6" t="s">
        <v>581</v>
      </c>
      <c r="L14" s="6" t="s">
        <v>1503</v>
      </c>
      <c r="M14" s="6">
        <v>1</v>
      </c>
      <c r="N14" s="9">
        <f>IF(M14=0,"-",IF(M14=1,SUM(M$1:M13)+1,SUM(M$1:M13)+1 &amp; "-" &amp; SUM(M$1:M14)))</f>
        <v>13</v>
      </c>
      <c r="O14" s="6" t="str">
        <f t="shared" si="2"/>
        <v>!import-table-item --Spells-Level-2 --Branding Smite --1</v>
      </c>
      <c r="P14" s="6" t="s">
        <v>662</v>
      </c>
      <c r="Q14" s="6" t="s">
        <v>1503</v>
      </c>
      <c r="R14" s="6">
        <v>1</v>
      </c>
      <c r="S14" s="9">
        <f>IF(R14=0,"-",IF(R14=1,SUM(R$1:R13)+1,SUM(R$1:R13)+1 &amp; "-" &amp; SUM(R$1:R14)))</f>
        <v>13</v>
      </c>
      <c r="T14" s="6" t="str">
        <f t="shared" si="3"/>
        <v>!import-table-item --Spells-Level-3 --Conjure Barrage --1</v>
      </c>
      <c r="U14" s="6" t="s">
        <v>733</v>
      </c>
      <c r="V14" s="6" t="s">
        <v>1503</v>
      </c>
      <c r="W14" s="6">
        <v>1</v>
      </c>
      <c r="X14" s="9">
        <f>IF(W14=0,"-",IF(W14=1,SUM(W$1:W13)+1,SUM(W$1:W13)+1 &amp; "-" &amp; SUM(W$1:W14)))</f>
        <v>13</v>
      </c>
      <c r="Y14" s="6" t="str">
        <f t="shared" si="4"/>
        <v>!import-table-item --Spells-Level-4 --Dimension Door --1</v>
      </c>
      <c r="Z14" s="6" t="s">
        <v>782</v>
      </c>
      <c r="AA14" s="6" t="s">
        <v>1503</v>
      </c>
      <c r="AB14" s="6">
        <v>1</v>
      </c>
      <c r="AC14" s="9">
        <f>IF(AB14=0,"-",IF(AB14=1,SUM(AB$1:AB13)+1,SUM(AB$1:AB13)+1 &amp; "-" &amp; SUM(AB$1:AB14)))</f>
        <v>13</v>
      </c>
      <c r="AD14" s="6" t="str">
        <f t="shared" si="5"/>
        <v>!import-table-item --Spells-Level-5 --Contact Other Plane --1</v>
      </c>
      <c r="AE14" s="6" t="s">
        <v>844</v>
      </c>
      <c r="AF14" s="6" t="s">
        <v>1503</v>
      </c>
      <c r="AG14" s="6">
        <v>1</v>
      </c>
      <c r="AH14" s="9">
        <f>IF(AG14=0,"-",IF(AG14=1,SUM(AG$1:AG13)+1,SUM(AG$1:AG13)+1 &amp; "-" &amp; SUM(AG$1:AG14)))</f>
        <v>13</v>
      </c>
      <c r="AI14" s="6" t="str">
        <f t="shared" si="9"/>
        <v>!import-table-item --Spells-Level-6 --Eyebite --1</v>
      </c>
      <c r="AJ14" s="6" t="s">
        <v>892</v>
      </c>
      <c r="AK14" s="6" t="s">
        <v>1503</v>
      </c>
      <c r="AL14" s="6">
        <v>1</v>
      </c>
      <c r="AM14" s="9">
        <f>IF(AL14=0,"-",IF(AL14=1,SUM(AL$1:AL13)+1,SUM(AL$1:AL13)+1 &amp; "-" &amp; SUM(AL$1:AL14)))</f>
        <v>13</v>
      </c>
      <c r="AN14" s="6" t="str">
        <f t="shared" si="6"/>
        <v>!import-table-item --Spells-Level-7 --Mordenkainen's Magnificent Mansion --1</v>
      </c>
      <c r="AO14" s="6" t="s">
        <v>920</v>
      </c>
      <c r="AP14" s="6" t="s">
        <v>1503</v>
      </c>
      <c r="AQ14" s="6">
        <v>1</v>
      </c>
      <c r="AR14" s="9">
        <f>IF(AQ14=0,"-",IF(AQ14=1,SUM(AQ$1:AQ13)+1,SUM(AQ$1:AQ13)+1 &amp; "-" &amp; SUM(AQ$1:AQ14)))</f>
        <v>13</v>
      </c>
      <c r="AS14" s="6" t="str">
        <f t="shared" si="7"/>
        <v>!import-table-item --Spells-Level-8 --Holy Aura --1</v>
      </c>
      <c r="AT14" s="6" t="s">
        <v>944</v>
      </c>
      <c r="AU14" s="6" t="s">
        <v>1493</v>
      </c>
      <c r="AV14" s="6">
        <v>1</v>
      </c>
      <c r="AW14" s="9">
        <f>IF(AV14=0,"-",IF(AV14=1,SUM(AV$1:AV13)+1,SUM(AV$1:AV13)+1 &amp; "-" &amp; SUM(AV$1:AV14)))</f>
        <v>13</v>
      </c>
      <c r="AX14" s="6" t="str">
        <f t="shared" si="8"/>
        <v>!import-table-item --Spells-Level-9 --Psychic Scream --1</v>
      </c>
    </row>
    <row r="15" spans="1:50" x14ac:dyDescent="0.25">
      <c r="A15" s="6" t="s">
        <v>537</v>
      </c>
      <c r="B15" s="6" t="s">
        <v>1503</v>
      </c>
      <c r="C15" s="6">
        <v>1</v>
      </c>
      <c r="D15" s="9">
        <f>IF(C15=0,"-",IF(C15=1,SUM(C$1:C14)+1,SUM(C$1:C14)+1 &amp; "-" &amp; SUM(C$1:C15)))</f>
        <v>14</v>
      </c>
      <c r="E15" s="6" t="str">
        <f t="shared" si="0"/>
        <v>!import-table-item --Spells-Cantrip --Guidance --1</v>
      </c>
      <c r="F15" s="6" t="s">
        <v>461</v>
      </c>
      <c r="G15" s="6" t="s">
        <v>1503</v>
      </c>
      <c r="H15" s="6">
        <v>1</v>
      </c>
      <c r="I15" s="9">
        <f>IF(H15=0,"-",IF(H15=1,SUM(H$1:H14)+1,SUM(H$1:H14)+1 &amp; "-" &amp; SUM(H$1:H15)))</f>
        <v>14</v>
      </c>
      <c r="J15" s="6" t="str">
        <f t="shared" si="1"/>
        <v>!import-table-item --Spells-Level-1 --Charm Person --1</v>
      </c>
      <c r="K15" s="6" t="s">
        <v>582</v>
      </c>
      <c r="L15" s="6" t="s">
        <v>1503</v>
      </c>
      <c r="M15" s="6">
        <v>1</v>
      </c>
      <c r="N15" s="9">
        <f>IF(M15=0,"-",IF(M15=1,SUM(M$1:M14)+1,SUM(M$1:M14)+1 &amp; "-" &amp; SUM(M$1:M15)))</f>
        <v>14</v>
      </c>
      <c r="O15" s="6" t="str">
        <f t="shared" si="2"/>
        <v>!import-table-item --Spells-Level-2 --Calm Emotions --1</v>
      </c>
      <c r="P15" s="6" t="s">
        <v>663</v>
      </c>
      <c r="Q15" s="6" t="s">
        <v>1503</v>
      </c>
      <c r="R15" s="6">
        <v>0</v>
      </c>
      <c r="S15" s="9" t="str">
        <f>IF(R15=0,"-",IF(R15=1,SUM(R$1:R14)+1,SUM(R$1:R14)+1 &amp; "-" &amp; SUM(R$1:R15)))</f>
        <v>-</v>
      </c>
      <c r="T15" s="6" t="str">
        <f t="shared" si="3"/>
        <v>!import-table-item --Spells-Level-3 --Counterspell --0</v>
      </c>
      <c r="U15" s="6" t="s">
        <v>454</v>
      </c>
      <c r="V15" s="6" t="s">
        <v>1503</v>
      </c>
      <c r="W15" s="6">
        <v>1</v>
      </c>
      <c r="X15" s="9">
        <f>IF(W15=0,"-",IF(W15=1,SUM(W$1:W14)+1,SUM(W$1:W14)+1 &amp; "-" &amp; SUM(W$1:W15)))</f>
        <v>14</v>
      </c>
      <c r="Y15" s="6" t="str">
        <f t="shared" si="4"/>
        <v>!import-table-item --Spells-Level-4 --Divination --1</v>
      </c>
      <c r="Z15" s="6" t="s">
        <v>783</v>
      </c>
      <c r="AA15" s="6" t="s">
        <v>1503</v>
      </c>
      <c r="AB15" s="6">
        <v>1</v>
      </c>
      <c r="AC15" s="9">
        <f>IF(AB15=0,"-",IF(AB15=1,SUM(AB$1:AB14)+1,SUM(AB$1:AB14)+1 &amp; "-" &amp; SUM(AB$1:AB15)))</f>
        <v>14</v>
      </c>
      <c r="AD15" s="6" t="str">
        <f t="shared" si="5"/>
        <v>!import-table-item --Spells-Level-5 --Contagion --1</v>
      </c>
      <c r="AE15" s="6" t="s">
        <v>845</v>
      </c>
      <c r="AF15" s="6" t="s">
        <v>1503</v>
      </c>
      <c r="AG15" s="6">
        <v>1</v>
      </c>
      <c r="AH15" s="9">
        <f>IF(AG15=0,"-",IF(AG15=1,SUM(AG$1:AG14)+1,SUM(AG$1:AG14)+1 &amp; "-" &amp; SUM(AG$1:AG15)))</f>
        <v>14</v>
      </c>
      <c r="AI15" s="6" t="str">
        <f t="shared" si="9"/>
        <v>!import-table-item --Spells-Level-6 --Find the Path --1</v>
      </c>
      <c r="AJ15" s="6" t="s">
        <v>893</v>
      </c>
      <c r="AK15" s="6" t="s">
        <v>1503</v>
      </c>
      <c r="AL15" s="6">
        <v>1</v>
      </c>
      <c r="AM15" s="9">
        <f>IF(AL15=0,"-",IF(AL15=1,SUM(AL$1:AL14)+1,SUM(AL$1:AL14)+1 &amp; "-" &amp; SUM(AL$1:AL15)))</f>
        <v>14</v>
      </c>
      <c r="AN15" s="6" t="str">
        <f t="shared" si="6"/>
        <v>!import-table-item --Spells-Level-7 --Mordenkainen's Sword --1</v>
      </c>
      <c r="AO15" s="6" t="s">
        <v>921</v>
      </c>
      <c r="AP15" s="6" t="s">
        <v>1493</v>
      </c>
      <c r="AQ15" s="6">
        <v>1</v>
      </c>
      <c r="AR15" s="9">
        <f>IF(AQ15=0,"-",IF(AQ15=1,SUM(AQ$1:AQ14)+1,SUM(AQ$1:AQ14)+1 &amp; "-" &amp; SUM(AQ$1:AQ15)))</f>
        <v>14</v>
      </c>
      <c r="AS15" s="6" t="str">
        <f t="shared" si="7"/>
        <v>!import-table-item --Spells-Level-8 --Illusory Dragon --1</v>
      </c>
      <c r="AT15" s="6" t="s">
        <v>945</v>
      </c>
      <c r="AU15" s="6" t="s">
        <v>1409</v>
      </c>
      <c r="AV15" s="6">
        <v>1</v>
      </c>
      <c r="AW15" s="9">
        <f>IF(AV15=0,"-",IF(AV15=1,SUM(AV$1:AV14)+1,SUM(AV$1:AV14)+1 &amp; "-" &amp; SUM(AV$1:AV15)))</f>
        <v>14</v>
      </c>
      <c r="AX15" s="6" t="str">
        <f t="shared" si="8"/>
        <v>!import-table-item --Spells-Level-9 --Ravenous Void --1</v>
      </c>
    </row>
    <row r="16" spans="1:50" x14ac:dyDescent="0.25">
      <c r="A16" s="6" t="s">
        <v>538</v>
      </c>
      <c r="B16" s="6" t="s">
        <v>1493</v>
      </c>
      <c r="C16" s="6">
        <v>1</v>
      </c>
      <c r="D16" s="9">
        <f>IF(C16=0,"-",IF(C16=1,SUM(C$1:C15)+1,SUM(C$1:C15)+1 &amp; "-" &amp; SUM(C$1:C16)))</f>
        <v>15</v>
      </c>
      <c r="E16" s="6" t="str">
        <f t="shared" si="0"/>
        <v>!import-table-item --Spells-Cantrip --Gust --1</v>
      </c>
      <c r="F16" s="6" t="s">
        <v>462</v>
      </c>
      <c r="G16" s="6" t="s">
        <v>1503</v>
      </c>
      <c r="H16" s="6">
        <v>1</v>
      </c>
      <c r="I16" s="9">
        <f>IF(H16=0,"-",IF(H16=1,SUM(H$1:H15)+1,SUM(H$1:H15)+1 &amp; "-" &amp; SUM(H$1:H16)))</f>
        <v>15</v>
      </c>
      <c r="J16" s="6" t="str">
        <f t="shared" si="1"/>
        <v>!import-table-item --Spells-Level-1 --Chromatic Orb --1</v>
      </c>
      <c r="K16" s="6" t="s">
        <v>583</v>
      </c>
      <c r="L16" s="6" t="s">
        <v>1503</v>
      </c>
      <c r="M16" s="6">
        <v>1</v>
      </c>
      <c r="N16" s="9">
        <f>IF(M16=0,"-",IF(M16=1,SUM(M$1:M15)+1,SUM(M$1:M15)+1 &amp; "-" &amp; SUM(M$1:M16)))</f>
        <v>15</v>
      </c>
      <c r="O16" s="6" t="str">
        <f t="shared" si="2"/>
        <v>!import-table-item --Spells-Level-2 --Cloud of Daggers --1</v>
      </c>
      <c r="P16" s="6" t="s">
        <v>664</v>
      </c>
      <c r="Q16" s="6" t="s">
        <v>1503</v>
      </c>
      <c r="R16" s="6">
        <v>1</v>
      </c>
      <c r="S16" s="9">
        <f>IF(R16=0,"-",IF(R16=1,SUM(R$1:R15)+1,SUM(R$1:R15)+1 &amp; "-" &amp; SUM(R$1:R16)))</f>
        <v>14</v>
      </c>
      <c r="T16" s="6" t="str">
        <f t="shared" si="3"/>
        <v>!import-table-item --Spells-Level-3 --Create Food and Water --1</v>
      </c>
      <c r="U16" s="6" t="s">
        <v>734</v>
      </c>
      <c r="V16" s="6" t="s">
        <v>1503</v>
      </c>
      <c r="W16" s="6">
        <v>1</v>
      </c>
      <c r="X16" s="9">
        <f>IF(W16=0,"-",IF(W16=1,SUM(W$1:W15)+1,SUM(W$1:W15)+1 &amp; "-" &amp; SUM(W$1:W16)))</f>
        <v>15</v>
      </c>
      <c r="Y16" s="6" t="str">
        <f t="shared" si="4"/>
        <v>!import-table-item --Spells-Level-4 --Dominate Beast --1</v>
      </c>
      <c r="Z16" s="6" t="s">
        <v>784</v>
      </c>
      <c r="AA16" s="6" t="s">
        <v>1493</v>
      </c>
      <c r="AB16" s="6">
        <v>1</v>
      </c>
      <c r="AC16" s="9">
        <f>IF(AB16=0,"-",IF(AB16=1,SUM(AB$1:AB15)+1,SUM(AB$1:AB15)+1 &amp; "-" &amp; SUM(AB$1:AB16)))</f>
        <v>15</v>
      </c>
      <c r="AD16" s="6" t="str">
        <f t="shared" si="5"/>
        <v>!import-table-item --Spells-Level-5 --Control Winds --1</v>
      </c>
      <c r="AE16" s="6" t="s">
        <v>846</v>
      </c>
      <c r="AF16" s="6" t="s">
        <v>1403</v>
      </c>
      <c r="AG16" s="6">
        <v>1</v>
      </c>
      <c r="AH16" s="9">
        <f>IF(AG16=0,"-",IF(AG16=1,SUM(AG$1:AG15)+1,SUM(AG$1:AG15)+1 &amp; "-" &amp; SUM(AG$1:AG16)))</f>
        <v>15</v>
      </c>
      <c r="AI16" s="6" t="str">
        <f t="shared" si="9"/>
        <v>!import-table-item --Spells-Level-6 --Fizban's Platinum Shield --1</v>
      </c>
      <c r="AJ16" s="6" t="s">
        <v>894</v>
      </c>
      <c r="AK16" s="6" t="s">
        <v>1503</v>
      </c>
      <c r="AL16" s="6">
        <v>1</v>
      </c>
      <c r="AM16" s="9">
        <f>IF(AL16=0,"-",IF(AL16=1,SUM(AL$1:AL15)+1,SUM(AL$1:AL15)+1 &amp; "-" &amp; SUM(AL$1:AL16)))</f>
        <v>15</v>
      </c>
      <c r="AN16" s="6" t="str">
        <f t="shared" si="6"/>
        <v>!import-table-item --Spells-Level-7 --Plane Shift --1</v>
      </c>
      <c r="AO16" s="6" t="s">
        <v>922</v>
      </c>
      <c r="AP16" s="6" t="s">
        <v>1503</v>
      </c>
      <c r="AQ16" s="6">
        <v>1</v>
      </c>
      <c r="AR16" s="9">
        <f>IF(AQ16=0,"-",IF(AQ16=1,SUM(AQ$1:AQ15)+1,SUM(AQ$1:AQ15)+1 &amp; "-" &amp; SUM(AQ$1:AQ16)))</f>
        <v>15</v>
      </c>
      <c r="AS16" s="6" t="str">
        <f t="shared" si="7"/>
        <v>!import-table-item --Spells-Level-8 --Incendiary Cloud --1</v>
      </c>
      <c r="AT16" s="6" t="s">
        <v>946</v>
      </c>
      <c r="AU16" s="6" t="s">
        <v>1503</v>
      </c>
      <c r="AV16" s="6">
        <v>1</v>
      </c>
      <c r="AW16" s="9">
        <f>IF(AV16=0,"-",IF(AV16=1,SUM(AV$1:AV15)+1,SUM(AV$1:AV15)+1 &amp; "-" &amp; SUM(AV$1:AV16)))</f>
        <v>15</v>
      </c>
      <c r="AX16" s="6" t="str">
        <f t="shared" si="8"/>
        <v>!import-table-item --Spells-Level-9 --Shapechange --1</v>
      </c>
    </row>
    <row r="17" spans="1:50" x14ac:dyDescent="0.25">
      <c r="A17" s="6" t="s">
        <v>539</v>
      </c>
      <c r="B17" s="6" t="s">
        <v>1493</v>
      </c>
      <c r="C17" s="6">
        <v>1</v>
      </c>
      <c r="D17" s="9">
        <f>IF(C17=0,"-",IF(C17=1,SUM(C$1:C16)+1,SUM(C$1:C16)+1 &amp; "-" &amp; SUM(C$1:C17)))</f>
        <v>16</v>
      </c>
      <c r="E17" s="6" t="str">
        <f t="shared" si="0"/>
        <v>!import-table-item --Spells-Cantrip --Infestation --1</v>
      </c>
      <c r="F17" s="6" t="s">
        <v>463</v>
      </c>
      <c r="G17" s="6" t="s">
        <v>1503</v>
      </c>
      <c r="H17" s="6">
        <v>1</v>
      </c>
      <c r="I17" s="9">
        <f>IF(H17=0,"-",IF(H17=1,SUM(H$1:H16)+1,SUM(H$1:H16)+1 &amp; "-" &amp; SUM(H$1:H17)))</f>
        <v>16</v>
      </c>
      <c r="J17" s="6" t="str">
        <f t="shared" si="1"/>
        <v>!import-table-item --Spells-Level-1 --Color Spray --1</v>
      </c>
      <c r="K17" s="6" t="s">
        <v>584</v>
      </c>
      <c r="L17" s="6" t="s">
        <v>1503</v>
      </c>
      <c r="M17" s="6">
        <v>1</v>
      </c>
      <c r="N17" s="9">
        <f>IF(M17=0,"-",IF(M17=1,SUM(M$1:M16)+1,SUM(M$1:M16)+1 &amp; "-" &amp; SUM(M$1:M17)))</f>
        <v>16</v>
      </c>
      <c r="O17" s="6" t="str">
        <f t="shared" si="2"/>
        <v>!import-table-item --Spells-Level-2 --Continual Flame --1</v>
      </c>
      <c r="P17" s="6" t="s">
        <v>665</v>
      </c>
      <c r="Q17" s="6" t="s">
        <v>1503</v>
      </c>
      <c r="R17" s="6">
        <v>1</v>
      </c>
      <c r="S17" s="9">
        <f>IF(R17=0,"-",IF(R17=1,SUM(R$1:R16)+1,SUM(R$1:R16)+1 &amp; "-" &amp; SUM(R$1:R17)))</f>
        <v>15</v>
      </c>
      <c r="T17" s="6" t="str">
        <f t="shared" si="3"/>
        <v>!import-table-item --Spells-Level-3 --Crusader's Mantle --1</v>
      </c>
      <c r="U17" s="6" t="s">
        <v>735</v>
      </c>
      <c r="V17" s="6" t="s">
        <v>1493</v>
      </c>
      <c r="W17" s="6">
        <v>1</v>
      </c>
      <c r="X17" s="9">
        <f>IF(W17=0,"-",IF(W17=1,SUM(W$1:W16)+1,SUM(W$1:W16)+1 &amp; "-" &amp; SUM(W$1:W17)))</f>
        <v>16</v>
      </c>
      <c r="Y17" s="6" t="str">
        <f t="shared" si="4"/>
        <v>!import-table-item --Spells-Level-4 --Elemental Bane --1</v>
      </c>
      <c r="Z17" s="6" t="s">
        <v>785</v>
      </c>
      <c r="AA17" s="6" t="s">
        <v>1503</v>
      </c>
      <c r="AB17" s="6">
        <v>1</v>
      </c>
      <c r="AC17" s="9">
        <f>IF(AB17=0,"-",IF(AB17=1,SUM(AB$1:AB16)+1,SUM(AB$1:AB16)+1 &amp; "-" &amp; SUM(AB$1:AB17)))</f>
        <v>16</v>
      </c>
      <c r="AD17" s="6" t="str">
        <f t="shared" si="5"/>
        <v>!import-table-item --Spells-Level-5 --Creation --1</v>
      </c>
      <c r="AE17" s="6" t="s">
        <v>847</v>
      </c>
      <c r="AF17" s="6" t="s">
        <v>1503</v>
      </c>
      <c r="AG17" s="6">
        <v>1</v>
      </c>
      <c r="AH17" s="9">
        <f>IF(AG17=0,"-",IF(AG17=1,SUM(AG$1:AG16)+1,SUM(AG$1:AG16)+1 &amp; "-" &amp; SUM(AG$1:AG17)))</f>
        <v>16</v>
      </c>
      <c r="AI17" s="6" t="str">
        <f t="shared" si="9"/>
        <v>!import-table-item --Spells-Level-6 --Flesh to Stone --1</v>
      </c>
      <c r="AJ17" s="6" t="s">
        <v>895</v>
      </c>
      <c r="AK17" s="6" t="s">
        <v>1493</v>
      </c>
      <c r="AL17" s="6">
        <v>1</v>
      </c>
      <c r="AM17" s="9">
        <f>IF(AL17=0,"-",IF(AL17=1,SUM(AL$1:AL16)+1,SUM(AL$1:AL16)+1 &amp; "-" &amp; SUM(AL$1:AL17)))</f>
        <v>16</v>
      </c>
      <c r="AN17" s="6" t="str">
        <f t="shared" si="6"/>
        <v>!import-table-item --Spells-Level-7 --Power Word Pain --1</v>
      </c>
      <c r="AO17" s="6" t="s">
        <v>923</v>
      </c>
      <c r="AP17" s="6" t="s">
        <v>1493</v>
      </c>
      <c r="AQ17" s="6">
        <v>1</v>
      </c>
      <c r="AR17" s="9">
        <f>IF(AQ17=0,"-",IF(AQ17=1,SUM(AQ$1:AQ16)+1,SUM(AQ$1:AQ16)+1 &amp; "-" &amp; SUM(AQ$1:AQ17)))</f>
        <v>16</v>
      </c>
      <c r="AS17" s="6" t="str">
        <f t="shared" si="7"/>
        <v>!import-table-item --Spells-Level-8 --Maddening Darkness --1</v>
      </c>
      <c r="AT17" s="6" t="s">
        <v>947</v>
      </c>
      <c r="AU17" s="6" t="s">
        <v>1503</v>
      </c>
      <c r="AV17" s="6">
        <v>1</v>
      </c>
      <c r="AW17" s="9">
        <f>IF(AV17=0,"-",IF(AV17=1,SUM(AV$1:AV16)+1,SUM(AV$1:AV16)+1 &amp; "-" &amp; SUM(AV$1:AV17)))</f>
        <v>16</v>
      </c>
      <c r="AX17" s="6" t="str">
        <f t="shared" si="8"/>
        <v>!import-table-item --Spells-Level-9 --Storm of Vengeance --1</v>
      </c>
    </row>
    <row r="18" spans="1:50" x14ac:dyDescent="0.25">
      <c r="A18" s="6" t="s">
        <v>540</v>
      </c>
      <c r="B18" s="6" t="s">
        <v>1503</v>
      </c>
      <c r="C18" s="6">
        <v>1</v>
      </c>
      <c r="D18" s="9">
        <f>IF(C18=0,"-",IF(C18=1,SUM(C$1:C17)+1,SUM(C$1:C17)+1 &amp; "-" &amp; SUM(C$1:C18)))</f>
        <v>17</v>
      </c>
      <c r="E18" s="6" t="str">
        <f t="shared" si="0"/>
        <v>!import-table-item --Spells-Cantrip --Light --1</v>
      </c>
      <c r="F18" s="6" t="s">
        <v>10</v>
      </c>
      <c r="G18" s="6" t="s">
        <v>1503</v>
      </c>
      <c r="H18" s="6">
        <v>1</v>
      </c>
      <c r="I18" s="9">
        <f>IF(H18=0,"-",IF(H18=1,SUM(H$1:H17)+1,SUM(H$1:H17)+1 &amp; "-" &amp; SUM(H$1:H18)))</f>
        <v>17</v>
      </c>
      <c r="J18" s="6" t="str">
        <f t="shared" si="1"/>
        <v>!import-table-item --Spells-Level-1 --Command --1</v>
      </c>
      <c r="K18" s="6" t="s">
        <v>585</v>
      </c>
      <c r="L18" s="6" t="s">
        <v>1503</v>
      </c>
      <c r="M18" s="6">
        <v>1</v>
      </c>
      <c r="N18" s="9">
        <f>IF(M18=0,"-",IF(M18=1,SUM(M$1:M17)+1,SUM(M$1:M17)+1 &amp; "-" &amp; SUM(M$1:M18)))</f>
        <v>17</v>
      </c>
      <c r="O18" s="6" t="str">
        <f t="shared" si="2"/>
        <v>!import-table-item --Spells-Level-2 --Cordon of Arrows --1</v>
      </c>
      <c r="P18" s="6" t="s">
        <v>666</v>
      </c>
      <c r="Q18" s="6" t="s">
        <v>1503</v>
      </c>
      <c r="R18" s="6">
        <v>1</v>
      </c>
      <c r="S18" s="9">
        <f>IF(R18=0,"-",IF(R18=1,SUM(R$1:R17)+1,SUM(R$1:R17)+1 &amp; "-" &amp; SUM(R$1:R18)))</f>
        <v>16</v>
      </c>
      <c r="T18" s="6" t="str">
        <f t="shared" si="3"/>
        <v>!import-table-item --Spells-Level-3 --Daylight --1</v>
      </c>
      <c r="U18" s="6" t="s">
        <v>736</v>
      </c>
      <c r="V18" s="6" t="s">
        <v>1503</v>
      </c>
      <c r="W18" s="6">
        <v>1</v>
      </c>
      <c r="X18" s="9">
        <f>IF(W18=0,"-",IF(W18=1,SUM(W$1:W17)+1,SUM(W$1:W17)+1 &amp; "-" &amp; SUM(W$1:W18)))</f>
        <v>17</v>
      </c>
      <c r="Y18" s="6" t="str">
        <f t="shared" si="4"/>
        <v>!import-table-item --Spells-Level-4 --Evard's Black Tentacles --1</v>
      </c>
      <c r="Z18" s="6" t="s">
        <v>786</v>
      </c>
      <c r="AA18" s="6" t="s">
        <v>1493</v>
      </c>
      <c r="AB18" s="6">
        <v>1</v>
      </c>
      <c r="AC18" s="9">
        <f>IF(AB18=0,"-",IF(AB18=1,SUM(AB$1:AB17)+1,SUM(AB$1:AB17)+1 &amp; "-" &amp; SUM(AB$1:AB18)))</f>
        <v>17</v>
      </c>
      <c r="AD18" s="6" t="str">
        <f t="shared" si="5"/>
        <v>!import-table-item --Spells-Level-5 --Danse Macabre --1</v>
      </c>
      <c r="AE18" s="6" t="s">
        <v>848</v>
      </c>
      <c r="AF18" s="6" t="s">
        <v>1503</v>
      </c>
      <c r="AG18" s="6">
        <v>1</v>
      </c>
      <c r="AH18" s="9">
        <f>IF(AG18=0,"-",IF(AG18=1,SUM(AG$1:AG17)+1,SUM(AG$1:AG17)+1 &amp; "-" &amp; SUM(AG$1:AG18)))</f>
        <v>17</v>
      </c>
      <c r="AI18" s="6" t="str">
        <f t="shared" si="9"/>
        <v>!import-table-item --Spells-Level-6 --Forbiddance --1</v>
      </c>
      <c r="AJ18" s="6" t="s">
        <v>896</v>
      </c>
      <c r="AK18" s="6" t="s">
        <v>1503</v>
      </c>
      <c r="AL18" s="6">
        <v>1</v>
      </c>
      <c r="AM18" s="9">
        <f>IF(AL18=0,"-",IF(AL18=1,SUM(AL$1:AL17)+1,SUM(AL$1:AL17)+1 &amp; "-" &amp; SUM(AL$1:AL18)))</f>
        <v>17</v>
      </c>
      <c r="AN18" s="6" t="str">
        <f t="shared" si="6"/>
        <v>!import-table-item --Spells-Level-7 --Prismatic Spray --1</v>
      </c>
      <c r="AO18" s="6" t="s">
        <v>924</v>
      </c>
      <c r="AP18" s="6" t="s">
        <v>1503</v>
      </c>
      <c r="AQ18" s="6">
        <v>1</v>
      </c>
      <c r="AR18" s="9">
        <f>IF(AQ18=0,"-",IF(AQ18=1,SUM(AQ$1:AQ17)+1,SUM(AQ$1:AQ17)+1 &amp; "-" &amp; SUM(AQ$1:AQ18)))</f>
        <v>17</v>
      </c>
      <c r="AS18" s="6" t="str">
        <f t="shared" si="7"/>
        <v>!import-table-item --Spells-Level-8 --Maze --1</v>
      </c>
      <c r="AT18" s="6" t="s">
        <v>948</v>
      </c>
      <c r="AU18" s="6" t="s">
        <v>1409</v>
      </c>
      <c r="AV18" s="6">
        <v>1</v>
      </c>
      <c r="AW18" s="9">
        <f>IF(AV18=0,"-",IF(AV18=1,SUM(AV$1:AV17)+1,SUM(AV$1:AV17)+1 &amp; "-" &amp; SUM(AV$1:AV18)))</f>
        <v>17</v>
      </c>
      <c r="AX18" s="6" t="str">
        <f t="shared" si="8"/>
        <v>!import-table-item --Spells-Level-9 --Time Ravage --1</v>
      </c>
    </row>
    <row r="19" spans="1:50" x14ac:dyDescent="0.25">
      <c r="A19" s="6" t="s">
        <v>541</v>
      </c>
      <c r="B19" s="6" t="s">
        <v>1402</v>
      </c>
      <c r="C19" s="6">
        <v>1</v>
      </c>
      <c r="D19" s="9">
        <f>IF(C19=0,"-",IF(C19=1,SUM(C$1:C18)+1,SUM(C$1:C18)+1 &amp; "-" &amp; SUM(C$1:C19)))</f>
        <v>18</v>
      </c>
      <c r="E19" s="6" t="str">
        <f t="shared" si="0"/>
        <v>!import-table-item --Spells-Cantrip --Lightning Lure --1</v>
      </c>
      <c r="F19" s="6" t="s">
        <v>464</v>
      </c>
      <c r="G19" s="6" t="s">
        <v>1503</v>
      </c>
      <c r="H19" s="6">
        <v>1</v>
      </c>
      <c r="I19" s="9">
        <f>IF(H19=0,"-",IF(H19=1,SUM(H$1:H18)+1,SUM(H$1:H18)+1 &amp; "-" &amp; SUM(H$1:H19)))</f>
        <v>18</v>
      </c>
      <c r="J19" s="6" t="str">
        <f t="shared" si="1"/>
        <v>!import-table-item --Spells-Level-1 --Compelled Duel --1</v>
      </c>
      <c r="K19" s="6" t="s">
        <v>586</v>
      </c>
      <c r="L19" s="6" t="s">
        <v>1503</v>
      </c>
      <c r="M19" s="6">
        <v>1</v>
      </c>
      <c r="N19" s="9">
        <f>IF(M19=0,"-",IF(M19=1,SUM(M$1:M18)+1,SUM(M$1:M18)+1 &amp; "-" &amp; SUM(M$1:M19)))</f>
        <v>18</v>
      </c>
      <c r="O19" s="6" t="str">
        <f t="shared" si="2"/>
        <v>!import-table-item --Spells-Level-2 --Crown of Madness --1</v>
      </c>
      <c r="P19" s="6" t="s">
        <v>667</v>
      </c>
      <c r="Q19" s="6" t="s">
        <v>1503</v>
      </c>
      <c r="R19" s="6">
        <v>1</v>
      </c>
      <c r="S19" s="9">
        <f>IF(R19=0,"-",IF(R19=1,SUM(R$1:R18)+1,SUM(R$1:R18)+1 &amp; "-" &amp; SUM(R$1:R19)))</f>
        <v>17</v>
      </c>
      <c r="T19" s="6" t="str">
        <f t="shared" si="3"/>
        <v>!import-table-item --Spells-Level-3 --Dispel Magic --1</v>
      </c>
      <c r="U19" s="6" t="s">
        <v>737</v>
      </c>
      <c r="V19" s="6" t="s">
        <v>1503</v>
      </c>
      <c r="W19" s="6">
        <v>1</v>
      </c>
      <c r="X19" s="9">
        <f>IF(W19=0,"-",IF(W19=1,SUM(W$1:W18)+1,SUM(W$1:W18)+1 &amp; "-" &amp; SUM(W$1:W19)))</f>
        <v>18</v>
      </c>
      <c r="Y19" s="6" t="str">
        <f t="shared" si="4"/>
        <v>!import-table-item --Spells-Level-4 --Fabricate --1</v>
      </c>
      <c r="Z19" s="6" t="s">
        <v>787</v>
      </c>
      <c r="AA19" s="6" t="s">
        <v>1493</v>
      </c>
      <c r="AB19" s="6">
        <v>1</v>
      </c>
      <c r="AC19" s="9">
        <f>IF(AB19=0,"-",IF(AB19=1,SUM(AB$1:AB18)+1,SUM(AB$1:AB18)+1 &amp; "-" &amp; SUM(AB$1:AB19)))</f>
        <v>18</v>
      </c>
      <c r="AD19" s="6" t="str">
        <f t="shared" si="5"/>
        <v>!import-table-item --Spells-Level-5 --Dawn --1</v>
      </c>
      <c r="AE19" s="6" t="s">
        <v>849</v>
      </c>
      <c r="AF19" s="6" t="s">
        <v>1503</v>
      </c>
      <c r="AG19" s="6">
        <v>1</v>
      </c>
      <c r="AH19" s="9">
        <f>IF(AG19=0,"-",IF(AG19=1,SUM(AG$1:AG18)+1,SUM(AG$1:AG18)+1 &amp; "-" &amp; SUM(AG$1:AG19)))</f>
        <v>18</v>
      </c>
      <c r="AI19" s="6" t="str">
        <f t="shared" si="9"/>
        <v>!import-table-item --Spells-Level-6 --Globe of Invulnerability --1</v>
      </c>
      <c r="AJ19" s="6" t="s">
        <v>897</v>
      </c>
      <c r="AK19" s="6" t="s">
        <v>1503</v>
      </c>
      <c r="AL19" s="6">
        <v>1</v>
      </c>
      <c r="AM19" s="9">
        <f>IF(AL19=0,"-",IF(AL19=1,SUM(AL$1:AL18)+1,SUM(AL$1:AL18)+1 &amp; "-" &amp; SUM(AL$1:AL19)))</f>
        <v>18</v>
      </c>
      <c r="AN19" s="6" t="str">
        <f t="shared" si="6"/>
        <v>!import-table-item --Spells-Level-7 --Project Image --1</v>
      </c>
      <c r="AO19" s="6" t="s">
        <v>925</v>
      </c>
      <c r="AP19" s="6" t="s">
        <v>1493</v>
      </c>
      <c r="AQ19" s="6">
        <v>1</v>
      </c>
      <c r="AR19" s="9">
        <f>IF(AQ19=0,"-",IF(AQ19=1,SUM(AQ$1:AQ18)+1,SUM(AQ$1:AQ18)+1 &amp; "-" &amp; SUM(AQ$1:AQ19)))</f>
        <v>18</v>
      </c>
      <c r="AS19" s="6" t="str">
        <f t="shared" si="7"/>
        <v>!import-table-item --Spells-Level-8 --Mighty Fortress --1</v>
      </c>
      <c r="AT19" s="6" t="s">
        <v>949</v>
      </c>
      <c r="AU19" s="6" t="s">
        <v>1503</v>
      </c>
      <c r="AV19" s="6">
        <v>1</v>
      </c>
      <c r="AW19" s="9">
        <f>IF(AV19=0,"-",IF(AV19=1,SUM(AV$1:AV18)+1,SUM(AV$1:AV18)+1 &amp; "-" &amp; SUM(AV$1:AV19)))</f>
        <v>18</v>
      </c>
      <c r="AX19" s="6" t="str">
        <f t="shared" si="8"/>
        <v>!import-table-item --Spells-Level-9 --Time Stop --1</v>
      </c>
    </row>
    <row r="20" spans="1:50" x14ac:dyDescent="0.25">
      <c r="A20" s="6" t="s">
        <v>542</v>
      </c>
      <c r="B20" s="6" t="s">
        <v>1503</v>
      </c>
      <c r="C20" s="6">
        <v>1</v>
      </c>
      <c r="D20" s="9">
        <f>IF(C20=0,"-",IF(C20=1,SUM(C$1:C19)+1,SUM(C$1:C19)+1 &amp; "-" &amp; SUM(C$1:C20)))</f>
        <v>19</v>
      </c>
      <c r="E20" s="6" t="str">
        <f t="shared" si="0"/>
        <v>!import-table-item --Spells-Cantrip --Mage Hand --1</v>
      </c>
      <c r="F20" s="6" t="s">
        <v>465</v>
      </c>
      <c r="G20" s="6" t="s">
        <v>1503</v>
      </c>
      <c r="H20" s="6">
        <v>1</v>
      </c>
      <c r="I20" s="9">
        <f>IF(H20=0,"-",IF(H20=1,SUM(H$1:H19)+1,SUM(H$1:H19)+1 &amp; "-" &amp; SUM(H$1:H20)))</f>
        <v>19</v>
      </c>
      <c r="J20" s="6" t="str">
        <f t="shared" si="1"/>
        <v>!import-table-item --Spells-Level-1 --Comprehend Languages --1</v>
      </c>
      <c r="K20" s="6" t="s">
        <v>587</v>
      </c>
      <c r="L20" s="6" t="s">
        <v>1503</v>
      </c>
      <c r="M20" s="6">
        <v>1</v>
      </c>
      <c r="N20" s="9">
        <f>IF(M20=0,"-",IF(M20=1,SUM(M$1:M19)+1,SUM(M$1:M19)+1 &amp; "-" &amp; SUM(M$1:M20)))</f>
        <v>19</v>
      </c>
      <c r="O20" s="6" t="str">
        <f t="shared" si="2"/>
        <v>!import-table-item --Spells-Level-2 --Darkness --1</v>
      </c>
      <c r="P20" s="6" t="s">
        <v>668</v>
      </c>
      <c r="Q20" s="6" t="s">
        <v>1503</v>
      </c>
      <c r="R20" s="6">
        <v>1</v>
      </c>
      <c r="S20" s="9">
        <f>IF(R20=0,"-",IF(R20=1,SUM(R$1:R19)+1,SUM(R$1:R19)+1 &amp; "-" &amp; SUM(R$1:R20)))</f>
        <v>18</v>
      </c>
      <c r="T20" s="6" t="str">
        <f t="shared" si="3"/>
        <v>!import-table-item --Spells-Level-3 --Elemental Weapon --1</v>
      </c>
      <c r="U20" s="6" t="s">
        <v>738</v>
      </c>
      <c r="V20" s="6" t="s">
        <v>1493</v>
      </c>
      <c r="W20" s="6">
        <v>1</v>
      </c>
      <c r="X20" s="9">
        <f>IF(W20=0,"-",IF(W20=1,SUM(W$1:W19)+1,SUM(W$1:W19)+1 &amp; "-" &amp; SUM(W$1:W20)))</f>
        <v>19</v>
      </c>
      <c r="Y20" s="6" t="str">
        <f t="shared" si="4"/>
        <v>!import-table-item --Spells-Level-4 --Find Greater Steed --1</v>
      </c>
      <c r="Z20" s="6" t="s">
        <v>788</v>
      </c>
      <c r="AA20" s="6" t="s">
        <v>1503</v>
      </c>
      <c r="AB20" s="6">
        <v>1</v>
      </c>
      <c r="AC20" s="9">
        <f>IF(AB20=0,"-",IF(AB20=1,SUM(AB$1:AB19)+1,SUM(AB$1:AB19)+1 &amp; "-" &amp; SUM(AB$1:AB20)))</f>
        <v>19</v>
      </c>
      <c r="AD20" s="6" t="str">
        <f t="shared" si="5"/>
        <v>!import-table-item --Spells-Level-5 --Destructive Wave --1</v>
      </c>
      <c r="AE20" s="6" t="s">
        <v>850</v>
      </c>
      <c r="AF20" s="6" t="s">
        <v>1409</v>
      </c>
      <c r="AG20" s="6">
        <v>1</v>
      </c>
      <c r="AH20" s="9">
        <f>IF(AG20=0,"-",IF(AG20=1,SUM(AG$1:AG19)+1,SUM(AG$1:AG19)+1 &amp; "-" &amp; SUM(AG$1:AG20)))</f>
        <v>19</v>
      </c>
      <c r="AI20" s="6" t="str">
        <f t="shared" si="9"/>
        <v>!import-table-item --Spells-Level-6 --Gravity Fissure --1</v>
      </c>
      <c r="AJ20" s="6" t="s">
        <v>898</v>
      </c>
      <c r="AK20" s="6" t="s">
        <v>1503</v>
      </c>
      <c r="AL20" s="6">
        <v>1</v>
      </c>
      <c r="AM20" s="9">
        <f>IF(AL20=0,"-",IF(AL20=1,SUM(AL$1:AL19)+1,SUM(AL$1:AL19)+1 &amp; "-" &amp; SUM(AL$1:AL20)))</f>
        <v>19</v>
      </c>
      <c r="AN20" s="6" t="str">
        <f t="shared" si="6"/>
        <v>!import-table-item --Spells-Level-7 --Regenerate --1</v>
      </c>
      <c r="AO20" s="6" t="s">
        <v>926</v>
      </c>
      <c r="AP20" s="6" t="s">
        <v>1503</v>
      </c>
      <c r="AQ20" s="6">
        <v>1</v>
      </c>
      <c r="AR20" s="9">
        <f>IF(AQ20=0,"-",IF(AQ20=1,SUM(AQ$1:AQ19)+1,SUM(AQ$1:AQ19)+1 &amp; "-" &amp; SUM(AQ$1:AQ20)))</f>
        <v>19</v>
      </c>
      <c r="AS20" s="6" t="str">
        <f t="shared" si="7"/>
        <v>!import-table-item --Spells-Level-8 --Mind Blank --1</v>
      </c>
      <c r="AT20" s="6" t="s">
        <v>950</v>
      </c>
      <c r="AU20" s="6" t="s">
        <v>1503</v>
      </c>
      <c r="AV20" s="6">
        <v>1</v>
      </c>
      <c r="AW20" s="9">
        <f>IF(AV20=0,"-",IF(AV20=1,SUM(AV$1:AV19)+1,SUM(AV$1:AV19)+1 &amp; "-" &amp; SUM(AV$1:AV20)))</f>
        <v>19</v>
      </c>
      <c r="AX20" s="6" t="str">
        <f t="shared" si="8"/>
        <v>!import-table-item --Spells-Level-9 --True Polymorph --1</v>
      </c>
    </row>
    <row r="21" spans="1:50" x14ac:dyDescent="0.25">
      <c r="A21" s="6" t="s">
        <v>543</v>
      </c>
      <c r="B21" s="6" t="s">
        <v>1493</v>
      </c>
      <c r="C21" s="6">
        <v>1</v>
      </c>
      <c r="D21" s="9">
        <f>IF(C21=0,"-",IF(C21=1,SUM(C$1:C20)+1,SUM(C$1:C20)+1 &amp; "-" &amp; SUM(C$1:C21)))</f>
        <v>20</v>
      </c>
      <c r="E21" s="6" t="str">
        <f t="shared" si="0"/>
        <v>!import-table-item --Spells-Cantrip --Magic Stone --1</v>
      </c>
      <c r="F21" s="6" t="s">
        <v>466</v>
      </c>
      <c r="G21" s="6" t="s">
        <v>1503</v>
      </c>
      <c r="H21" s="6">
        <v>1</v>
      </c>
      <c r="I21" s="9">
        <f>IF(H21=0,"-",IF(H21=1,SUM(H$1:H20)+1,SUM(H$1:H20)+1 &amp; "-" &amp; SUM(H$1:H21)))</f>
        <v>20</v>
      </c>
      <c r="J21" s="6" t="str">
        <f t="shared" si="1"/>
        <v>!import-table-item --Spells-Level-1 --Create or Destroy Water --1</v>
      </c>
      <c r="K21" s="6" t="s">
        <v>588</v>
      </c>
      <c r="L21" s="6" t="s">
        <v>1503</v>
      </c>
      <c r="M21" s="6">
        <v>1</v>
      </c>
      <c r="N21" s="9">
        <f>IF(M21=0,"-",IF(M21=1,SUM(M$1:M20)+1,SUM(M$1:M20)+1 &amp; "-" &amp; SUM(M$1:M21)))</f>
        <v>20</v>
      </c>
      <c r="O21" s="6" t="str">
        <f t="shared" si="2"/>
        <v>!import-table-item --Spells-Level-2 --Darkvision --1</v>
      </c>
      <c r="P21" s="6" t="s">
        <v>669</v>
      </c>
      <c r="Q21" s="6" t="s">
        <v>1493</v>
      </c>
      <c r="R21" s="6">
        <v>1</v>
      </c>
      <c r="S21" s="9">
        <f>IF(R21=0,"-",IF(R21=1,SUM(R$1:R20)+1,SUM(R$1:R20)+1 &amp; "-" &amp; SUM(R$1:R21)))</f>
        <v>19</v>
      </c>
      <c r="T21" s="6" t="str">
        <f t="shared" si="3"/>
        <v>!import-table-item --Spells-Level-3 --Enemies Abound --1</v>
      </c>
      <c r="U21" s="6" t="s">
        <v>739</v>
      </c>
      <c r="V21" s="6" t="s">
        <v>1503</v>
      </c>
      <c r="W21" s="6">
        <v>1</v>
      </c>
      <c r="X21" s="9">
        <f>IF(W21=0,"-",IF(W21=1,SUM(W$1:W20)+1,SUM(W$1:W20)+1 &amp; "-" &amp; SUM(W$1:W21)))</f>
        <v>20</v>
      </c>
      <c r="Y21" s="6" t="str">
        <f t="shared" si="4"/>
        <v>!import-table-item --Spells-Level-4 --Fire Shield --1</v>
      </c>
      <c r="Z21" s="6" t="s">
        <v>789</v>
      </c>
      <c r="AA21" s="6" t="s">
        <v>1503</v>
      </c>
      <c r="AB21" s="6">
        <v>1</v>
      </c>
      <c r="AC21" s="9">
        <f>IF(AB21=0,"-",IF(AB21=1,SUM(AB$1:AB20)+1,SUM(AB$1:AB20)+1 &amp; "-" &amp; SUM(AB$1:AB21)))</f>
        <v>20</v>
      </c>
      <c r="AD21" s="6" t="str">
        <f t="shared" si="5"/>
        <v>!import-table-item --Spells-Level-5 --Dispel Evil and Good --1</v>
      </c>
      <c r="AE21" s="6" t="s">
        <v>851</v>
      </c>
      <c r="AF21" s="6" t="s">
        <v>1503</v>
      </c>
      <c r="AG21" s="6">
        <v>1</v>
      </c>
      <c r="AH21" s="9">
        <f>IF(AG21=0,"-",IF(AG21=1,SUM(AG$1:AG20)+1,SUM(AG$1:AG20)+1 &amp; "-" &amp; SUM(AG$1:AG21)))</f>
        <v>20</v>
      </c>
      <c r="AI21" s="6" t="str">
        <f t="shared" si="9"/>
        <v>!import-table-item --Spells-Level-6 --Guards and Wards --1</v>
      </c>
      <c r="AJ21" s="6" t="s">
        <v>899</v>
      </c>
      <c r="AK21" s="6" t="s">
        <v>1503</v>
      </c>
      <c r="AL21" s="6">
        <v>1</v>
      </c>
      <c r="AM21" s="9">
        <f>IF(AL21=0,"-",IF(AL21=1,SUM(AL$1:AL20)+1,SUM(AL$1:AL20)+1 &amp; "-" &amp; SUM(AL$1:AL21)))</f>
        <v>20</v>
      </c>
      <c r="AN21" s="6" t="str">
        <f t="shared" si="6"/>
        <v>!import-table-item --Spells-Level-7 --Resurrection --1</v>
      </c>
      <c r="AO21" s="6" t="s">
        <v>927</v>
      </c>
      <c r="AP21" s="6" t="s">
        <v>1503</v>
      </c>
      <c r="AQ21" s="6">
        <v>1</v>
      </c>
      <c r="AR21" s="9">
        <f>IF(AQ21=0,"-",IF(AQ21=1,SUM(AQ$1:AQ20)+1,SUM(AQ$1:AQ20)+1 &amp; "-" &amp; SUM(AQ$1:AQ21)))</f>
        <v>20</v>
      </c>
      <c r="AS21" s="6" t="str">
        <f t="shared" si="7"/>
        <v>!import-table-item --Spells-Level-8 --Power Word Stun --1</v>
      </c>
      <c r="AT21" s="6" t="s">
        <v>951</v>
      </c>
      <c r="AU21" s="6" t="s">
        <v>1503</v>
      </c>
      <c r="AV21" s="6">
        <v>1</v>
      </c>
      <c r="AW21" s="9">
        <f>IF(AV21=0,"-",IF(AV21=1,SUM(AV$1:AV20)+1,SUM(AV$1:AV20)+1 &amp; "-" &amp; SUM(AV$1:AV21)))</f>
        <v>20</v>
      </c>
      <c r="AX21" s="6" t="str">
        <f t="shared" si="8"/>
        <v>!import-table-item --Spells-Level-9 --True Resurrection --1</v>
      </c>
    </row>
    <row r="22" spans="1:50" x14ac:dyDescent="0.25">
      <c r="A22" s="6" t="s">
        <v>544</v>
      </c>
      <c r="B22" s="6" t="s">
        <v>1503</v>
      </c>
      <c r="C22" s="6">
        <v>1</v>
      </c>
      <c r="D22" s="9">
        <f>IF(C22=0,"-",IF(C22=1,SUM(C$1:C21)+1,SUM(C$1:C21)+1 &amp; "-" &amp; SUM(C$1:C22)))</f>
        <v>21</v>
      </c>
      <c r="E22" s="6" t="str">
        <f t="shared" si="0"/>
        <v>!import-table-item --Spells-Cantrip --Mending --1</v>
      </c>
      <c r="F22" s="6" t="s">
        <v>467</v>
      </c>
      <c r="G22" s="6" t="s">
        <v>1503</v>
      </c>
      <c r="H22" s="6">
        <v>1</v>
      </c>
      <c r="I22" s="9">
        <f>IF(H22=0,"-",IF(H22=1,SUM(H$1:H21)+1,SUM(H$1:H21)+1 &amp; "-" &amp; SUM(H$1:H22)))</f>
        <v>21</v>
      </c>
      <c r="J22" s="6" t="str">
        <f t="shared" si="1"/>
        <v>!import-table-item --Spells-Level-1 --Cure Wounds --1</v>
      </c>
      <c r="K22" s="6" t="s">
        <v>589</v>
      </c>
      <c r="L22" s="6" t="s">
        <v>1503</v>
      </c>
      <c r="M22" s="6">
        <v>1</v>
      </c>
      <c r="N22" s="9">
        <f>IF(M22=0,"-",IF(M22=1,SUM(M$1:M21)+1,SUM(M$1:M21)+1 &amp; "-" &amp; SUM(M$1:M22)))</f>
        <v>21</v>
      </c>
      <c r="O22" s="6" t="str">
        <f t="shared" si="2"/>
        <v>!import-table-item --Spells-Level-2 --Detect Thoughts --1</v>
      </c>
      <c r="P22" s="6" t="s">
        <v>670</v>
      </c>
      <c r="Q22" s="6" t="s">
        <v>1493</v>
      </c>
      <c r="R22" s="6">
        <v>1</v>
      </c>
      <c r="S22" s="9">
        <f>IF(R22=0,"-",IF(R22=1,SUM(R$1:R21)+1,SUM(R$1:R21)+1 &amp; "-" &amp; SUM(R$1:R22)))</f>
        <v>20</v>
      </c>
      <c r="T22" s="6" t="str">
        <f t="shared" si="3"/>
        <v>!import-table-item --Spells-Level-3 --Erupting Earth --1</v>
      </c>
      <c r="U22" s="6" t="s">
        <v>740</v>
      </c>
      <c r="V22" s="6" t="s">
        <v>1503</v>
      </c>
      <c r="W22" s="6">
        <v>1</v>
      </c>
      <c r="X22" s="9">
        <f>IF(W22=0,"-",IF(W22=1,SUM(W$1:W21)+1,SUM(W$1:W21)+1 &amp; "-" &amp; SUM(W$1:W22)))</f>
        <v>21</v>
      </c>
      <c r="Y22" s="6" t="str">
        <f t="shared" si="4"/>
        <v>!import-table-item --Spells-Level-4 --Freedom of Movement --1</v>
      </c>
      <c r="Z22" s="6" t="s">
        <v>790</v>
      </c>
      <c r="AA22" s="6" t="s">
        <v>1503</v>
      </c>
      <c r="AB22" s="6">
        <v>1</v>
      </c>
      <c r="AC22" s="9">
        <f>IF(AB22=0,"-",IF(AB22=1,SUM(AB$1:AB21)+1,SUM(AB$1:AB21)+1 &amp; "-" &amp; SUM(AB$1:AB22)))</f>
        <v>21</v>
      </c>
      <c r="AD22" s="6" t="str">
        <f t="shared" si="5"/>
        <v>!import-table-item --Spells-Level-5 --Dominate Person --1</v>
      </c>
      <c r="AE22" s="6" t="s">
        <v>852</v>
      </c>
      <c r="AF22" s="6" t="s">
        <v>1503</v>
      </c>
      <c r="AG22" s="6">
        <v>1</v>
      </c>
      <c r="AH22" s="9">
        <f>IF(AG22=0,"-",IF(AG22=1,SUM(AG$1:AG21)+1,SUM(AG$1:AG21)+1 &amp; "-" &amp; SUM(AG$1:AG22)))</f>
        <v>21</v>
      </c>
      <c r="AI22" s="6" t="str">
        <f t="shared" si="9"/>
        <v>!import-table-item --Spells-Level-6 --Harm --1</v>
      </c>
      <c r="AJ22" s="6" t="s">
        <v>900</v>
      </c>
      <c r="AK22" s="6" t="s">
        <v>1503</v>
      </c>
      <c r="AL22" s="6">
        <v>1</v>
      </c>
      <c r="AM22" s="9">
        <f>IF(AL22=0,"-",IF(AL22=1,SUM(AL$1:AL21)+1,SUM(AL$1:AL21)+1 &amp; "-" &amp; SUM(AL$1:AL22)))</f>
        <v>21</v>
      </c>
      <c r="AN22" s="6" t="str">
        <f t="shared" si="6"/>
        <v>!import-table-item --Spells-Level-7 --Reverse Gravity --1</v>
      </c>
      <c r="AO22" s="6" t="s">
        <v>928</v>
      </c>
      <c r="AP22" s="6" t="s">
        <v>1409</v>
      </c>
      <c r="AQ22" s="6">
        <v>1</v>
      </c>
      <c r="AR22" s="9">
        <f>IF(AQ22=0,"-",IF(AQ22=1,SUM(AQ$1:AQ21)+1,SUM(AQ$1:AQ21)+1 &amp; "-" &amp; SUM(AQ$1:AQ22)))</f>
        <v>21</v>
      </c>
      <c r="AS22" s="6" t="str">
        <f t="shared" si="7"/>
        <v>!import-table-item --Spells-Level-8 --Reality Break --1</v>
      </c>
      <c r="AT22" s="6" t="s">
        <v>952</v>
      </c>
      <c r="AU22" s="6" t="s">
        <v>1503</v>
      </c>
      <c r="AV22" s="6">
        <v>1</v>
      </c>
      <c r="AW22" s="9">
        <f>IF(AV22=0,"-",IF(AV22=1,SUM(AV$1:AV21)+1,SUM(AV$1:AV21)+1 &amp; "-" &amp; SUM(AV$1:AV22)))</f>
        <v>21</v>
      </c>
      <c r="AX22" s="6" t="str">
        <f t="shared" si="8"/>
        <v>!import-table-item --Spells-Level-9 --Weird --1</v>
      </c>
    </row>
    <row r="23" spans="1:50" x14ac:dyDescent="0.25">
      <c r="A23" s="6" t="s">
        <v>545</v>
      </c>
      <c r="B23" s="6" t="s">
        <v>1503</v>
      </c>
      <c r="C23" s="6">
        <v>1</v>
      </c>
      <c r="D23" s="9">
        <f>IF(C23=0,"-",IF(C23=1,SUM(C$1:C22)+1,SUM(C$1:C22)+1 &amp; "-" &amp; SUM(C$1:C23)))</f>
        <v>22</v>
      </c>
      <c r="E23" s="6" t="str">
        <f t="shared" si="0"/>
        <v>!import-table-item --Spells-Cantrip --Message --1</v>
      </c>
      <c r="F23" s="6" t="s">
        <v>468</v>
      </c>
      <c r="G23" s="6" t="s">
        <v>1503</v>
      </c>
      <c r="H23" s="6">
        <v>1</v>
      </c>
      <c r="I23" s="9">
        <f>IF(H23=0,"-",IF(H23=1,SUM(H$1:H22)+1,SUM(H$1:H22)+1 &amp; "-" &amp; SUM(H$1:H23)))</f>
        <v>22</v>
      </c>
      <c r="J23" s="6" t="str">
        <f t="shared" si="1"/>
        <v>!import-table-item --Spells-Level-1 --Detect Evil and Good --1</v>
      </c>
      <c r="K23" s="6" t="s">
        <v>590</v>
      </c>
      <c r="L23" s="6" t="s">
        <v>1493</v>
      </c>
      <c r="M23" s="6">
        <v>1</v>
      </c>
      <c r="N23" s="9">
        <f>IF(M23=0,"-",IF(M23=1,SUM(M$1:M22)+1,SUM(M$1:M22)+1 &amp; "-" &amp; SUM(M$1:M23)))</f>
        <v>22</v>
      </c>
      <c r="O23" s="6" t="str">
        <f t="shared" si="2"/>
        <v>!import-table-item --Spells-Level-2 --Dragon's Breath --1</v>
      </c>
      <c r="P23" s="6" t="s">
        <v>671</v>
      </c>
      <c r="Q23" s="6" t="s">
        <v>1503</v>
      </c>
      <c r="R23" s="6">
        <v>1</v>
      </c>
      <c r="S23" s="9">
        <f>IF(R23=0,"-",IF(R23=1,SUM(R$1:R22)+1,SUM(R$1:R22)+1 &amp; "-" &amp; SUM(R$1:R23)))</f>
        <v>21</v>
      </c>
      <c r="T23" s="6" t="str">
        <f t="shared" si="3"/>
        <v>!import-table-item --Spells-Level-3 --Fear --1</v>
      </c>
      <c r="U23" s="6" t="s">
        <v>741</v>
      </c>
      <c r="V23" s="6" t="s">
        <v>1503</v>
      </c>
      <c r="W23" s="6">
        <v>1</v>
      </c>
      <c r="X23" s="9">
        <f>IF(W23=0,"-",IF(W23=1,SUM(W$1:W22)+1,SUM(W$1:W22)+1 &amp; "-" &amp; SUM(W$1:W23)))</f>
        <v>22</v>
      </c>
      <c r="Y23" s="6" t="str">
        <f t="shared" si="4"/>
        <v>!import-table-item --Spells-Level-4 --Giant Insect --1</v>
      </c>
      <c r="Z23" s="6" t="s">
        <v>791</v>
      </c>
      <c r="AA23" s="6" t="s">
        <v>1503</v>
      </c>
      <c r="AB23" s="6">
        <v>1</v>
      </c>
      <c r="AC23" s="9">
        <f>IF(AB23=0,"-",IF(AB23=1,SUM(AB$1:AB22)+1,SUM(AB$1:AB22)+1 &amp; "-" &amp; SUM(AB$1:AB23)))</f>
        <v>22</v>
      </c>
      <c r="AD23" s="6" t="str">
        <f t="shared" si="5"/>
        <v>!import-table-item --Spells-Level-5 --Dream --1</v>
      </c>
      <c r="AE23" s="6" t="s">
        <v>853</v>
      </c>
      <c r="AF23" s="6" t="s">
        <v>1503</v>
      </c>
      <c r="AG23" s="6">
        <v>1</v>
      </c>
      <c r="AH23" s="9">
        <f>IF(AG23=0,"-",IF(AG23=1,SUM(AG$1:AG22)+1,SUM(AG$1:AG22)+1 &amp; "-" &amp; SUM(AG$1:AG23)))</f>
        <v>22</v>
      </c>
      <c r="AI23" s="6" t="str">
        <f t="shared" si="9"/>
        <v>!import-table-item --Spells-Level-6 --Heal --1</v>
      </c>
      <c r="AJ23" s="6" t="s">
        <v>901</v>
      </c>
      <c r="AK23" s="6" t="s">
        <v>1503</v>
      </c>
      <c r="AL23" s="6">
        <v>1</v>
      </c>
      <c r="AM23" s="9">
        <f>IF(AL23=0,"-",IF(AL23=1,SUM(AL$1:AL22)+1,SUM(AL$1:AL22)+1 &amp; "-" &amp; SUM(AL$1:AL23)))</f>
        <v>22</v>
      </c>
      <c r="AN23" s="6" t="str">
        <f t="shared" si="6"/>
        <v>!import-table-item --Spells-Level-7 --Sequester --1</v>
      </c>
      <c r="AO23" s="6" t="s">
        <v>929</v>
      </c>
      <c r="AP23" s="6" t="s">
        <v>1503</v>
      </c>
      <c r="AQ23" s="6">
        <v>1</v>
      </c>
      <c r="AR23" s="9">
        <f>IF(AQ23=0,"-",IF(AQ23=1,SUM(AQ$1:AQ22)+1,SUM(AQ$1:AQ22)+1 &amp; "-" &amp; SUM(AQ$1:AQ23)))</f>
        <v>22</v>
      </c>
      <c r="AS23" s="6" t="str">
        <f t="shared" si="7"/>
        <v>!import-table-item --Spells-Level-8 --Sunburst --1</v>
      </c>
      <c r="AT23" s="6" t="s">
        <v>953</v>
      </c>
      <c r="AU23" s="6" t="s">
        <v>1503</v>
      </c>
      <c r="AV23" s="6">
        <v>1</v>
      </c>
      <c r="AW23" s="9">
        <f>IF(AV23=0,"-",IF(AV23=1,SUM(AV$1:AV22)+1,SUM(AV$1:AV22)+1 &amp; "-" &amp; SUM(AV$1:AV23)))</f>
        <v>22</v>
      </c>
      <c r="AX23" s="6" t="str">
        <f t="shared" ref="AX23" si="10">"!import-table-item --" &amp; AT$1 &amp; " --" &amp; AT23 &amp; " --" &amp; AV23</f>
        <v>!import-table-item --Spells-Level-9 --Wish --1</v>
      </c>
    </row>
    <row r="24" spans="1:50" x14ac:dyDescent="0.25">
      <c r="A24" s="6" t="s">
        <v>546</v>
      </c>
      <c r="B24" s="6" t="s">
        <v>1402</v>
      </c>
      <c r="C24" s="6">
        <v>1</v>
      </c>
      <c r="D24" s="9">
        <f>IF(C24=0,"-",IF(C24=1,SUM(C$1:C23)+1,SUM(C$1:C23)+1 &amp; "-" &amp; SUM(C$1:C24)))</f>
        <v>23</v>
      </c>
      <c r="E24" s="6" t="str">
        <f t="shared" si="0"/>
        <v>!import-table-item --Spells-Cantrip --Mind Sliver --1</v>
      </c>
      <c r="F24" s="6" t="s">
        <v>469</v>
      </c>
      <c r="G24" s="6" t="s">
        <v>1503</v>
      </c>
      <c r="H24" s="6">
        <v>1</v>
      </c>
      <c r="I24" s="9">
        <f>IF(H24=0,"-",IF(H24=1,SUM(H$1:H23)+1,SUM(H$1:H23)+1 &amp; "-" &amp; SUM(H$1:H24)))</f>
        <v>23</v>
      </c>
      <c r="J24" s="6" t="str">
        <f t="shared" si="1"/>
        <v>!import-table-item --Spells-Level-1 --Detect Magic --1</v>
      </c>
      <c r="K24" s="6" t="s">
        <v>591</v>
      </c>
      <c r="L24" s="6" t="s">
        <v>1493</v>
      </c>
      <c r="M24" s="6">
        <v>1</v>
      </c>
      <c r="N24" s="9">
        <f>IF(M24=0,"-",IF(M24=1,SUM(M$1:M23)+1,SUM(M$1:M23)+1 &amp; "-" &amp; SUM(M$1:M24)))</f>
        <v>23</v>
      </c>
      <c r="O24" s="6" t="str">
        <f t="shared" si="2"/>
        <v>!import-table-item --Spells-Level-2 --Dust Devil --1</v>
      </c>
      <c r="P24" s="6" t="s">
        <v>672</v>
      </c>
      <c r="Q24" s="6" t="s">
        <v>1503</v>
      </c>
      <c r="R24" s="6">
        <v>1</v>
      </c>
      <c r="S24" s="9">
        <f>IF(R24=0,"-",IF(R24=1,SUM(R$1:R23)+1,SUM(R$1:R23)+1 &amp; "-" &amp; SUM(R$1:R24)))</f>
        <v>22</v>
      </c>
      <c r="T24" s="6" t="str">
        <f t="shared" si="3"/>
        <v>!import-table-item --Spells-Level-3 --Feign Death --1</v>
      </c>
      <c r="U24" s="6" t="s">
        <v>742</v>
      </c>
      <c r="V24" s="6" t="s">
        <v>1503</v>
      </c>
      <c r="W24" s="6">
        <v>1</v>
      </c>
      <c r="X24" s="9">
        <f>IF(W24=0,"-",IF(W24=1,SUM(W$1:W23)+1,SUM(W$1:W23)+1 &amp; "-" &amp; SUM(W$1:W24)))</f>
        <v>23</v>
      </c>
      <c r="Y24" s="6" t="str">
        <f t="shared" si="4"/>
        <v>!import-table-item --Spells-Level-4 --Grasping Vine --1</v>
      </c>
      <c r="Z24" s="6" t="s">
        <v>792</v>
      </c>
      <c r="AA24" s="6" t="s">
        <v>1493</v>
      </c>
      <c r="AB24" s="6">
        <v>1</v>
      </c>
      <c r="AC24" s="9">
        <f>IF(AB24=0,"-",IF(AB24=1,SUM(AB$1:AB23)+1,SUM(AB$1:AB23)+1 &amp; "-" &amp; SUM(AB$1:AB24)))</f>
        <v>23</v>
      </c>
      <c r="AD24" s="6" t="str">
        <f t="shared" si="5"/>
        <v>!import-table-item --Spells-Level-5 --Enervation --1</v>
      </c>
      <c r="AE24" s="6" t="s">
        <v>854</v>
      </c>
      <c r="AF24" s="6" t="s">
        <v>1503</v>
      </c>
      <c r="AG24" s="6">
        <v>1</v>
      </c>
      <c r="AH24" s="9">
        <f>IF(AG24=0,"-",IF(AG24=1,SUM(AG$1:AG23)+1,SUM(AG$1:AG23)+1 &amp; "-" &amp; SUM(AG$1:AG24)))</f>
        <v>23</v>
      </c>
      <c r="AI24" s="6" t="str">
        <f t="shared" si="9"/>
        <v>!import-table-item --Spells-Level-6 --Heroes' Feast --1</v>
      </c>
      <c r="AJ24" s="6" t="s">
        <v>902</v>
      </c>
      <c r="AK24" s="6" t="s">
        <v>1503</v>
      </c>
      <c r="AL24" s="6">
        <v>1</v>
      </c>
      <c r="AM24" s="9">
        <f>IF(AL24=0,"-",IF(AL24=1,SUM(AL$1:AL23)+1,SUM(AL$1:AL23)+1 &amp; "-" &amp; SUM(AL$1:AL24)))</f>
        <v>23</v>
      </c>
      <c r="AN24" s="6" t="str">
        <f t="shared" si="6"/>
        <v>!import-table-item --Spells-Level-7 --Simulacrum --1</v>
      </c>
      <c r="AO24" s="6" t="s">
        <v>930</v>
      </c>
      <c r="AP24" s="6" t="s">
        <v>1503</v>
      </c>
      <c r="AQ24" s="6">
        <v>1</v>
      </c>
      <c r="AR24" s="9">
        <f>IF(AQ24=0,"-",IF(AQ24=1,SUM(AQ$1:AQ23)+1,SUM(AQ$1:AQ23)+1 &amp; "-" &amp; SUM(AQ$1:AQ24)))</f>
        <v>23</v>
      </c>
      <c r="AS24" s="6" t="str">
        <f t="shared" si="7"/>
        <v>!import-table-item --Spells-Level-8 --Telepathy --1</v>
      </c>
      <c r="AT24" s="6"/>
      <c r="AU24" s="6"/>
      <c r="AV24" s="6"/>
      <c r="AW24" s="9"/>
      <c r="AX24" s="6"/>
    </row>
    <row r="25" spans="1:50" x14ac:dyDescent="0.25">
      <c r="A25" s="6" t="s">
        <v>547</v>
      </c>
      <c r="B25" s="6" t="s">
        <v>1503</v>
      </c>
      <c r="C25" s="6">
        <v>1</v>
      </c>
      <c r="D25" s="9">
        <f>IF(C25=0,"-",IF(C25=1,SUM(C$1:C24)+1,SUM(C$1:C24)+1 &amp; "-" &amp; SUM(C$1:C25)))</f>
        <v>24</v>
      </c>
      <c r="E25" s="6" t="str">
        <f t="shared" si="0"/>
        <v>!import-table-item --Spells-Cantrip --Minor Illusion --1</v>
      </c>
      <c r="F25" s="6" t="s">
        <v>470</v>
      </c>
      <c r="G25" s="6" t="s">
        <v>1503</v>
      </c>
      <c r="H25" s="6">
        <v>1</v>
      </c>
      <c r="I25" s="9">
        <f>IF(H25=0,"-",IF(H25=1,SUM(H$1:H24)+1,SUM(H$1:H24)+1 &amp; "-" &amp; SUM(H$1:H25)))</f>
        <v>24</v>
      </c>
      <c r="J25" s="6" t="str">
        <f t="shared" si="1"/>
        <v>!import-table-item --Spells-Level-1 --Detect Poison and Disease --1</v>
      </c>
      <c r="K25" s="6" t="s">
        <v>592</v>
      </c>
      <c r="L25" s="6" t="s">
        <v>1493</v>
      </c>
      <c r="M25" s="6">
        <v>1</v>
      </c>
      <c r="N25" s="9">
        <f>IF(M25=0,"-",IF(M25=1,SUM(M$1:M24)+1,SUM(M$1:M24)+1 &amp; "-" &amp; SUM(M$1:M25)))</f>
        <v>24</v>
      </c>
      <c r="O25" s="6" t="str">
        <f t="shared" si="2"/>
        <v>!import-table-item --Spells-Level-2 --Earthbind --1</v>
      </c>
      <c r="P25" s="6" t="s">
        <v>673</v>
      </c>
      <c r="Q25" s="6" t="s">
        <v>1503</v>
      </c>
      <c r="R25" s="6">
        <v>1</v>
      </c>
      <c r="S25" s="9">
        <f>IF(R25=0,"-",IF(R25=1,SUM(R$1:R24)+1,SUM(R$1:R24)+1 &amp; "-" &amp; SUM(R$1:R25)))</f>
        <v>23</v>
      </c>
      <c r="T25" s="6" t="str">
        <f t="shared" si="3"/>
        <v>!import-table-item --Spells-Level-3 --Fireball --1</v>
      </c>
      <c r="U25" s="6" t="s">
        <v>743</v>
      </c>
      <c r="V25" s="6" t="s">
        <v>1409</v>
      </c>
      <c r="W25" s="6">
        <v>1</v>
      </c>
      <c r="X25" s="9">
        <f>IF(W25=0,"-",IF(W25=1,SUM(W$1:W24)+1,SUM(W$1:W24)+1 &amp; "-" &amp; SUM(W$1:W25)))</f>
        <v>24</v>
      </c>
      <c r="Y25" s="6" t="str">
        <f t="shared" si="4"/>
        <v>!import-table-item --Spells-Level-4 --Gravity Sinkhole --1</v>
      </c>
      <c r="Z25" s="6" t="s">
        <v>793</v>
      </c>
      <c r="AA25" s="6" t="s">
        <v>1493</v>
      </c>
      <c r="AB25" s="6">
        <v>1</v>
      </c>
      <c r="AC25" s="9">
        <f>IF(AB25=0,"-",IF(AB25=1,SUM(AB$1:AB24)+1,SUM(AB$1:AB24)+1 &amp; "-" &amp; SUM(AB$1:AB25)))</f>
        <v>24</v>
      </c>
      <c r="AD25" s="6" t="str">
        <f t="shared" si="5"/>
        <v>!import-table-item --Spells-Level-5 --Far Step --1</v>
      </c>
      <c r="AE25" s="6" t="s">
        <v>855</v>
      </c>
      <c r="AF25" s="6" t="s">
        <v>1493</v>
      </c>
      <c r="AG25" s="6">
        <v>1</v>
      </c>
      <c r="AH25" s="9">
        <f>IF(AG25=0,"-",IF(AG25=1,SUM(AG$1:AG24)+1,SUM(AG$1:AG24)+1 &amp; "-" &amp; SUM(AG$1:AG25)))</f>
        <v>24</v>
      </c>
      <c r="AI25" s="6" t="str">
        <f t="shared" si="9"/>
        <v>!import-table-item --Spells-Level-6 --Investiture of Flame --1</v>
      </c>
      <c r="AJ25" s="6" t="s">
        <v>903</v>
      </c>
      <c r="AK25" s="6" t="s">
        <v>1503</v>
      </c>
      <c r="AL25" s="6">
        <v>1</v>
      </c>
      <c r="AM25" s="9">
        <f>IF(AL25=0,"-",IF(AL25=1,SUM(AL$1:AL24)+1,SUM(AL$1:AL24)+1 &amp; "-" &amp; SUM(AL$1:AL25)))</f>
        <v>24</v>
      </c>
      <c r="AN25" s="6" t="str">
        <f t="shared" si="6"/>
        <v>!import-table-item --Spells-Level-7 --Symbol --1</v>
      </c>
      <c r="AO25" s="6" t="s">
        <v>931</v>
      </c>
      <c r="AP25" s="6" t="s">
        <v>1503</v>
      </c>
      <c r="AQ25" s="6">
        <v>1</v>
      </c>
      <c r="AR25" s="9">
        <f>IF(AQ25=0,"-",IF(AQ25=1,SUM(AQ$1:AQ24)+1,SUM(AQ$1:AQ24)+1 &amp; "-" &amp; SUM(AQ$1:AQ25)))</f>
        <v>24</v>
      </c>
      <c r="AS25" s="6" t="str">
        <f t="shared" ref="AS25" si="11">"!import-table-item --" &amp; AO$1 &amp; " --" &amp; AO25 &amp; " --" &amp; AQ25</f>
        <v>!import-table-item --Spells-Level-8 --Tsunami --1</v>
      </c>
      <c r="AT25" s="6"/>
      <c r="AU25" s="6"/>
      <c r="AV25" s="6"/>
      <c r="AW25" s="9"/>
      <c r="AX25" s="6"/>
    </row>
    <row r="26" spans="1:50" x14ac:dyDescent="0.25">
      <c r="A26" s="6" t="s">
        <v>548</v>
      </c>
      <c r="B26" s="6" t="s">
        <v>1493</v>
      </c>
      <c r="C26" s="6">
        <v>1</v>
      </c>
      <c r="D26" s="9">
        <f>IF(C26=0,"-",IF(C26=1,SUM(C$1:C25)+1,SUM(C$1:C25)+1 &amp; "-" &amp; SUM(C$1:C26)))</f>
        <v>25</v>
      </c>
      <c r="E26" s="6" t="str">
        <f t="shared" si="0"/>
        <v>!import-table-item --Spells-Cantrip --Mold Earth --1</v>
      </c>
      <c r="F26" s="6" t="s">
        <v>471</v>
      </c>
      <c r="G26" s="6" t="s">
        <v>1503</v>
      </c>
      <c r="H26" s="6">
        <v>1</v>
      </c>
      <c r="I26" s="9">
        <f>IF(H26=0,"-",IF(H26=1,SUM(H$1:H25)+1,SUM(H$1:H25)+1 &amp; "-" &amp; SUM(H$1:H26)))</f>
        <v>25</v>
      </c>
      <c r="J26" s="6" t="str">
        <f t="shared" si="1"/>
        <v>!import-table-item --Spells-Level-1 --Disguise Self --1</v>
      </c>
      <c r="K26" s="6" t="s">
        <v>593</v>
      </c>
      <c r="L26" s="6" t="s">
        <v>1503</v>
      </c>
      <c r="M26" s="6">
        <v>1</v>
      </c>
      <c r="N26" s="9">
        <f>IF(M26=0,"-",IF(M26=1,SUM(M$1:M25)+1,SUM(M$1:M25)+1 &amp; "-" &amp; SUM(M$1:M26)))</f>
        <v>25</v>
      </c>
      <c r="O26" s="6" t="str">
        <f t="shared" si="2"/>
        <v>!import-table-item --Spells-Level-2 --Enhance Ability --1</v>
      </c>
      <c r="P26" s="6" t="s">
        <v>674</v>
      </c>
      <c r="Q26" s="6" t="s">
        <v>1493</v>
      </c>
      <c r="R26" s="6">
        <v>1</v>
      </c>
      <c r="S26" s="9">
        <f>IF(R26=0,"-",IF(R26=1,SUM(R$1:R25)+1,SUM(R$1:R25)+1 &amp; "-" &amp; SUM(R$1:R26)))</f>
        <v>24</v>
      </c>
      <c r="T26" s="6" t="str">
        <f t="shared" si="3"/>
        <v>!import-table-item --Spells-Level-3 --Flame Arrows --1</v>
      </c>
      <c r="U26" s="6" t="s">
        <v>744</v>
      </c>
      <c r="V26" s="6" t="s">
        <v>1503</v>
      </c>
      <c r="W26" s="6">
        <v>1</v>
      </c>
      <c r="X26" s="9">
        <f>IF(W26=0,"-",IF(W26=1,SUM(W$1:W25)+1,SUM(W$1:W25)+1 &amp; "-" &amp; SUM(W$1:W26)))</f>
        <v>25</v>
      </c>
      <c r="Y26" s="6" t="str">
        <f t="shared" si="4"/>
        <v>!import-table-item --Spells-Level-4 --Greater Invisibility --1</v>
      </c>
      <c r="Z26" s="6" t="s">
        <v>794</v>
      </c>
      <c r="AA26" s="6" t="s">
        <v>1503</v>
      </c>
      <c r="AB26" s="6">
        <v>1</v>
      </c>
      <c r="AC26" s="9">
        <f>IF(AB26=0,"-",IF(AB26=1,SUM(AB$1:AB25)+1,SUM(AB$1:AB25)+1 &amp; "-" &amp; SUM(AB$1:AB26)))</f>
        <v>25</v>
      </c>
      <c r="AD26" s="6" t="str">
        <f t="shared" si="5"/>
        <v>!import-table-item --Spells-Level-5 --Flame Strike --1</v>
      </c>
      <c r="AE26" s="6" t="s">
        <v>856</v>
      </c>
      <c r="AF26" s="6" t="s">
        <v>1493</v>
      </c>
      <c r="AG26" s="6">
        <v>1</v>
      </c>
      <c r="AH26" s="9">
        <f>IF(AG26=0,"-",IF(AG26=1,SUM(AG$1:AG25)+1,SUM(AG$1:AG25)+1 &amp; "-" &amp; SUM(AG$1:AG26)))</f>
        <v>25</v>
      </c>
      <c r="AI26" s="6" t="str">
        <f t="shared" si="9"/>
        <v>!import-table-item --Spells-Level-6 --Investiture of Ice --1</v>
      </c>
      <c r="AJ26" s="6" t="s">
        <v>904</v>
      </c>
      <c r="AK26" s="6" t="s">
        <v>1503</v>
      </c>
      <c r="AL26" s="6">
        <v>1</v>
      </c>
      <c r="AM26" s="9">
        <f>IF(AL26=0,"-",IF(AL26=1,SUM(AL$1:AL25)+1,SUM(AL$1:AL25)+1 &amp; "-" &amp; SUM(AL$1:AL26)))</f>
        <v>25</v>
      </c>
      <c r="AN26" s="6" t="str">
        <f t="shared" si="6"/>
        <v>!import-table-item --Spells-Level-7 --Teleport --1</v>
      </c>
      <c r="AO26" s="6"/>
      <c r="AP26" s="6"/>
      <c r="AQ26" s="6"/>
      <c r="AR26" s="9"/>
      <c r="AS26" s="6"/>
      <c r="AT26" s="6"/>
      <c r="AU26" s="6"/>
      <c r="AV26" s="6"/>
      <c r="AW26" s="9"/>
      <c r="AX26" s="6"/>
    </row>
    <row r="27" spans="1:50" x14ac:dyDescent="0.25">
      <c r="A27" s="6" t="s">
        <v>549</v>
      </c>
      <c r="B27" s="6" t="s">
        <v>1503</v>
      </c>
      <c r="C27" s="6">
        <v>1</v>
      </c>
      <c r="D27" s="9">
        <f>IF(C27=0,"-",IF(C27=1,SUM(C$1:C26)+1,SUM(C$1:C26)+1 &amp; "-" &amp; SUM(C$1:C27)))</f>
        <v>26</v>
      </c>
      <c r="E27" s="6" t="str">
        <f t="shared" si="0"/>
        <v>!import-table-item --Spells-Cantrip --Poison Spray --1</v>
      </c>
      <c r="F27" s="6" t="s">
        <v>472</v>
      </c>
      <c r="G27" s="6" t="s">
        <v>1503</v>
      </c>
      <c r="H27" s="6">
        <v>1</v>
      </c>
      <c r="I27" s="9">
        <f>IF(H27=0,"-",IF(H27=1,SUM(H$1:H26)+1,SUM(H$1:H26)+1 &amp; "-" &amp; SUM(H$1:H27)))</f>
        <v>26</v>
      </c>
      <c r="J27" s="6" t="str">
        <f t="shared" si="1"/>
        <v>!import-table-item --Spells-Level-1 --Dissonant Whispers --1</v>
      </c>
      <c r="K27" s="6" t="s">
        <v>594</v>
      </c>
      <c r="L27" s="6" t="s">
        <v>1503</v>
      </c>
      <c r="M27" s="6">
        <v>1</v>
      </c>
      <c r="N27" s="9">
        <f>IF(M27=0,"-",IF(M27=1,SUM(M$1:M26)+1,SUM(M$1:M26)+1 &amp; "-" &amp; SUM(M$1:M27)))</f>
        <v>26</v>
      </c>
      <c r="O27" s="6" t="str">
        <f t="shared" si="2"/>
        <v>!import-table-item --Spells-Level-2 --Enlarge/Reduce --1</v>
      </c>
      <c r="P27" s="6" t="s">
        <v>675</v>
      </c>
      <c r="Q27" s="6" t="s">
        <v>1503</v>
      </c>
      <c r="R27" s="6">
        <v>1</v>
      </c>
      <c r="S27" s="9">
        <f>IF(R27=0,"-",IF(R27=1,SUM(R$1:R26)+1,SUM(R$1:R26)+1 &amp; "-" &amp; SUM(R$1:R27)))</f>
        <v>25</v>
      </c>
      <c r="T27" s="6" t="str">
        <f t="shared" si="3"/>
        <v>!import-table-item --Spells-Level-3 --Fly --1</v>
      </c>
      <c r="U27" s="6" t="s">
        <v>745</v>
      </c>
      <c r="V27" s="6" t="s">
        <v>1503</v>
      </c>
      <c r="W27" s="6">
        <v>1</v>
      </c>
      <c r="X27" s="9">
        <f>IF(W27=0,"-",IF(W27=1,SUM(W$1:W26)+1,SUM(W$1:W26)+1 &amp; "-" &amp; SUM(W$1:W27)))</f>
        <v>26</v>
      </c>
      <c r="Y27" s="6" t="str">
        <f t="shared" si="4"/>
        <v>!import-table-item --Spells-Level-4 --Guardian of Faith --1</v>
      </c>
      <c r="Z27" s="6" t="s">
        <v>795</v>
      </c>
      <c r="AA27" s="6" t="s">
        <v>1679</v>
      </c>
      <c r="AB27" s="6">
        <v>1</v>
      </c>
      <c r="AC27" s="9">
        <f>IF(AB27=0,"-",IF(AB27=1,SUM(AB$1:AB26)+1,SUM(AB$1:AB26)+1 &amp; "-" &amp; SUM(AB$1:AB27)))</f>
        <v>26</v>
      </c>
      <c r="AD27" s="6" t="str">
        <f t="shared" si="5"/>
        <v>!import-table-item --Spells-Level-5 --Freedom of the Winds --1</v>
      </c>
      <c r="AE27" s="6" t="s">
        <v>857</v>
      </c>
      <c r="AF27" s="6" t="s">
        <v>1493</v>
      </c>
      <c r="AG27" s="6">
        <v>1</v>
      </c>
      <c r="AH27" s="9">
        <f>IF(AG27=0,"-",IF(AG27=1,SUM(AG$1:AG26)+1,SUM(AG$1:AG26)+1 &amp; "-" &amp; SUM(AG$1:AG27)))</f>
        <v>26</v>
      </c>
      <c r="AI27" s="6" t="str">
        <f t="shared" si="9"/>
        <v>!import-table-item --Spells-Level-6 --Investiture of Stone --1</v>
      </c>
      <c r="AJ27" s="6" t="s">
        <v>905</v>
      </c>
      <c r="AK27" s="6" t="s">
        <v>1493</v>
      </c>
      <c r="AL27" s="6">
        <v>1</v>
      </c>
      <c r="AM27" s="9">
        <f>IF(AL27=0,"-",IF(AL27=1,SUM(AL$1:AL26)+1,SUM(AL$1:AL26)+1 &amp; "-" &amp; SUM(AL$1:AL27)))</f>
        <v>26</v>
      </c>
      <c r="AN27" s="6" t="str">
        <f t="shared" si="6"/>
        <v>!import-table-item --Spells-Level-7 --Temple of the Gods --1</v>
      </c>
      <c r="AO27" s="6"/>
      <c r="AP27" s="6"/>
      <c r="AQ27" s="6"/>
      <c r="AR27" s="9"/>
      <c r="AS27" s="6"/>
      <c r="AT27" s="6"/>
      <c r="AU27" s="6"/>
      <c r="AV27" s="6"/>
      <c r="AW27" s="9"/>
      <c r="AX27" s="6"/>
    </row>
    <row r="28" spans="1:50" x14ac:dyDescent="0.25">
      <c r="A28" s="6" t="s">
        <v>550</v>
      </c>
      <c r="B28" s="6" t="s">
        <v>1503</v>
      </c>
      <c r="C28" s="6">
        <v>1</v>
      </c>
      <c r="D28" s="9">
        <f>IF(C28=0,"-",IF(C28=1,SUM(C$1:C27)+1,SUM(C$1:C27)+1 &amp; "-" &amp; SUM(C$1:C28)))</f>
        <v>27</v>
      </c>
      <c r="E28" s="6" t="str">
        <f t="shared" si="0"/>
        <v>!import-table-item --Spells-Cantrip --Prestidigitation --1</v>
      </c>
      <c r="F28" s="6" t="s">
        <v>473</v>
      </c>
      <c r="G28" s="6" t="s">
        <v>1503</v>
      </c>
      <c r="H28" s="6">
        <v>1</v>
      </c>
      <c r="I28" s="9">
        <f>IF(H28=0,"-",IF(H28=1,SUM(H$1:H27)+1,SUM(H$1:H27)+1 &amp; "-" &amp; SUM(H$1:H28)))</f>
        <v>27</v>
      </c>
      <c r="J28" s="6" t="str">
        <f t="shared" si="1"/>
        <v>!import-table-item --Spells-Level-1 --Divine Favor --1</v>
      </c>
      <c r="K28" s="6" t="s">
        <v>595</v>
      </c>
      <c r="L28" s="6" t="s">
        <v>1503</v>
      </c>
      <c r="M28" s="6">
        <v>1</v>
      </c>
      <c r="N28" s="9">
        <f>IF(M28=0,"-",IF(M28=1,SUM(M$1:M27)+1,SUM(M$1:M27)+1 &amp; "-" &amp; SUM(M$1:M28)))</f>
        <v>27</v>
      </c>
      <c r="O28" s="6" t="str">
        <f t="shared" si="2"/>
        <v>!import-table-item --Spells-Level-2 --Enthrall --1</v>
      </c>
      <c r="P28" s="6" t="s">
        <v>676</v>
      </c>
      <c r="Q28" s="6" t="s">
        <v>1679</v>
      </c>
      <c r="R28" s="6">
        <v>1</v>
      </c>
      <c r="S28" s="9">
        <f>IF(R28=0,"-",IF(R28=1,SUM(R$1:R27)+1,SUM(R$1:R27)+1 &amp; "-" &amp; SUM(R$1:R28)))</f>
        <v>26</v>
      </c>
      <c r="T28" s="6" t="str">
        <f t="shared" si="3"/>
        <v>!import-table-item --Spells-Level-3 --Freedom of the Waves --1</v>
      </c>
      <c r="U28" s="6" t="s">
        <v>746</v>
      </c>
      <c r="V28" s="6" t="s">
        <v>1493</v>
      </c>
      <c r="W28" s="6">
        <v>1</v>
      </c>
      <c r="X28" s="9">
        <f>IF(W28=0,"-",IF(W28=1,SUM(W$1:W27)+1,SUM(W$1:W27)+1 &amp; "-" &amp; SUM(W$1:W28)))</f>
        <v>27</v>
      </c>
      <c r="Y28" s="6" t="str">
        <f t="shared" si="4"/>
        <v>!import-table-item --Spells-Level-4 --Guardian of Nature --1</v>
      </c>
      <c r="Z28" s="6" t="s">
        <v>796</v>
      </c>
      <c r="AA28" s="6" t="s">
        <v>1503</v>
      </c>
      <c r="AB28" s="6">
        <v>1</v>
      </c>
      <c r="AC28" s="9">
        <f>IF(AB28=0,"-",IF(AB28=1,SUM(AB$1:AB27)+1,SUM(AB$1:AB27)+1 &amp; "-" &amp; SUM(AB$1:AB28)))</f>
        <v>27</v>
      </c>
      <c r="AD28" s="6" t="str">
        <f t="shared" si="5"/>
        <v>!import-table-item --Spells-Level-5 --Geas --1</v>
      </c>
      <c r="AE28" s="6" t="s">
        <v>858</v>
      </c>
      <c r="AF28" s="6" t="s">
        <v>1493</v>
      </c>
      <c r="AG28" s="6">
        <v>1</v>
      </c>
      <c r="AH28" s="9">
        <f>IF(AG28=0,"-",IF(AG28=1,SUM(AG$1:AG27)+1,SUM(AG$1:AG27)+1 &amp; "-" &amp; SUM(AG$1:AG28)))</f>
        <v>27</v>
      </c>
      <c r="AI28" s="6" t="str">
        <f t="shared" si="9"/>
        <v>!import-table-item --Spells-Level-6 --Investiture of Wind --1</v>
      </c>
      <c r="AJ28" s="6" t="s">
        <v>906</v>
      </c>
      <c r="AK28" s="6" t="s">
        <v>1409</v>
      </c>
      <c r="AL28" s="6">
        <v>1</v>
      </c>
      <c r="AM28" s="9">
        <f>IF(AL28=0,"-",IF(AL28=1,SUM(AL$1:AL27)+1,SUM(AL$1:AL27)+1 &amp; "-" &amp; SUM(AL$1:AL28)))</f>
        <v>27</v>
      </c>
      <c r="AN28" s="6" t="str">
        <f t="shared" si="6"/>
        <v>!import-table-item --Spells-Level-7 --Tether Essence --1</v>
      </c>
      <c r="AO28" s="6"/>
      <c r="AP28" s="6"/>
      <c r="AQ28" s="6"/>
      <c r="AR28" s="9"/>
      <c r="AS28" s="6"/>
      <c r="AT28" s="6"/>
      <c r="AU28" s="6"/>
      <c r="AV28" s="6"/>
      <c r="AW28" s="9"/>
      <c r="AX28" s="6"/>
    </row>
    <row r="29" spans="1:50" x14ac:dyDescent="0.25">
      <c r="A29" s="6" t="s">
        <v>551</v>
      </c>
      <c r="B29" s="6" t="s">
        <v>1493</v>
      </c>
      <c r="C29" s="6">
        <v>1</v>
      </c>
      <c r="D29" s="9">
        <f>IF(C29=0,"-",IF(C29=1,SUM(C$1:C28)+1,SUM(C$1:C28)+1 &amp; "-" &amp; SUM(C$1:C29)))</f>
        <v>28</v>
      </c>
      <c r="E29" s="6" t="str">
        <f t="shared" si="0"/>
        <v>!import-table-item --Spells-Cantrip --Primal Savagery --1</v>
      </c>
      <c r="F29" s="6" t="s">
        <v>474</v>
      </c>
      <c r="G29" s="6" t="s">
        <v>1493</v>
      </c>
      <c r="H29" s="6">
        <v>1</v>
      </c>
      <c r="I29" s="9">
        <f>IF(H29=0,"-",IF(H29=1,SUM(H$1:H28)+1,SUM(H$1:H28)+1 &amp; "-" &amp; SUM(H$1:H29)))</f>
        <v>28</v>
      </c>
      <c r="J29" s="6" t="str">
        <f t="shared" si="1"/>
        <v>!import-table-item --Spells-Level-1 --Earth Tremor --1</v>
      </c>
      <c r="K29" s="6" t="s">
        <v>596</v>
      </c>
      <c r="L29" s="6" t="s">
        <v>1503</v>
      </c>
      <c r="M29" s="6">
        <v>1</v>
      </c>
      <c r="N29" s="9">
        <f>IF(M29=0,"-",IF(M29=1,SUM(M$1:M28)+1,SUM(M$1:M28)+1 &amp; "-" &amp; SUM(M$1:M29)))</f>
        <v>28</v>
      </c>
      <c r="O29" s="6" t="str">
        <f t="shared" si="2"/>
        <v>!import-table-item --Spells-Level-2 --Find Steed --1</v>
      </c>
      <c r="P29" s="6" t="s">
        <v>677</v>
      </c>
      <c r="Q29" s="6" t="s">
        <v>1503</v>
      </c>
      <c r="R29" s="6">
        <v>1</v>
      </c>
      <c r="S29" s="9">
        <f>IF(R29=0,"-",IF(R29=1,SUM(R$1:R28)+1,SUM(R$1:R28)+1 &amp; "-" &amp; SUM(R$1:R29)))</f>
        <v>27</v>
      </c>
      <c r="T29" s="6" t="str">
        <f t="shared" si="3"/>
        <v>!import-table-item --Spells-Level-3 --Gaseous Form --1</v>
      </c>
      <c r="U29" s="6" t="s">
        <v>747</v>
      </c>
      <c r="V29" s="6" t="s">
        <v>1503</v>
      </c>
      <c r="W29" s="6">
        <v>1</v>
      </c>
      <c r="X29" s="9">
        <f>IF(W29=0,"-",IF(W29=1,SUM(W$1:W28)+1,SUM(W$1:W28)+1 &amp; "-" &amp; SUM(W$1:W29)))</f>
        <v>28</v>
      </c>
      <c r="Y29" s="6" t="str">
        <f t="shared" si="4"/>
        <v>!import-table-item --Spells-Level-4 --Hallucinatory Terrain --1</v>
      </c>
      <c r="Z29" s="6" t="s">
        <v>797</v>
      </c>
      <c r="AA29" s="6" t="s">
        <v>1503</v>
      </c>
      <c r="AB29" s="6">
        <v>1</v>
      </c>
      <c r="AC29" s="9">
        <f>IF(AB29=0,"-",IF(AB29=1,SUM(AB$1:AB28)+1,SUM(AB$1:AB28)+1 &amp; "-" &amp; SUM(AB$1:AB29)))</f>
        <v>28</v>
      </c>
      <c r="AD29" s="6" t="str">
        <f t="shared" si="5"/>
        <v>!import-table-item --Spells-Level-5 --Greater Restoration --1</v>
      </c>
      <c r="AE29" s="6" t="s">
        <v>859</v>
      </c>
      <c r="AF29" s="6" t="s">
        <v>1503</v>
      </c>
      <c r="AG29" s="6">
        <v>1</v>
      </c>
      <c r="AH29" s="9">
        <f>IF(AG29=0,"-",IF(AG29=1,SUM(AG$1:AG28)+1,SUM(AG$1:AG28)+1 &amp; "-" &amp; SUM(AG$1:AG29)))</f>
        <v>28</v>
      </c>
      <c r="AI29" s="6" t="str">
        <f t="shared" si="9"/>
        <v>!import-table-item --Spells-Level-6 --Magic Jar --1</v>
      </c>
      <c r="AJ29" s="6" t="s">
        <v>907</v>
      </c>
      <c r="AK29" s="6" t="s">
        <v>1493</v>
      </c>
      <c r="AL29" s="6">
        <v>1</v>
      </c>
      <c r="AM29" s="9">
        <f>IF(AL29=0,"-",IF(AL29=1,SUM(AL$1:AL28)+1,SUM(AL$1:AL28)+1 &amp; "-" &amp; SUM(AL$1:AL29)))</f>
        <v>28</v>
      </c>
      <c r="AN29" s="6" t="str">
        <f t="shared" ref="AN29" si="12">"!import-table-item --" &amp; AJ$1 &amp; " --" &amp; AJ29 &amp; " --" &amp; AL29</f>
        <v>!import-table-item --Spells-Level-7 --Whirlwind --1</v>
      </c>
      <c r="AO29" s="6"/>
      <c r="AP29" s="6"/>
      <c r="AQ29" s="6"/>
      <c r="AR29" s="9"/>
      <c r="AS29" s="6"/>
      <c r="AT29" s="6"/>
      <c r="AU29" s="6"/>
      <c r="AV29" s="6"/>
      <c r="AW29" s="9"/>
      <c r="AX29" s="6"/>
    </row>
    <row r="30" spans="1:50" x14ac:dyDescent="0.25">
      <c r="A30" s="6" t="s">
        <v>552</v>
      </c>
      <c r="B30" s="6" t="s">
        <v>1503</v>
      </c>
      <c r="C30" s="6">
        <v>1</v>
      </c>
      <c r="D30" s="9">
        <f>IF(C30=0,"-",IF(C30=1,SUM(C$1:C29)+1,SUM(C$1:C29)+1 &amp; "-" &amp; SUM(C$1:C30)))</f>
        <v>29</v>
      </c>
      <c r="E30" s="6" t="str">
        <f t="shared" si="0"/>
        <v>!import-table-item --Spells-Cantrip --Produce Flame --1</v>
      </c>
      <c r="F30" s="6" t="s">
        <v>475</v>
      </c>
      <c r="G30" s="6" t="s">
        <v>1503</v>
      </c>
      <c r="H30" s="6">
        <v>1</v>
      </c>
      <c r="I30" s="9">
        <f>IF(H30=0,"-",IF(H30=1,SUM(H$1:H29)+1,SUM(H$1:H29)+1 &amp; "-" &amp; SUM(H$1:H30)))</f>
        <v>29</v>
      </c>
      <c r="J30" s="6" t="str">
        <f t="shared" si="1"/>
        <v>!import-table-item --Spells-Level-1 --Ensnaring Strike --1</v>
      </c>
      <c r="K30" s="6" t="s">
        <v>597</v>
      </c>
      <c r="L30" s="6" t="s">
        <v>1503</v>
      </c>
      <c r="M30" s="6">
        <v>1</v>
      </c>
      <c r="N30" s="9">
        <f>IF(M30=0,"-",IF(M30=1,SUM(M$1:M29)+1,SUM(M$1:M29)+1 &amp; "-" &amp; SUM(M$1:M30)))</f>
        <v>29</v>
      </c>
      <c r="O30" s="6" t="str">
        <f t="shared" si="2"/>
        <v>!import-table-item --Spells-Level-2 --Find Traps --1</v>
      </c>
      <c r="P30" s="6" t="s">
        <v>678</v>
      </c>
      <c r="Q30" s="6" t="s">
        <v>1503</v>
      </c>
      <c r="R30" s="6">
        <v>1</v>
      </c>
      <c r="S30" s="9">
        <f>IF(R30=0,"-",IF(R30=1,SUM(R$1:R29)+1,SUM(R$1:R29)+1 &amp; "-" &amp; SUM(R$1:R30)))</f>
        <v>28</v>
      </c>
      <c r="T30" s="6" t="str">
        <f t="shared" si="3"/>
        <v>!import-table-item --Spells-Level-3 --Glyph of Warding --1</v>
      </c>
      <c r="U30" s="6" t="s">
        <v>748</v>
      </c>
      <c r="V30" s="6" t="s">
        <v>1503</v>
      </c>
      <c r="W30" s="6">
        <v>1</v>
      </c>
      <c r="X30" s="9">
        <f>IF(W30=0,"-",IF(W30=1,SUM(W$1:W29)+1,SUM(W$1:W29)+1 &amp; "-" &amp; SUM(W$1:W30)))</f>
        <v>29</v>
      </c>
      <c r="Y30" s="6" t="str">
        <f t="shared" si="4"/>
        <v>!import-table-item --Spells-Level-4 --Ice Storm --1</v>
      </c>
      <c r="Z30" s="6" t="s">
        <v>798</v>
      </c>
      <c r="AA30" s="6" t="s">
        <v>1503</v>
      </c>
      <c r="AB30" s="6">
        <v>1</v>
      </c>
      <c r="AC30" s="9">
        <f>IF(AB30=0,"-",IF(AB30=1,SUM(AB$1:AB29)+1,SUM(AB$1:AB29)+1 &amp; "-" &amp; SUM(AB$1:AB30)))</f>
        <v>29</v>
      </c>
      <c r="AD30" s="6" t="str">
        <f t="shared" si="5"/>
        <v>!import-table-item --Spells-Level-5 --Hallow --1</v>
      </c>
      <c r="AE30" s="6" t="s">
        <v>860</v>
      </c>
      <c r="AF30" s="6" t="s">
        <v>1503</v>
      </c>
      <c r="AG30" s="6">
        <v>1</v>
      </c>
      <c r="AH30" s="9">
        <f>IF(AG30=0,"-",IF(AG30=1,SUM(AG$1:AG29)+1,SUM(AG$1:AG29)+1 &amp; "-" &amp; SUM(AG$1:AG30)))</f>
        <v>29</v>
      </c>
      <c r="AI30" s="6" t="str">
        <f t="shared" si="9"/>
        <v>!import-table-item --Spells-Level-6 --Mass Suggestion --1</v>
      </c>
      <c r="AJ30" s="6"/>
      <c r="AK30" s="6"/>
      <c r="AL30" s="6"/>
      <c r="AM30" s="9"/>
      <c r="AN30" s="6"/>
      <c r="AO30" s="6"/>
      <c r="AP30" s="6"/>
      <c r="AQ30" s="6"/>
      <c r="AR30" s="9"/>
      <c r="AS30" s="6"/>
      <c r="AT30" s="6"/>
      <c r="AU30" s="6"/>
      <c r="AV30" s="6"/>
      <c r="AW30" s="9"/>
      <c r="AX30" s="6"/>
    </row>
    <row r="31" spans="1:50" x14ac:dyDescent="0.25">
      <c r="A31" s="6" t="s">
        <v>553</v>
      </c>
      <c r="B31" s="6" t="s">
        <v>1503</v>
      </c>
      <c r="C31" s="6">
        <v>1</v>
      </c>
      <c r="D31" s="9">
        <f>IF(C31=0,"-",IF(C31=1,SUM(C$1:C30)+1,SUM(C$1:C30)+1 &amp; "-" &amp; SUM(C$1:C31)))</f>
        <v>30</v>
      </c>
      <c r="E31" s="6" t="str">
        <f t="shared" si="0"/>
        <v>!import-table-item --Spells-Cantrip --Ray of Frost --1</v>
      </c>
      <c r="F31" s="6" t="s">
        <v>476</v>
      </c>
      <c r="G31" s="6" t="s">
        <v>1503</v>
      </c>
      <c r="H31" s="6">
        <v>1</v>
      </c>
      <c r="I31" s="9">
        <f>IF(H31=0,"-",IF(H31=1,SUM(H$1:H30)+1,SUM(H$1:H30)+1 &amp; "-" &amp; SUM(H$1:H31)))</f>
        <v>30</v>
      </c>
      <c r="J31" s="6" t="str">
        <f t="shared" si="1"/>
        <v>!import-table-item --Spells-Level-1 --Entangle --1</v>
      </c>
      <c r="K31" s="6" t="s">
        <v>598</v>
      </c>
      <c r="L31" s="6" t="s">
        <v>1503</v>
      </c>
      <c r="M31" s="6">
        <v>1</v>
      </c>
      <c r="N31" s="9">
        <f>IF(M31=0,"-",IF(M31=1,SUM(M$1:M30)+1,SUM(M$1:M30)+1 &amp; "-" &amp; SUM(M$1:M31)))</f>
        <v>30</v>
      </c>
      <c r="O31" s="6" t="str">
        <f t="shared" si="2"/>
        <v>!import-table-item --Spells-Level-2 --Flame Blade --1</v>
      </c>
      <c r="P31" s="6" t="s">
        <v>679</v>
      </c>
      <c r="Q31" s="6" t="s">
        <v>1503</v>
      </c>
      <c r="R31" s="6">
        <v>1</v>
      </c>
      <c r="S31" s="9">
        <f>IF(R31=0,"-",IF(R31=1,SUM(R$1:R30)+1,SUM(R$1:R30)+1 &amp; "-" &amp; SUM(R$1:R31)))</f>
        <v>29</v>
      </c>
      <c r="T31" s="6" t="str">
        <f t="shared" si="3"/>
        <v>!import-table-item --Spells-Level-3 --Haste --1</v>
      </c>
      <c r="U31" s="6" t="s">
        <v>749</v>
      </c>
      <c r="V31" s="6" t="s">
        <v>1503</v>
      </c>
      <c r="W31" s="6">
        <v>1</v>
      </c>
      <c r="X31" s="9">
        <f>IF(W31=0,"-",IF(W31=1,SUM(W$1:W30)+1,SUM(W$1:W30)+1 &amp; "-" &amp; SUM(W$1:W31)))</f>
        <v>30</v>
      </c>
      <c r="Y31" s="6" t="str">
        <f t="shared" si="4"/>
        <v>!import-table-item --Spells-Level-4 --Leomund's Secret Chest --1</v>
      </c>
      <c r="Z31" s="6" t="s">
        <v>799</v>
      </c>
      <c r="AA31" s="6" t="s">
        <v>1503</v>
      </c>
      <c r="AB31" s="6">
        <v>1</v>
      </c>
      <c r="AC31" s="9">
        <f>IF(AB31=0,"-",IF(AB31=1,SUM(AB$1:AB30)+1,SUM(AB$1:AB30)+1 &amp; "-" &amp; SUM(AB$1:AB31)))</f>
        <v>30</v>
      </c>
      <c r="AD31" s="6" t="str">
        <f t="shared" si="5"/>
        <v>!import-table-item --Spells-Level-5 --Hold Monster --1</v>
      </c>
      <c r="AE31" s="6" t="s">
        <v>861</v>
      </c>
      <c r="AF31" s="6" t="s">
        <v>1493</v>
      </c>
      <c r="AG31" s="6">
        <v>1</v>
      </c>
      <c r="AH31" s="9">
        <f>IF(AG31=0,"-",IF(AG31=1,SUM(AG$1:AG30)+1,SUM(AG$1:AG30)+1 &amp; "-" &amp; SUM(AG$1:AG31)))</f>
        <v>30</v>
      </c>
      <c r="AI31" s="6" t="str">
        <f t="shared" si="9"/>
        <v>!import-table-item --Spells-Level-6 --Mental Prison --1</v>
      </c>
      <c r="AJ31" s="6"/>
      <c r="AK31" s="6"/>
      <c r="AL31" s="6"/>
      <c r="AM31" s="9"/>
      <c r="AN31" s="6"/>
      <c r="AO31" s="6"/>
      <c r="AP31" s="6"/>
      <c r="AQ31" s="6"/>
      <c r="AR31" s="9"/>
      <c r="AS31" s="6"/>
      <c r="AT31" s="6"/>
      <c r="AU31" s="6"/>
      <c r="AV31" s="6"/>
      <c r="AW31" s="9"/>
      <c r="AX31" s="6"/>
    </row>
    <row r="32" spans="1:50" x14ac:dyDescent="0.25">
      <c r="A32" s="6" t="s">
        <v>554</v>
      </c>
      <c r="B32" s="6" t="s">
        <v>1503</v>
      </c>
      <c r="C32" s="6">
        <v>1</v>
      </c>
      <c r="D32" s="9">
        <f>IF(C32=0,"-",IF(C32=1,SUM(C$1:C31)+1,SUM(C$1:C31)+1 &amp; "-" &amp; SUM(C$1:C32)))</f>
        <v>31</v>
      </c>
      <c r="E32" s="6" t="str">
        <f t="shared" si="0"/>
        <v>!import-table-item --Spells-Cantrip --Resistance --1</v>
      </c>
      <c r="F32" s="6" t="s">
        <v>477</v>
      </c>
      <c r="G32" s="6" t="s">
        <v>1503</v>
      </c>
      <c r="H32" s="6">
        <v>1</v>
      </c>
      <c r="I32" s="9">
        <f>IF(H32=0,"-",IF(H32=1,SUM(H$1:H31)+1,SUM(H$1:H31)+1 &amp; "-" &amp; SUM(H$1:H32)))</f>
        <v>31</v>
      </c>
      <c r="J32" s="6" t="str">
        <f t="shared" si="1"/>
        <v>!import-table-item --Spells-Level-1 --Expeditious Retreat --1</v>
      </c>
      <c r="K32" s="6" t="s">
        <v>599</v>
      </c>
      <c r="L32" s="6" t="s">
        <v>1503</v>
      </c>
      <c r="M32" s="6">
        <v>1</v>
      </c>
      <c r="N32" s="9">
        <f>IF(M32=0,"-",IF(M32=1,SUM(M$1:M31)+1,SUM(M$1:M31)+1 &amp; "-" &amp; SUM(M$1:M32)))</f>
        <v>31</v>
      </c>
      <c r="O32" s="6" t="str">
        <f t="shared" si="2"/>
        <v>!import-table-item --Spells-Level-2 --Flaming Sphere --1</v>
      </c>
      <c r="P32" s="6" t="s">
        <v>680</v>
      </c>
      <c r="Q32" s="6" t="s">
        <v>1503</v>
      </c>
      <c r="R32" s="6">
        <v>1</v>
      </c>
      <c r="S32" s="9">
        <f>IF(R32=0,"-",IF(R32=1,SUM(R$1:R31)+1,SUM(R$1:R31)+1 &amp; "-" &amp; SUM(R$1:R32)))</f>
        <v>30</v>
      </c>
      <c r="T32" s="6" t="str">
        <f t="shared" si="3"/>
        <v>!import-table-item --Spells-Level-3 --Hunger of Hadar --1</v>
      </c>
      <c r="U32" s="6" t="s">
        <v>750</v>
      </c>
      <c r="V32" s="6" t="s">
        <v>1503</v>
      </c>
      <c r="W32" s="6">
        <v>1</v>
      </c>
      <c r="X32" s="9">
        <f>IF(W32=0,"-",IF(W32=1,SUM(W$1:W31)+1,SUM(W$1:W31)+1 &amp; "-" &amp; SUM(W$1:W32)))</f>
        <v>31</v>
      </c>
      <c r="Y32" s="6" t="str">
        <f t="shared" si="4"/>
        <v>!import-table-item --Spells-Level-4 --Locate Creature --1</v>
      </c>
      <c r="Z32" s="6" t="s">
        <v>800</v>
      </c>
      <c r="AA32" s="6" t="s">
        <v>1493</v>
      </c>
      <c r="AB32" s="6">
        <v>1</v>
      </c>
      <c r="AC32" s="9">
        <f>IF(AB32=0,"-",IF(AB32=1,SUM(AB$1:AB31)+1,SUM(AB$1:AB31)+1 &amp; "-" &amp; SUM(AB$1:AB32)))</f>
        <v>31</v>
      </c>
      <c r="AD32" s="6" t="str">
        <f t="shared" si="5"/>
        <v>!import-table-item --Spells-Level-5 --Holy Weapon --1</v>
      </c>
      <c r="AE32" s="6" t="s">
        <v>862</v>
      </c>
      <c r="AF32" s="6" t="s">
        <v>1503</v>
      </c>
      <c r="AG32" s="6">
        <v>1</v>
      </c>
      <c r="AH32" s="9">
        <f>IF(AG32=0,"-",IF(AG32=1,SUM(AG$1:AG31)+1,SUM(AG$1:AG31)+1 &amp; "-" &amp; SUM(AG$1:AG32)))</f>
        <v>31</v>
      </c>
      <c r="AI32" s="6" t="str">
        <f t="shared" si="9"/>
        <v>!import-table-item --Spells-Level-6 --Move Earth --1</v>
      </c>
      <c r="AJ32" s="6"/>
      <c r="AK32" s="6"/>
      <c r="AL32" s="6"/>
      <c r="AM32" s="6"/>
      <c r="AN32" s="6"/>
      <c r="AO32" s="6"/>
      <c r="AP32" s="6"/>
      <c r="AQ32" s="6"/>
      <c r="AR32" s="6"/>
      <c r="AS32" s="6"/>
      <c r="AT32" s="6"/>
      <c r="AU32" s="6"/>
      <c r="AV32" s="6"/>
      <c r="AW32" s="6"/>
      <c r="AX32" s="6"/>
    </row>
    <row r="33" spans="1:50" x14ac:dyDescent="0.25">
      <c r="A33" s="6" t="s">
        <v>555</v>
      </c>
      <c r="B33" s="6" t="s">
        <v>1503</v>
      </c>
      <c r="C33" s="6">
        <v>1</v>
      </c>
      <c r="D33" s="9">
        <f>IF(C33=0,"-",IF(C33=1,SUM(C$1:C32)+1,SUM(C$1:C32)+1 &amp; "-" &amp; SUM(C$1:C33)))</f>
        <v>32</v>
      </c>
      <c r="E33" s="6" t="str">
        <f t="shared" si="0"/>
        <v>!import-table-item --Spells-Cantrip --Sacred Flame --1</v>
      </c>
      <c r="F33" s="6" t="s">
        <v>478</v>
      </c>
      <c r="G33" s="6" t="s">
        <v>1503</v>
      </c>
      <c r="H33" s="6">
        <v>1</v>
      </c>
      <c r="I33" s="9">
        <f>IF(H33=0,"-",IF(H33=1,SUM(H$1:H32)+1,SUM(H$1:H32)+1 &amp; "-" &amp; SUM(H$1:H33)))</f>
        <v>32</v>
      </c>
      <c r="J33" s="6" t="str">
        <f t="shared" si="1"/>
        <v>!import-table-item --Spells-Level-1 --Faerie Fire --1</v>
      </c>
      <c r="K33" s="6" t="s">
        <v>600</v>
      </c>
      <c r="L33" s="6" t="s">
        <v>1409</v>
      </c>
      <c r="M33" s="6">
        <v>1</v>
      </c>
      <c r="N33" s="9">
        <f>IF(M33=0,"-",IF(M33=1,SUM(M$1:M32)+1,SUM(M$1:M32)+1 &amp; "-" &amp; SUM(M$1:M33)))</f>
        <v>32</v>
      </c>
      <c r="O33" s="6" t="str">
        <f t="shared" si="2"/>
        <v>!import-table-item --Spells-Level-2 --Fortune's Favor --1</v>
      </c>
      <c r="P33" s="6" t="s">
        <v>681</v>
      </c>
      <c r="Q33" s="6" t="s">
        <v>1503</v>
      </c>
      <c r="R33" s="6">
        <v>1</v>
      </c>
      <c r="S33" s="9">
        <f>IF(R33=0,"-",IF(R33=1,SUM(R$1:R32)+1,SUM(R$1:R32)+1 &amp; "-" &amp; SUM(R$1:R33)))</f>
        <v>31</v>
      </c>
      <c r="T33" s="6" t="str">
        <f t="shared" si="3"/>
        <v>!import-table-item --Spells-Level-3 --Hypnotic Pattern --1</v>
      </c>
      <c r="U33" s="6" t="s">
        <v>751</v>
      </c>
      <c r="V33" s="6" t="s">
        <v>1503</v>
      </c>
      <c r="W33" s="6">
        <v>1</v>
      </c>
      <c r="X33" s="9">
        <f>IF(W33=0,"-",IF(W33=1,SUM(W$1:W32)+1,SUM(W$1:W32)+1 &amp; "-" &amp; SUM(W$1:W33)))</f>
        <v>32</v>
      </c>
      <c r="Y33" s="6" t="str">
        <f t="shared" si="4"/>
        <v>!import-table-item --Spells-Level-4 --Mordenkainen's Faithful Hound --1</v>
      </c>
      <c r="Z33" s="6" t="s">
        <v>801</v>
      </c>
      <c r="AA33" s="6" t="s">
        <v>1493</v>
      </c>
      <c r="AB33" s="6">
        <v>1</v>
      </c>
      <c r="AC33" s="9">
        <f>IF(AB33=0,"-",IF(AB33=1,SUM(AB$1:AB32)+1,SUM(AB$1:AB32)+1 &amp; "-" &amp; SUM(AB$1:AB33)))</f>
        <v>32</v>
      </c>
      <c r="AD33" s="6" t="str">
        <f t="shared" si="5"/>
        <v>!import-table-item --Spells-Level-5 --Immolation --1</v>
      </c>
      <c r="AE33" s="6" t="s">
        <v>863</v>
      </c>
      <c r="AF33" s="6" t="s">
        <v>1503</v>
      </c>
      <c r="AG33" s="6">
        <v>1</v>
      </c>
      <c r="AH33" s="9">
        <f>IF(AG33=0,"-",IF(AG33=1,SUM(AG$1:AG32)+1,SUM(AG$1:AG32)+1 &amp; "-" &amp; SUM(AG$1:AG33)))</f>
        <v>32</v>
      </c>
      <c r="AI33" s="6" t="str">
        <f t="shared" si="9"/>
        <v>!import-table-item --Spells-Level-6 --Otiluke's Freezing Sphere --1</v>
      </c>
      <c r="AJ33" s="6"/>
      <c r="AK33" s="6"/>
      <c r="AL33" s="6"/>
      <c r="AM33" s="6"/>
      <c r="AN33" s="6"/>
      <c r="AO33" s="6"/>
      <c r="AP33" s="6"/>
      <c r="AQ33" s="6"/>
      <c r="AR33" s="6"/>
      <c r="AS33" s="6"/>
      <c r="AT33" s="6"/>
      <c r="AU33" s="6"/>
      <c r="AV33" s="6"/>
      <c r="AW33" s="6"/>
      <c r="AX33" s="6"/>
    </row>
    <row r="34" spans="1:50" x14ac:dyDescent="0.25">
      <c r="A34" s="6" t="s">
        <v>556</v>
      </c>
      <c r="B34" s="6" t="s">
        <v>1409</v>
      </c>
      <c r="C34" s="6">
        <v>1</v>
      </c>
      <c r="D34" s="9">
        <f>IF(C34=0,"-",IF(C34=1,SUM(C$1:C33)+1,SUM(C$1:C33)+1 &amp; "-" &amp; SUM(C$1:C34)))</f>
        <v>33</v>
      </c>
      <c r="E34" s="6" t="str">
        <f t="shared" si="0"/>
        <v>!import-table-item --Spells-Cantrip --Sapping Sting --1</v>
      </c>
      <c r="F34" s="6" t="s">
        <v>479</v>
      </c>
      <c r="G34" s="6" t="s">
        <v>1503</v>
      </c>
      <c r="H34" s="6">
        <v>1</v>
      </c>
      <c r="I34" s="9">
        <f>IF(H34=0,"-",IF(H34=1,SUM(H$1:H33)+1,SUM(H$1:H33)+1 &amp; "-" &amp; SUM(H$1:H34)))</f>
        <v>33</v>
      </c>
      <c r="J34" s="6" t="str">
        <f t="shared" ref="J34:J65" si="13">"!import-table-item --" &amp; F$1 &amp; " --" &amp; F34 &amp; " --" &amp; H34</f>
        <v>!import-table-item --Spells-Level-1 --False Life --1</v>
      </c>
      <c r="K34" s="6" t="s">
        <v>601</v>
      </c>
      <c r="L34" s="6" t="s">
        <v>1503</v>
      </c>
      <c r="M34" s="6">
        <v>1</v>
      </c>
      <c r="N34" s="9">
        <f>IF(M34=0,"-",IF(M34=1,SUM(M$1:M33)+1,SUM(M$1:M33)+1 &amp; "-" &amp; SUM(M$1:M34)))</f>
        <v>33</v>
      </c>
      <c r="O34" s="6" t="str">
        <f t="shared" ref="O34:O65" si="14">"!import-table-item --" &amp; K$1 &amp; " --" &amp; K34 &amp; " --" &amp; M34</f>
        <v>!import-table-item --Spells-Level-2 --Gentle Repose --1</v>
      </c>
      <c r="P34" s="6" t="s">
        <v>682</v>
      </c>
      <c r="Q34" s="6" t="s">
        <v>1402</v>
      </c>
      <c r="R34" s="6">
        <v>1</v>
      </c>
      <c r="S34" s="9">
        <f>IF(R34=0,"-",IF(R34=1,SUM(R$1:R33)+1,SUM(R$1:R33)+1 &amp; "-" &amp; SUM(R$1:R34)))</f>
        <v>32</v>
      </c>
      <c r="T34" s="6" t="str">
        <f t="shared" ref="T34:T65" si="15">"!import-table-item --" &amp; P$1 &amp; " --" &amp; P34 &amp; " --" &amp; R34</f>
        <v>!import-table-item --Spells-Level-3 --Intellect Fortress --1</v>
      </c>
      <c r="U34" s="6" t="s">
        <v>752</v>
      </c>
      <c r="V34" s="6" t="s">
        <v>1503</v>
      </c>
      <c r="W34" s="6">
        <v>1</v>
      </c>
      <c r="X34" s="9">
        <f>IF(W34=0,"-",IF(W34=1,SUM(W$1:W33)+1,SUM(W$1:W33)+1 &amp; "-" &amp; SUM(W$1:W34)))</f>
        <v>33</v>
      </c>
      <c r="Y34" s="6" t="str">
        <f t="shared" ref="Y34:Y52" si="16">"!import-table-item --" &amp; U$1 &amp; " --" &amp; U34 &amp; " --" &amp; W34</f>
        <v>!import-table-item --Spells-Level-4 --Mordenkainen's Private Sanctum --1</v>
      </c>
      <c r="Z34" s="6" t="s">
        <v>802</v>
      </c>
      <c r="AA34" s="6" t="s">
        <v>1493</v>
      </c>
      <c r="AB34" s="6">
        <v>1</v>
      </c>
      <c r="AC34" s="9">
        <f>IF(AB34=0,"-",IF(AB34=1,SUM(AB$1:AB33)+1,SUM(AB$1:AB33)+1 &amp; "-" &amp; SUM(AB$1:AB34)))</f>
        <v>33</v>
      </c>
      <c r="AD34" s="6" t="str">
        <f t="shared" ref="AD34:AD63" si="17">"!import-table-item --" &amp; Z$1 &amp; " --" &amp; Z34 &amp; " --" &amp; AB34</f>
        <v>!import-table-item --Spells-Level-5 --Infernal Calling --1</v>
      </c>
      <c r="AE34" s="6" t="s">
        <v>864</v>
      </c>
      <c r="AF34" s="6" t="s">
        <v>1503</v>
      </c>
      <c r="AG34" s="6">
        <v>1</v>
      </c>
      <c r="AH34" s="9">
        <f>IF(AG34=0,"-",IF(AG34=1,SUM(AG$1:AG33)+1,SUM(AG$1:AG33)+1 &amp; "-" &amp; SUM(AG$1:AG34)))</f>
        <v>33</v>
      </c>
      <c r="AI34" s="6" t="str">
        <f t="shared" si="9"/>
        <v>!import-table-item --Spells-Level-6 --Otto's Irresistible Dance --1</v>
      </c>
      <c r="AJ34" s="6"/>
      <c r="AK34" s="6"/>
      <c r="AL34" s="6"/>
      <c r="AM34" s="6"/>
      <c r="AN34" s="6"/>
      <c r="AO34" s="6"/>
      <c r="AP34" s="6"/>
      <c r="AQ34" s="6"/>
      <c r="AR34" s="6"/>
      <c r="AS34" s="6"/>
      <c r="AT34" s="6"/>
      <c r="AU34" s="6"/>
      <c r="AV34" s="6"/>
      <c r="AW34" s="6"/>
      <c r="AX34" s="6"/>
    </row>
    <row r="35" spans="1:50" x14ac:dyDescent="0.25">
      <c r="A35" s="6" t="s">
        <v>557</v>
      </c>
      <c r="B35" s="6" t="s">
        <v>1493</v>
      </c>
      <c r="C35" s="6">
        <v>1</v>
      </c>
      <c r="D35" s="9">
        <f>IF(C35=0,"-",IF(C35=1,SUM(C$1:C34)+1,SUM(C$1:C34)+1 &amp; "-" &amp; SUM(C$1:C35)))</f>
        <v>34</v>
      </c>
      <c r="E35" s="6" t="str">
        <f t="shared" si="0"/>
        <v>!import-table-item --Spells-Cantrip --Shape Water --1</v>
      </c>
      <c r="F35" s="6" t="s">
        <v>480</v>
      </c>
      <c r="G35" s="6" t="s">
        <v>1503</v>
      </c>
      <c r="H35" s="6">
        <v>1</v>
      </c>
      <c r="I35" s="9">
        <f>IF(H35=0,"-",IF(H35=1,SUM(H$1:H34)+1,SUM(H$1:H34)+1 &amp; "-" &amp; SUM(H$1:H35)))</f>
        <v>34</v>
      </c>
      <c r="J35" s="6" t="str">
        <f t="shared" si="13"/>
        <v>!import-table-item --Spells-Level-1 --Feather Fall --1</v>
      </c>
      <c r="K35" s="6" t="s">
        <v>602</v>
      </c>
      <c r="L35" s="6" t="s">
        <v>1503</v>
      </c>
      <c r="M35" s="6">
        <v>1</v>
      </c>
      <c r="N35" s="9">
        <f>IF(M35=0,"-",IF(M35=1,SUM(M$1:M34)+1,SUM(M$1:M34)+1 &amp; "-" &amp; SUM(M$1:M35)))</f>
        <v>34</v>
      </c>
      <c r="O35" s="6" t="str">
        <f t="shared" si="14"/>
        <v>!import-table-item --Spells-Level-2 --Gust of Wind --1</v>
      </c>
      <c r="P35" s="6" t="s">
        <v>683</v>
      </c>
      <c r="Q35" s="6" t="s">
        <v>1503</v>
      </c>
      <c r="R35" s="6">
        <v>1</v>
      </c>
      <c r="S35" s="9">
        <f>IF(R35=0,"-",IF(R35=1,SUM(R$1:R34)+1,SUM(R$1:R34)+1 &amp; "-" &amp; SUM(R$1:R35)))</f>
        <v>33</v>
      </c>
      <c r="T35" s="6" t="str">
        <f t="shared" si="15"/>
        <v>!import-table-item --Spells-Level-3 --Leomund's Tiny Hut --1</v>
      </c>
      <c r="U35" s="6" t="s">
        <v>753</v>
      </c>
      <c r="V35" s="6" t="s">
        <v>1503</v>
      </c>
      <c r="W35" s="6">
        <v>1</v>
      </c>
      <c r="X35" s="9">
        <f>IF(W35=0,"-",IF(W35=1,SUM(W$1:W34)+1,SUM(W$1:W34)+1 &amp; "-" &amp; SUM(W$1:W35)))</f>
        <v>34</v>
      </c>
      <c r="Y35" s="6" t="str">
        <f t="shared" si="16"/>
        <v>!import-table-item --Spells-Level-4 --Otiluke's Resilient Sphere --1</v>
      </c>
      <c r="Z35" s="6" t="s">
        <v>803</v>
      </c>
      <c r="AA35" s="6" t="s">
        <v>1503</v>
      </c>
      <c r="AB35" s="6">
        <v>1</v>
      </c>
      <c r="AC35" s="9">
        <f>IF(AB35=0,"-",IF(AB35=1,SUM(AB$1:AB34)+1,SUM(AB$1:AB34)+1 &amp; "-" &amp; SUM(AB$1:AB35)))</f>
        <v>34</v>
      </c>
      <c r="AD35" s="6" t="str">
        <f t="shared" si="17"/>
        <v>!import-table-item --Spells-Level-5 --Insect Plague --1</v>
      </c>
      <c r="AE35" s="6" t="s">
        <v>865</v>
      </c>
      <c r="AF35" s="6" t="s">
        <v>1503</v>
      </c>
      <c r="AG35" s="6">
        <v>1</v>
      </c>
      <c r="AH35" s="9">
        <f>IF(AG35=0,"-",IF(AG35=1,SUM(AG$1:AG34)+1,SUM(AG$1:AG34)+1 &amp; "-" &amp; SUM(AG$1:AG35)))</f>
        <v>34</v>
      </c>
      <c r="AI35" s="6" t="str">
        <f t="shared" si="9"/>
        <v>!import-table-item --Spells-Level-6 --Planar Ally --1</v>
      </c>
      <c r="AJ35" s="6"/>
      <c r="AK35" s="6"/>
      <c r="AL35" s="6"/>
      <c r="AM35" s="6"/>
      <c r="AN35" s="6"/>
      <c r="AO35" s="6"/>
      <c r="AP35" s="6"/>
      <c r="AQ35" s="6"/>
      <c r="AR35" s="6"/>
      <c r="AS35" s="6"/>
      <c r="AT35" s="6"/>
      <c r="AU35" s="6"/>
      <c r="AV35" s="6"/>
      <c r="AW35" s="6"/>
      <c r="AX35" s="6"/>
    </row>
    <row r="36" spans="1:50" x14ac:dyDescent="0.25">
      <c r="A36" s="6" t="s">
        <v>558</v>
      </c>
      <c r="B36" s="6" t="s">
        <v>1503</v>
      </c>
      <c r="C36" s="6">
        <v>1</v>
      </c>
      <c r="D36" s="9">
        <f>IF(C36=0,"-",IF(C36=1,SUM(C$1:C35)+1,SUM(C$1:C35)+1 &amp; "-" &amp; SUM(C$1:C36)))</f>
        <v>35</v>
      </c>
      <c r="E36" s="6" t="str">
        <f t="shared" si="0"/>
        <v>!import-table-item --Spells-Cantrip --Shillelagh --1</v>
      </c>
      <c r="F36" s="6" t="s">
        <v>481</v>
      </c>
      <c r="G36" s="6" t="s">
        <v>1503</v>
      </c>
      <c r="H36" s="6">
        <v>1</v>
      </c>
      <c r="I36" s="9">
        <f>IF(H36=0,"-",IF(H36=1,SUM(H$1:H35)+1,SUM(H$1:H35)+1 &amp; "-" &amp; SUM(H$1:H36)))</f>
        <v>35</v>
      </c>
      <c r="J36" s="6" t="str">
        <f t="shared" si="13"/>
        <v>!import-table-item --Spells-Level-1 --Find Familiar --1</v>
      </c>
      <c r="K36" s="6" t="s">
        <v>603</v>
      </c>
      <c r="L36" s="6" t="s">
        <v>1493</v>
      </c>
      <c r="M36" s="6">
        <v>1</v>
      </c>
      <c r="N36" s="9">
        <f>IF(M36=0,"-",IF(M36=1,SUM(M$1:M35)+1,SUM(M$1:M35)+1 &amp; "-" &amp; SUM(M$1:M36)))</f>
        <v>35</v>
      </c>
      <c r="O36" s="6" t="str">
        <f t="shared" si="14"/>
        <v>!import-table-item --Spells-Level-2 --Healing Spirit --1</v>
      </c>
      <c r="P36" s="6" t="s">
        <v>684</v>
      </c>
      <c r="Q36" s="6" t="s">
        <v>1493</v>
      </c>
      <c r="R36" s="6">
        <v>1</v>
      </c>
      <c r="S36" s="9">
        <f>IF(R36=0,"-",IF(R36=1,SUM(R$1:R35)+1,SUM(R$1:R35)+1 &amp; "-" &amp; SUM(R$1:R36)))</f>
        <v>34</v>
      </c>
      <c r="T36" s="6" t="str">
        <f t="shared" si="15"/>
        <v>!import-table-item --Spells-Level-3 --Life Transference --1</v>
      </c>
      <c r="U36" s="6" t="s">
        <v>754</v>
      </c>
      <c r="V36" s="6" t="s">
        <v>1503</v>
      </c>
      <c r="W36" s="6">
        <v>1</v>
      </c>
      <c r="X36" s="9">
        <f>IF(W36=0,"-",IF(W36=1,SUM(W$1:W35)+1,SUM(W$1:W35)+1 &amp; "-" &amp; SUM(W$1:W36)))</f>
        <v>35</v>
      </c>
      <c r="Y36" s="6" t="str">
        <f t="shared" si="16"/>
        <v>!import-table-item --Spells-Level-4 --Phantasmal Killer --1</v>
      </c>
      <c r="Z36" s="6" t="s">
        <v>804</v>
      </c>
      <c r="AA36" s="6" t="s">
        <v>1503</v>
      </c>
      <c r="AB36" s="6">
        <v>1</v>
      </c>
      <c r="AC36" s="9">
        <f>IF(AB36=0,"-",IF(AB36=1,SUM(AB$1:AB35)+1,SUM(AB$1:AB35)+1 &amp; "-" &amp; SUM(AB$1:AB36)))</f>
        <v>35</v>
      </c>
      <c r="AD36" s="6" t="str">
        <f t="shared" si="17"/>
        <v>!import-table-item --Spells-Level-5 --Legend Lore --1</v>
      </c>
      <c r="AE36" s="6" t="s">
        <v>866</v>
      </c>
      <c r="AF36" s="6" t="s">
        <v>1493</v>
      </c>
      <c r="AG36" s="6">
        <v>1</v>
      </c>
      <c r="AH36" s="9">
        <f>IF(AG36=0,"-",IF(AG36=1,SUM(AG$1:AG35)+1,SUM(AG$1:AG35)+1 &amp; "-" &amp; SUM(AG$1:AG36)))</f>
        <v>35</v>
      </c>
      <c r="AI36" s="6" t="str">
        <f t="shared" si="9"/>
        <v>!import-table-item --Spells-Level-6 --Primordial Ward --1</v>
      </c>
      <c r="AJ36" s="6"/>
      <c r="AK36" s="6"/>
      <c r="AL36" s="6"/>
      <c r="AM36" s="6"/>
      <c r="AN36" s="6"/>
      <c r="AO36" s="6"/>
      <c r="AP36" s="6"/>
      <c r="AQ36" s="6"/>
      <c r="AR36" s="6"/>
      <c r="AS36" s="6"/>
      <c r="AT36" s="6"/>
      <c r="AU36" s="6"/>
      <c r="AV36" s="6"/>
      <c r="AW36" s="6"/>
      <c r="AX36" s="6"/>
    </row>
    <row r="37" spans="1:50" x14ac:dyDescent="0.25">
      <c r="A37" s="6" t="s">
        <v>559</v>
      </c>
      <c r="B37" s="6" t="s">
        <v>1503</v>
      </c>
      <c r="C37" s="6">
        <v>1</v>
      </c>
      <c r="D37" s="9">
        <f>IF(C37=0,"-",IF(C37=1,SUM(C$1:C36)+1,SUM(C$1:C36)+1 &amp; "-" &amp; SUM(C$1:C37)))</f>
        <v>36</v>
      </c>
      <c r="E37" s="6" t="str">
        <f t="shared" si="0"/>
        <v>!import-table-item --Spells-Cantrip --Shocking Grasp --1</v>
      </c>
      <c r="F37" s="6" t="s">
        <v>482</v>
      </c>
      <c r="G37" s="6" t="s">
        <v>1503</v>
      </c>
      <c r="H37" s="6">
        <v>1</v>
      </c>
      <c r="I37" s="9">
        <f>IF(H37=0,"-",IF(H37=1,SUM(H$1:H36)+1,SUM(H$1:H36)+1 &amp; "-" &amp; SUM(H$1:H37)))</f>
        <v>36</v>
      </c>
      <c r="J37" s="6" t="str">
        <f t="shared" si="13"/>
        <v>!import-table-item --Spells-Level-1 --Fog Cloud --1</v>
      </c>
      <c r="K37" s="6" t="s">
        <v>604</v>
      </c>
      <c r="L37" s="6" t="s">
        <v>1503</v>
      </c>
      <c r="M37" s="6">
        <v>1</v>
      </c>
      <c r="N37" s="9">
        <f>IF(M37=0,"-",IF(M37=1,SUM(M$1:M36)+1,SUM(M$1:M36)+1 &amp; "-" &amp; SUM(M$1:M37)))</f>
        <v>36</v>
      </c>
      <c r="O37" s="6" t="str">
        <f t="shared" si="14"/>
        <v>!import-table-item --Spells-Level-2 --Heat Metal --1</v>
      </c>
      <c r="P37" s="6" t="s">
        <v>685</v>
      </c>
      <c r="Q37" s="6" t="s">
        <v>1503</v>
      </c>
      <c r="R37" s="6">
        <v>1</v>
      </c>
      <c r="S37" s="9">
        <f>IF(R37=0,"-",IF(R37=1,SUM(R$1:R36)+1,SUM(R$1:R36)+1 &amp; "-" &amp; SUM(R$1:R37)))</f>
        <v>35</v>
      </c>
      <c r="T37" s="6" t="str">
        <f t="shared" si="15"/>
        <v>!import-table-item --Spells-Level-3 --Lightning Arrow --1</v>
      </c>
      <c r="U37" s="6" t="s">
        <v>755</v>
      </c>
      <c r="V37" s="6" t="s">
        <v>1503</v>
      </c>
      <c r="W37" s="6">
        <v>1</v>
      </c>
      <c r="X37" s="9">
        <f>IF(W37=0,"-",IF(W37=1,SUM(W$1:W36)+1,SUM(W$1:W36)+1 &amp; "-" &amp; SUM(W$1:W37)))</f>
        <v>36</v>
      </c>
      <c r="Y37" s="6" t="str">
        <f t="shared" si="16"/>
        <v>!import-table-item --Spells-Level-4 --Polymorph --1</v>
      </c>
      <c r="Z37" s="6" t="s">
        <v>805</v>
      </c>
      <c r="AA37" s="6" t="s">
        <v>1493</v>
      </c>
      <c r="AB37" s="6">
        <v>1</v>
      </c>
      <c r="AC37" s="9">
        <f>IF(AB37=0,"-",IF(AB37=1,SUM(AB$1:AB36)+1,SUM(AB$1:AB36)+1 &amp; "-" &amp; SUM(AB$1:AB37)))</f>
        <v>36</v>
      </c>
      <c r="AD37" s="6" t="str">
        <f t="shared" si="17"/>
        <v>!import-table-item --Spells-Level-5 --Maelstrom --1</v>
      </c>
      <c r="AE37" s="6" t="s">
        <v>867</v>
      </c>
      <c r="AF37" s="6" t="s">
        <v>1503</v>
      </c>
      <c r="AG37" s="6">
        <v>1</v>
      </c>
      <c r="AH37" s="9">
        <f>IF(AG37=0,"-",IF(AG37=1,SUM(AG$1:AG36)+1,SUM(AG$1:AG36)+1 &amp; "-" &amp; SUM(AG$1:AG37)))</f>
        <v>36</v>
      </c>
      <c r="AI37" s="6" t="str">
        <f t="shared" si="9"/>
        <v>!import-table-item --Spells-Level-6 --Programmed Illusion --1</v>
      </c>
      <c r="AJ37" s="6"/>
      <c r="AK37" s="6"/>
      <c r="AL37" s="6"/>
      <c r="AM37" s="6"/>
      <c r="AN37" s="6"/>
      <c r="AO37" s="6"/>
      <c r="AP37" s="6"/>
      <c r="AQ37" s="6"/>
      <c r="AR37" s="6"/>
      <c r="AS37" s="6"/>
      <c r="AT37" s="6"/>
      <c r="AU37" s="6"/>
      <c r="AV37" s="6"/>
      <c r="AW37" s="6"/>
      <c r="AX37" s="6"/>
    </row>
    <row r="38" spans="1:50" x14ac:dyDescent="0.25">
      <c r="A38" s="6" t="s">
        <v>560</v>
      </c>
      <c r="B38" s="6" t="s">
        <v>1503</v>
      </c>
      <c r="C38" s="6">
        <v>1</v>
      </c>
      <c r="D38" s="9">
        <f>IF(C38=0,"-",IF(C38=1,SUM(C$1:C37)+1,SUM(C$1:C37)+1 &amp; "-" &amp; SUM(C$1:C38)))</f>
        <v>37</v>
      </c>
      <c r="E38" s="6" t="str">
        <f t="shared" si="0"/>
        <v>!import-table-item --Spells-Cantrip --Spare the Dying --1</v>
      </c>
      <c r="F38" s="6" t="s">
        <v>483</v>
      </c>
      <c r="G38" s="6" t="s">
        <v>1483</v>
      </c>
      <c r="H38" s="6">
        <v>1</v>
      </c>
      <c r="I38" s="9">
        <f>IF(H38=0,"-",IF(H38=1,SUM(H$1:H37)+1,SUM(H$1:H37)+1 &amp; "-" &amp; SUM(H$1:H38)))</f>
        <v>37</v>
      </c>
      <c r="J38" s="6" t="str">
        <f t="shared" si="13"/>
        <v>!import-table-item --Spells-Level-1 --Frost Fingers --1</v>
      </c>
      <c r="K38" s="6" t="s">
        <v>605</v>
      </c>
      <c r="L38" s="6" t="s">
        <v>1503</v>
      </c>
      <c r="M38" s="6">
        <v>1</v>
      </c>
      <c r="N38" s="9">
        <f>IF(M38=0,"-",IF(M38=1,SUM(M$1:M37)+1,SUM(M$1:M37)+1 &amp; "-" &amp; SUM(M$1:M38)))</f>
        <v>37</v>
      </c>
      <c r="O38" s="6" t="str">
        <f t="shared" si="14"/>
        <v>!import-table-item --Spells-Level-2 --Hold Person --1</v>
      </c>
      <c r="P38" s="6" t="s">
        <v>686</v>
      </c>
      <c r="Q38" s="6" t="s">
        <v>1503</v>
      </c>
      <c r="R38" s="6">
        <v>1</v>
      </c>
      <c r="S38" s="9">
        <f>IF(R38=0,"-",IF(R38=1,SUM(R$1:R37)+1,SUM(R$1:R37)+1 &amp; "-" &amp; SUM(R$1:R38)))</f>
        <v>36</v>
      </c>
      <c r="T38" s="6" t="str">
        <f t="shared" si="15"/>
        <v>!import-table-item --Spells-Level-3 --Lightning Bolt --1</v>
      </c>
      <c r="U38" s="6" t="s">
        <v>756</v>
      </c>
      <c r="V38" s="6" t="s">
        <v>1403</v>
      </c>
      <c r="W38" s="6">
        <v>1</v>
      </c>
      <c r="X38" s="9">
        <f>IF(W38=0,"-",IF(W38=1,SUM(W$1:W37)+1,SUM(W$1:W37)+1 &amp; "-" &amp; SUM(W$1:W38)))</f>
        <v>37</v>
      </c>
      <c r="Y38" s="6" t="str">
        <f t="shared" si="16"/>
        <v>!import-table-item --Spells-Level-4 --Raulothim's Psychic Lance --1</v>
      </c>
      <c r="Z38" s="6" t="s">
        <v>806</v>
      </c>
      <c r="AA38" s="6" t="s">
        <v>1503</v>
      </c>
      <c r="AB38" s="6">
        <v>1</v>
      </c>
      <c r="AC38" s="9">
        <f>IF(AB38=0,"-",IF(AB38=1,SUM(AB$1:AB37)+1,SUM(AB$1:AB37)+1 &amp; "-" &amp; SUM(AB$1:AB38)))</f>
        <v>37</v>
      </c>
      <c r="AD38" s="6" t="str">
        <f t="shared" si="17"/>
        <v>!import-table-item --Spells-Level-5 --Mass Cure Wounds --1</v>
      </c>
      <c r="AE38" s="6" t="s">
        <v>868</v>
      </c>
      <c r="AF38" s="6" t="s">
        <v>1493</v>
      </c>
      <c r="AG38" s="6">
        <v>1</v>
      </c>
      <c r="AH38" s="9">
        <f>IF(AG38=0,"-",IF(AG38=1,SUM(AG$1:AG37)+1,SUM(AG$1:AG37)+1 &amp; "-" &amp; SUM(AG$1:AG38)))</f>
        <v>37</v>
      </c>
      <c r="AI38" s="6" t="str">
        <f t="shared" si="9"/>
        <v>!import-table-item --Spells-Level-6 --Scatter --1</v>
      </c>
      <c r="AJ38" s="6"/>
      <c r="AK38" s="6"/>
      <c r="AL38" s="6"/>
      <c r="AM38" s="6"/>
      <c r="AN38" s="6"/>
      <c r="AO38" s="6"/>
      <c r="AP38" s="6"/>
      <c r="AQ38" s="6"/>
      <c r="AR38" s="6"/>
      <c r="AS38" s="6"/>
      <c r="AT38" s="6"/>
      <c r="AU38" s="6"/>
      <c r="AV38" s="6"/>
      <c r="AW38" s="6"/>
      <c r="AX38" s="6"/>
    </row>
    <row r="39" spans="1:50" x14ac:dyDescent="0.25">
      <c r="A39" s="6" t="s">
        <v>561</v>
      </c>
      <c r="B39" s="6" t="s">
        <v>1402</v>
      </c>
      <c r="C39" s="6">
        <v>1</v>
      </c>
      <c r="D39" s="9">
        <f>IF(C39=0,"-",IF(C39=1,SUM(C$1:C38)+1,SUM(C$1:C38)+1 &amp; "-" &amp; SUM(C$1:C39)))</f>
        <v>38</v>
      </c>
      <c r="E39" s="6" t="str">
        <f t="shared" si="0"/>
        <v>!import-table-item --Spells-Cantrip --Sword Burst --1</v>
      </c>
      <c r="F39" s="6" t="s">
        <v>484</v>
      </c>
      <c r="G39" s="6" t="s">
        <v>1409</v>
      </c>
      <c r="H39" s="6">
        <v>1</v>
      </c>
      <c r="I39" s="9">
        <f>IF(H39=0,"-",IF(H39=1,SUM(H$1:H38)+1,SUM(H$1:H38)+1 &amp; "-" &amp; SUM(H$1:H39)))</f>
        <v>38</v>
      </c>
      <c r="J39" s="6" t="str">
        <f t="shared" si="13"/>
        <v>!import-table-item --Spells-Level-1 --Gift of Alacrity --1</v>
      </c>
      <c r="K39" s="6" t="s">
        <v>606</v>
      </c>
      <c r="L39" s="6" t="s">
        <v>1409</v>
      </c>
      <c r="M39" s="6">
        <v>1</v>
      </c>
      <c r="N39" s="9">
        <f>IF(M39=0,"-",IF(M39=1,SUM(M$1:M38)+1,SUM(M$1:M38)+1 &amp; "-" &amp; SUM(M$1:M39)))</f>
        <v>38</v>
      </c>
      <c r="O39" s="6" t="str">
        <f t="shared" si="14"/>
        <v>!import-table-item --Spells-Level-2 --Immovable Object --1</v>
      </c>
      <c r="P39" s="6" t="s">
        <v>687</v>
      </c>
      <c r="Q39" s="6" t="s">
        <v>1503</v>
      </c>
      <c r="R39" s="6">
        <v>1</v>
      </c>
      <c r="S39" s="9">
        <f>IF(R39=0,"-",IF(R39=1,SUM(R$1:R38)+1,SUM(R$1:R38)+1 &amp; "-" &amp; SUM(R$1:R39)))</f>
        <v>37</v>
      </c>
      <c r="T39" s="6" t="str">
        <f t="shared" si="15"/>
        <v>!import-table-item --Spells-Level-3 --Magic Circle --1</v>
      </c>
      <c r="U39" s="6" t="s">
        <v>757</v>
      </c>
      <c r="V39" s="6" t="s">
        <v>1493</v>
      </c>
      <c r="W39" s="6">
        <v>1</v>
      </c>
      <c r="X39" s="9">
        <f>IF(W39=0,"-",IF(W39=1,SUM(W$1:W38)+1,SUM(W$1:W38)+1 &amp; "-" &amp; SUM(W$1:W39)))</f>
        <v>38</v>
      </c>
      <c r="Y39" s="6" t="str">
        <f t="shared" si="16"/>
        <v>!import-table-item --Spells-Level-4 --Shadow of Moil --1</v>
      </c>
      <c r="Z39" s="6" t="s">
        <v>807</v>
      </c>
      <c r="AA39" s="6" t="s">
        <v>1503</v>
      </c>
      <c r="AB39" s="6">
        <v>1</v>
      </c>
      <c r="AC39" s="9">
        <f>IF(AB39=0,"-",IF(AB39=1,SUM(AB$1:AB38)+1,SUM(AB$1:AB38)+1 &amp; "-" &amp; SUM(AB$1:AB39)))</f>
        <v>38</v>
      </c>
      <c r="AD39" s="6" t="str">
        <f t="shared" si="17"/>
        <v>!import-table-item --Spells-Level-5 --Mislead --1</v>
      </c>
      <c r="AE39" s="6" t="s">
        <v>869</v>
      </c>
      <c r="AF39" s="6" t="s">
        <v>1493</v>
      </c>
      <c r="AG39" s="6">
        <v>1</v>
      </c>
      <c r="AH39" s="9">
        <f>IF(AG39=0,"-",IF(AG39=1,SUM(AG$1:AG38)+1,SUM(AG$1:AG38)+1 &amp; "-" &amp; SUM(AG$1:AG39)))</f>
        <v>38</v>
      </c>
      <c r="AI39" s="6" t="str">
        <f t="shared" si="9"/>
        <v>!import-table-item --Spells-Level-6 --Soul Cage --1</v>
      </c>
      <c r="AJ39" s="6"/>
      <c r="AK39" s="6"/>
      <c r="AL39" s="6"/>
      <c r="AM39" s="6"/>
      <c r="AN39" s="6"/>
      <c r="AO39" s="6"/>
      <c r="AP39" s="6"/>
      <c r="AQ39" s="6"/>
      <c r="AR39" s="6"/>
      <c r="AS39" s="6"/>
      <c r="AT39" s="6"/>
      <c r="AU39" s="6"/>
      <c r="AV39" s="6"/>
      <c r="AW39" s="6"/>
      <c r="AX39" s="6"/>
    </row>
    <row r="40" spans="1:50" x14ac:dyDescent="0.25">
      <c r="A40" s="6" t="s">
        <v>562</v>
      </c>
      <c r="B40" s="6" t="s">
        <v>1503</v>
      </c>
      <c r="C40" s="6">
        <v>1</v>
      </c>
      <c r="D40" s="9">
        <f>IF(C40=0,"-",IF(C40=1,SUM(C$1:C39)+1,SUM(C$1:C39)+1 &amp; "-" &amp; SUM(C$1:C40)))</f>
        <v>39</v>
      </c>
      <c r="E40" s="6" t="str">
        <f t="shared" si="0"/>
        <v>!import-table-item --Spells-Cantrip --Thaumaturgy --1</v>
      </c>
      <c r="F40" s="6" t="s">
        <v>485</v>
      </c>
      <c r="G40" s="6" t="s">
        <v>1503</v>
      </c>
      <c r="H40" s="6">
        <v>1</v>
      </c>
      <c r="I40" s="9">
        <f>IF(H40=0,"-",IF(H40=1,SUM(H$1:H39)+1,SUM(H$1:H39)+1 &amp; "-" &amp; SUM(H$1:H40)))</f>
        <v>39</v>
      </c>
      <c r="J40" s="6" t="str">
        <f t="shared" si="13"/>
        <v>!import-table-item --Spells-Level-1 --Goodberry --1</v>
      </c>
      <c r="K40" s="6" t="s">
        <v>85</v>
      </c>
      <c r="L40" s="6" t="s">
        <v>1503</v>
      </c>
      <c r="M40" s="6">
        <v>1</v>
      </c>
      <c r="N40" s="9">
        <f>IF(M40=0,"-",IF(M40=1,SUM(M$1:M39)+1,SUM(M$1:M39)+1 &amp; "-" &amp; SUM(M$1:M40)))</f>
        <v>39</v>
      </c>
      <c r="O40" s="6" t="str">
        <f t="shared" si="14"/>
        <v>!import-table-item --Spells-Level-2 --Invisibility --1</v>
      </c>
      <c r="P40" s="6" t="s">
        <v>688</v>
      </c>
      <c r="Q40" s="6" t="s">
        <v>1503</v>
      </c>
      <c r="R40" s="6">
        <v>1</v>
      </c>
      <c r="S40" s="9">
        <f>IF(R40=0,"-",IF(R40=1,SUM(R$1:R39)+1,SUM(R$1:R39)+1 &amp; "-" &amp; SUM(R$1:R40)))</f>
        <v>38</v>
      </c>
      <c r="T40" s="6" t="str">
        <f t="shared" si="15"/>
        <v>!import-table-item --Spells-Level-3 --Major Image --1</v>
      </c>
      <c r="U40" s="6" t="s">
        <v>758</v>
      </c>
      <c r="V40" s="6" t="s">
        <v>1493</v>
      </c>
      <c r="W40" s="6">
        <v>1</v>
      </c>
      <c r="X40" s="9">
        <f>IF(W40=0,"-",IF(W40=1,SUM(W$1:W39)+1,SUM(W$1:W39)+1 &amp; "-" &amp; SUM(W$1:W40)))</f>
        <v>39</v>
      </c>
      <c r="Y40" s="6" t="str">
        <f t="shared" si="16"/>
        <v>!import-table-item --Spells-Level-4 --Sickening Radiance --1</v>
      </c>
      <c r="Z40" s="6" t="s">
        <v>808</v>
      </c>
      <c r="AA40" s="6" t="s">
        <v>1503</v>
      </c>
      <c r="AB40" s="6">
        <v>1</v>
      </c>
      <c r="AC40" s="9">
        <f>IF(AB40=0,"-",IF(AB40=1,SUM(AB$1:AB39)+1,SUM(AB$1:AB39)+1 &amp; "-" &amp; SUM(AB$1:AB40)))</f>
        <v>39</v>
      </c>
      <c r="AD40" s="6" t="str">
        <f t="shared" si="17"/>
        <v>!import-table-item --Spells-Level-5 --Modify Memory --1</v>
      </c>
      <c r="AE40" s="6" t="s">
        <v>870</v>
      </c>
      <c r="AF40" s="6" t="s">
        <v>1402</v>
      </c>
      <c r="AG40" s="6">
        <v>1</v>
      </c>
      <c r="AH40" s="9">
        <f>IF(AG40=0,"-",IF(AG40=1,SUM(AG$1:AG39)+1,SUM(AG$1:AG39)+1 &amp; "-" &amp; SUM(AG$1:AG40)))</f>
        <v>39</v>
      </c>
      <c r="AI40" s="6" t="str">
        <f t="shared" si="9"/>
        <v>!import-table-item --Spells-Level-6 --Summon Fiend --1</v>
      </c>
      <c r="AJ40" s="6"/>
      <c r="AK40" s="6"/>
      <c r="AL40" s="6"/>
      <c r="AM40" s="6"/>
      <c r="AN40" s="6"/>
      <c r="AO40" s="6"/>
      <c r="AP40" s="6"/>
      <c r="AQ40" s="6"/>
      <c r="AR40" s="6"/>
      <c r="AS40" s="6"/>
      <c r="AT40" s="6"/>
      <c r="AU40" s="6"/>
      <c r="AV40" s="6"/>
      <c r="AW40" s="6"/>
      <c r="AX40" s="6"/>
    </row>
    <row r="41" spans="1:50" x14ac:dyDescent="0.25">
      <c r="A41" s="6" t="s">
        <v>563</v>
      </c>
      <c r="B41" s="6" t="s">
        <v>1503</v>
      </c>
      <c r="C41" s="6">
        <v>1</v>
      </c>
      <c r="D41" s="9">
        <f>IF(C41=0,"-",IF(C41=1,SUM(C$1:C40)+1,SUM(C$1:C40)+1 &amp; "-" &amp; SUM(C$1:C41)))</f>
        <v>40</v>
      </c>
      <c r="E41" s="6" t="str">
        <f t="shared" si="0"/>
        <v>!import-table-item --Spells-Cantrip --Thorn Whip --1</v>
      </c>
      <c r="F41" s="6" t="s">
        <v>486</v>
      </c>
      <c r="G41" s="6" t="s">
        <v>1503</v>
      </c>
      <c r="H41" s="6">
        <v>1</v>
      </c>
      <c r="I41" s="9">
        <f>IF(H41=0,"-",IF(H41=1,SUM(H$1:H40)+1,SUM(H$1:H40)+1 &amp; "-" &amp; SUM(H$1:H41)))</f>
        <v>40</v>
      </c>
      <c r="J41" s="6" t="str">
        <f t="shared" si="13"/>
        <v>!import-table-item --Spells-Level-1 --Grease --1</v>
      </c>
      <c r="K41" s="6" t="s">
        <v>607</v>
      </c>
      <c r="L41" s="6" t="s">
        <v>1494</v>
      </c>
      <c r="M41" s="6">
        <v>1</v>
      </c>
      <c r="N41" s="9">
        <f>IF(M41=0,"-",IF(M41=1,SUM(M$1:M40)+1,SUM(M$1:M40)+1 &amp; "-" &amp; SUM(M$1:M41)))</f>
        <v>40</v>
      </c>
      <c r="O41" s="6" t="str">
        <f t="shared" si="14"/>
        <v>!import-table-item --Spells-Level-2 --Kinetic Jaunt --1</v>
      </c>
      <c r="P41" s="6" t="s">
        <v>689</v>
      </c>
      <c r="Q41" s="6" t="s">
        <v>1503</v>
      </c>
      <c r="R41" s="6">
        <v>1</v>
      </c>
      <c r="S41" s="9">
        <f>IF(R41=0,"-",IF(R41=1,SUM(R$1:R40)+1,SUM(R$1:R40)+1 &amp; "-" &amp; SUM(R$1:R41)))</f>
        <v>39</v>
      </c>
      <c r="T41" s="6" t="str">
        <f t="shared" si="15"/>
        <v>!import-table-item --Spells-Level-3 --Mass Healing Word --1</v>
      </c>
      <c r="U41" s="6" t="s">
        <v>1896</v>
      </c>
      <c r="V41" s="6" t="s">
        <v>1875</v>
      </c>
      <c r="W41" s="6">
        <v>1</v>
      </c>
      <c r="X41" s="9">
        <f>IF(W41=0,"-",IF(W41=1,SUM(W$1:W40)+1,SUM(W$1:W40)+1 &amp; "-" &amp; SUM(W$1:W41)))</f>
        <v>40</v>
      </c>
      <c r="Y41" s="6" t="str">
        <f t="shared" si="16"/>
        <v>!import-table-item --Spells-Level-4 --Spirit of Death --1</v>
      </c>
      <c r="Z41" s="6" t="s">
        <v>809</v>
      </c>
      <c r="AA41" s="6" t="s">
        <v>1493</v>
      </c>
      <c r="AB41" s="6">
        <v>1</v>
      </c>
      <c r="AC41" s="9">
        <f>IF(AB41=0,"-",IF(AB41=1,SUM(AB$1:AB40)+1,SUM(AB$1:AB40)+1 &amp; "-" &amp; SUM(AB$1:AB41)))</f>
        <v>40</v>
      </c>
      <c r="AD41" s="6" t="str">
        <f t="shared" si="17"/>
        <v>!import-table-item --Spells-Level-5 --Negative Energy Flood --1</v>
      </c>
      <c r="AE41" s="6" t="s">
        <v>871</v>
      </c>
      <c r="AF41" s="6" t="s">
        <v>1503</v>
      </c>
      <c r="AG41" s="6">
        <v>1</v>
      </c>
      <c r="AH41" s="9">
        <f>IF(AG41=0,"-",IF(AG41=1,SUM(AG$1:AG40)+1,SUM(AG$1:AG40)+1 &amp; "-" &amp; SUM(AG$1:AG41)))</f>
        <v>40</v>
      </c>
      <c r="AI41" s="6" t="str">
        <f t="shared" si="9"/>
        <v>!import-table-item --Spells-Level-6 --Sunbeam --1</v>
      </c>
      <c r="AJ41" s="6"/>
      <c r="AK41" s="6"/>
      <c r="AL41" s="6"/>
      <c r="AM41" s="6"/>
      <c r="AN41" s="6"/>
      <c r="AO41" s="6"/>
      <c r="AP41" s="6"/>
      <c r="AQ41" s="6"/>
      <c r="AR41" s="6"/>
      <c r="AS41" s="6"/>
      <c r="AT41" s="6"/>
      <c r="AU41" s="6"/>
      <c r="AV41" s="6"/>
      <c r="AW41" s="6"/>
      <c r="AX41" s="6"/>
    </row>
    <row r="42" spans="1:50" x14ac:dyDescent="0.25">
      <c r="A42" s="6" t="s">
        <v>564</v>
      </c>
      <c r="B42" s="6" t="s">
        <v>1493</v>
      </c>
      <c r="C42" s="6">
        <v>1</v>
      </c>
      <c r="D42" s="9">
        <f>IF(C42=0,"-",IF(C42=1,SUM(C$1:C41)+1,SUM(C$1:C41)+1 &amp; "-" &amp; SUM(C$1:C42)))</f>
        <v>41</v>
      </c>
      <c r="E42" s="6" t="str">
        <f t="shared" si="0"/>
        <v>!import-table-item --Spells-Cantrip --Thunderclap --1</v>
      </c>
      <c r="F42" s="6" t="s">
        <v>487</v>
      </c>
      <c r="G42" s="6" t="s">
        <v>1503</v>
      </c>
      <c r="H42" s="6">
        <v>1</v>
      </c>
      <c r="I42" s="9">
        <f>IF(H42=0,"-",IF(H42=1,SUM(H$1:H41)+1,SUM(H$1:H41)+1 &amp; "-" &amp; SUM(H$1:H42)))</f>
        <v>41</v>
      </c>
      <c r="J42" s="6" t="str">
        <f t="shared" si="13"/>
        <v>!import-table-item --Spells-Level-1 --Guiding Bolt --1</v>
      </c>
      <c r="K42" s="6" t="s">
        <v>608</v>
      </c>
      <c r="L42" s="6" t="s">
        <v>1503</v>
      </c>
      <c r="M42" s="6">
        <v>1</v>
      </c>
      <c r="N42" s="9">
        <f>IF(M42=0,"-",IF(M42=1,SUM(M$1:M41)+1,SUM(M$1:M41)+1 &amp; "-" &amp; SUM(M$1:M42)))</f>
        <v>41</v>
      </c>
      <c r="O42" s="6" t="str">
        <f t="shared" si="14"/>
        <v>!import-table-item --Spells-Level-2 --Knock --1</v>
      </c>
      <c r="P42" s="6" t="s">
        <v>690</v>
      </c>
      <c r="Q42" s="6" t="s">
        <v>1503</v>
      </c>
      <c r="R42" s="6">
        <v>1</v>
      </c>
      <c r="S42" s="9">
        <f>IF(R42=0,"-",IF(R42=1,SUM(R$1:R41)+1,SUM(R$1:R41)+1 &amp; "-" &amp; SUM(R$1:R42)))</f>
        <v>40</v>
      </c>
      <c r="T42" s="6" t="str">
        <f t="shared" si="15"/>
        <v>!import-table-item --Spells-Level-3 --Meld into Stone --1</v>
      </c>
      <c r="U42" s="6" t="s">
        <v>759</v>
      </c>
      <c r="V42" s="6" t="s">
        <v>1503</v>
      </c>
      <c r="W42" s="6">
        <v>1</v>
      </c>
      <c r="X42" s="9">
        <f>IF(W42=0,"-",IF(W42=1,SUM(W$1:W41)+1,SUM(W$1:W41)+1 &amp; "-" &amp; SUM(W$1:W42)))</f>
        <v>41</v>
      </c>
      <c r="Y42" s="6" t="str">
        <f t="shared" si="16"/>
        <v>!import-table-item --Spells-Level-4 --Staggering Smite --1</v>
      </c>
      <c r="Z42" s="6" t="s">
        <v>810</v>
      </c>
      <c r="AA42" s="6" t="s">
        <v>1503</v>
      </c>
      <c r="AB42" s="6">
        <v>1</v>
      </c>
      <c r="AC42" s="9">
        <f>IF(AB42=0,"-",IF(AB42=1,SUM(AB$1:AB41)+1,SUM(AB$1:AB41)+1 &amp; "-" &amp; SUM(AB$1:AB42)))</f>
        <v>41</v>
      </c>
      <c r="AD42" s="6" t="str">
        <f t="shared" si="17"/>
        <v>!import-table-item --Spells-Level-5 --Passwall --1</v>
      </c>
      <c r="AE42" s="6" t="s">
        <v>872</v>
      </c>
      <c r="AF42" s="6" t="s">
        <v>1402</v>
      </c>
      <c r="AG42" s="6">
        <v>1</v>
      </c>
      <c r="AH42" s="9">
        <f>IF(AG42=0,"-",IF(AG42=1,SUM(AG$1:AG41)+1,SUM(AG$1:AG41)+1 &amp; "-" &amp; SUM(AG$1:AG42)))</f>
        <v>41</v>
      </c>
      <c r="AI42" s="6" t="str">
        <f t="shared" si="9"/>
        <v>!import-table-item --Spells-Level-6 --Tasha's Otherworldly Guise --1</v>
      </c>
      <c r="AJ42" s="6"/>
      <c r="AK42" s="6"/>
      <c r="AL42" s="6"/>
      <c r="AM42" s="6"/>
      <c r="AN42" s="6"/>
      <c r="AO42" s="6"/>
      <c r="AP42" s="6"/>
      <c r="AQ42" s="6"/>
      <c r="AR42" s="6"/>
      <c r="AS42" s="6"/>
      <c r="AT42" s="6"/>
      <c r="AU42" s="6"/>
      <c r="AV42" s="6"/>
      <c r="AW42" s="6"/>
      <c r="AX42" s="6"/>
    </row>
    <row r="43" spans="1:50" x14ac:dyDescent="0.25">
      <c r="A43" s="6" t="s">
        <v>565</v>
      </c>
      <c r="B43" s="6" t="s">
        <v>1493</v>
      </c>
      <c r="C43" s="6">
        <v>1</v>
      </c>
      <c r="D43" s="9">
        <f>IF(C43=0,"-",IF(C43=1,SUM(C$1:C42)+1,SUM(C$1:C42)+1 &amp; "-" &amp; SUM(C$1:C43)))</f>
        <v>42</v>
      </c>
      <c r="E43" s="6" t="str">
        <f t="shared" si="0"/>
        <v>!import-table-item --Spells-Cantrip --Toll the Dead --1</v>
      </c>
      <c r="F43" s="6" t="s">
        <v>488</v>
      </c>
      <c r="G43" s="6" t="s">
        <v>1503</v>
      </c>
      <c r="H43" s="6">
        <v>1</v>
      </c>
      <c r="I43" s="9">
        <f>IF(H43=0,"-",IF(H43=1,SUM(H$1:H42)+1,SUM(H$1:H42)+1 &amp; "-" &amp; SUM(H$1:H43)))</f>
        <v>42</v>
      </c>
      <c r="J43" s="6" t="str">
        <f t="shared" si="13"/>
        <v>!import-table-item --Spells-Level-1 --Hail of Thorns --1</v>
      </c>
      <c r="K43" s="6" t="s">
        <v>609</v>
      </c>
      <c r="L43" s="6" t="s">
        <v>1503</v>
      </c>
      <c r="M43" s="6">
        <v>1</v>
      </c>
      <c r="N43" s="9">
        <f>IF(M43=0,"-",IF(M43=1,SUM(M$1:M42)+1,SUM(M$1:M42)+1 &amp; "-" &amp; SUM(M$1:M43)))</f>
        <v>42</v>
      </c>
      <c r="O43" s="6" t="str">
        <f t="shared" si="14"/>
        <v>!import-table-item --Spells-Level-2 --Lesser Restoration --1</v>
      </c>
      <c r="P43" s="6" t="s">
        <v>691</v>
      </c>
      <c r="Q43" s="6" t="s">
        <v>1493</v>
      </c>
      <c r="R43" s="6">
        <v>1</v>
      </c>
      <c r="S43" s="9">
        <f>IF(R43=0,"-",IF(R43=1,SUM(R$1:R42)+1,SUM(R$1:R42)+1 &amp; "-" &amp; SUM(R$1:R43)))</f>
        <v>41</v>
      </c>
      <c r="T43" s="6" t="str">
        <f t="shared" si="15"/>
        <v>!import-table-item --Spells-Level-3 --Melf's Minute Meteors --1</v>
      </c>
      <c r="U43" s="6" t="s">
        <v>760</v>
      </c>
      <c r="V43" s="6" t="s">
        <v>1503</v>
      </c>
      <c r="W43" s="6">
        <v>1</v>
      </c>
      <c r="X43" s="9">
        <f>IF(W43=0,"-",IF(W43=1,SUM(W$1:W42)+1,SUM(W$1:W42)+1 &amp; "-" &amp; SUM(W$1:W43)))</f>
        <v>42</v>
      </c>
      <c r="Y43" s="6" t="str">
        <f t="shared" si="16"/>
        <v>!import-table-item --Spells-Level-4 --Stone Shape --1</v>
      </c>
      <c r="Z43" s="6" t="s">
        <v>811</v>
      </c>
      <c r="AA43" s="6" t="s">
        <v>1503</v>
      </c>
      <c r="AB43" s="6">
        <v>1</v>
      </c>
      <c r="AC43" s="9">
        <f>IF(AB43=0,"-",IF(AB43=1,SUM(AB$1:AB42)+1,SUM(AB$1:AB42)+1 &amp; "-" &amp; SUM(AB$1:AB43)))</f>
        <v>42</v>
      </c>
      <c r="AD43" s="6" t="str">
        <f t="shared" si="17"/>
        <v>!import-table-item --Spells-Level-5 --Planar Binding --1</v>
      </c>
      <c r="AE43" s="6" t="s">
        <v>873</v>
      </c>
      <c r="AF43" s="6" t="s">
        <v>1493</v>
      </c>
      <c r="AG43" s="6">
        <v>1</v>
      </c>
      <c r="AH43" s="9">
        <f>IF(AG43=0,"-",IF(AG43=1,SUM(AG$1:AG42)+1,SUM(AG$1:AG42)+1 &amp; "-" &amp; SUM(AG$1:AG43)))</f>
        <v>42</v>
      </c>
      <c r="AI43" s="6" t="str">
        <f t="shared" si="9"/>
        <v>!import-table-item --Spells-Level-6 --Tenser's Transformation --1</v>
      </c>
      <c r="AJ43" s="6"/>
      <c r="AK43" s="6"/>
      <c r="AL43" s="6"/>
      <c r="AM43" s="6"/>
      <c r="AN43" s="6"/>
      <c r="AO43" s="6"/>
      <c r="AP43" s="6"/>
      <c r="AQ43" s="6"/>
      <c r="AR43" s="6"/>
      <c r="AS43" s="6"/>
      <c r="AT43" s="6"/>
      <c r="AU43" s="6"/>
      <c r="AV43" s="6"/>
      <c r="AW43" s="6"/>
      <c r="AX43" s="6"/>
    </row>
    <row r="44" spans="1:50" x14ac:dyDescent="0.25">
      <c r="A44" s="6" t="s">
        <v>566</v>
      </c>
      <c r="B44" s="6" t="s">
        <v>1503</v>
      </c>
      <c r="C44" s="6">
        <v>1</v>
      </c>
      <c r="D44" s="9">
        <f>IF(C44=0,"-",IF(C44=1,SUM(C$1:C43)+1,SUM(C$1:C43)+1 &amp; "-" &amp; SUM(C$1:C44)))</f>
        <v>43</v>
      </c>
      <c r="E44" s="6" t="str">
        <f t="shared" si="0"/>
        <v>!import-table-item --Spells-Cantrip --True Strike --1</v>
      </c>
      <c r="F44" s="6" t="s">
        <v>489</v>
      </c>
      <c r="G44" s="6" t="s">
        <v>1503</v>
      </c>
      <c r="H44" s="6">
        <v>1</v>
      </c>
      <c r="I44" s="9">
        <f>IF(H44=0,"-",IF(H44=1,SUM(H$1:H43)+1,SUM(H$1:H43)+1 &amp; "-" &amp; SUM(H$1:H44)))</f>
        <v>43</v>
      </c>
      <c r="J44" s="6" t="str">
        <f t="shared" si="13"/>
        <v>!import-table-item --Spells-Level-1 --Healing Word --1</v>
      </c>
      <c r="K44" s="6" t="s">
        <v>610</v>
      </c>
      <c r="L44" s="6" t="s">
        <v>1503</v>
      </c>
      <c r="M44" s="6">
        <v>1</v>
      </c>
      <c r="N44" s="9">
        <f>IF(M44=0,"-",IF(M44=1,SUM(M$1:M43)+1,SUM(M$1:M43)+1 &amp; "-" &amp; SUM(M$1:M44)))</f>
        <v>43</v>
      </c>
      <c r="O44" s="6" t="str">
        <f t="shared" si="14"/>
        <v>!import-table-item --Spells-Level-2 --Levitate --1</v>
      </c>
      <c r="P44" s="6" t="s">
        <v>692</v>
      </c>
      <c r="Q44" s="6" t="s">
        <v>1503</v>
      </c>
      <c r="R44" s="6">
        <v>1</v>
      </c>
      <c r="S44" s="9">
        <f>IF(R44=0,"-",IF(R44=1,SUM(R$1:R43)+1,SUM(R$1:R43)+1 &amp; "-" &amp; SUM(R$1:R44)))</f>
        <v>42</v>
      </c>
      <c r="T44" s="6" t="str">
        <f t="shared" si="15"/>
        <v>!import-table-item --Spells-Level-3 --Nondetection --1</v>
      </c>
      <c r="U44" s="6" t="s">
        <v>761</v>
      </c>
      <c r="V44" s="6" t="s">
        <v>1503</v>
      </c>
      <c r="W44" s="6">
        <v>1</v>
      </c>
      <c r="X44" s="9">
        <f>IF(W44=0,"-",IF(W44=1,SUM(W$1:W43)+1,SUM(W$1:W43)+1 &amp; "-" &amp; SUM(W$1:W44)))</f>
        <v>43</v>
      </c>
      <c r="Y44" s="6" t="str">
        <f t="shared" si="16"/>
        <v>!import-table-item --Spells-Level-4 --Stoneskin --1</v>
      </c>
      <c r="Z44" s="6" t="s">
        <v>812</v>
      </c>
      <c r="AA44" s="6" t="s">
        <v>1503</v>
      </c>
      <c r="AB44" s="6">
        <v>1</v>
      </c>
      <c r="AC44" s="9">
        <f>IF(AB44=0,"-",IF(AB44=1,SUM(AB$1:AB43)+1,SUM(AB$1:AB43)+1 &amp; "-" &amp; SUM(AB$1:AB44)))</f>
        <v>43</v>
      </c>
      <c r="AD44" s="6" t="str">
        <f t="shared" si="17"/>
        <v>!import-table-item --Spells-Level-5 --Raise Dead --1</v>
      </c>
      <c r="AE44" s="6" t="s">
        <v>874</v>
      </c>
      <c r="AF44" s="6" t="s">
        <v>1503</v>
      </c>
      <c r="AG44" s="6">
        <v>1</v>
      </c>
      <c r="AH44" s="9">
        <f>IF(AG44=0,"-",IF(AG44=1,SUM(AG$1:AG43)+1,SUM(AG$1:AG43)+1 &amp; "-" &amp; SUM(AG$1:AG44)))</f>
        <v>43</v>
      </c>
      <c r="AI44" s="6" t="str">
        <f t="shared" si="9"/>
        <v>!import-table-item --Spells-Level-6 --Transport via Plants --1</v>
      </c>
      <c r="AJ44" s="6"/>
      <c r="AK44" s="6"/>
      <c r="AL44" s="6"/>
      <c r="AM44" s="6"/>
      <c r="AN44" s="6"/>
      <c r="AO44" s="6"/>
      <c r="AP44" s="6"/>
      <c r="AQ44" s="6"/>
      <c r="AR44" s="6"/>
      <c r="AS44" s="6"/>
      <c r="AT44" s="6"/>
      <c r="AU44" s="6"/>
      <c r="AV44" s="6"/>
      <c r="AW44" s="6"/>
      <c r="AX44" s="6"/>
    </row>
    <row r="45" spans="1:50" x14ac:dyDescent="0.25">
      <c r="A45" s="6" t="s">
        <v>567</v>
      </c>
      <c r="B45" s="6" t="s">
        <v>1503</v>
      </c>
      <c r="C45" s="6">
        <v>1</v>
      </c>
      <c r="D45" s="9">
        <f>IF(C45=0,"-",IF(C45=1,SUM(C$1:C44)+1,SUM(C$1:C44)+1 &amp; "-" &amp; SUM(C$1:C45)))</f>
        <v>44</v>
      </c>
      <c r="E45" s="6" t="str">
        <f t="shared" si="0"/>
        <v>!import-table-item --Spells-Cantrip --Vicious Mockery --1</v>
      </c>
      <c r="F45" s="6" t="s">
        <v>490</v>
      </c>
      <c r="G45" s="6" t="s">
        <v>1503</v>
      </c>
      <c r="H45" s="6">
        <v>1</v>
      </c>
      <c r="I45" s="9">
        <f>IF(H45=0,"-",IF(H45=1,SUM(H$1:H44)+1,SUM(H$1:H44)+1 &amp; "-" &amp; SUM(H$1:H45)))</f>
        <v>44</v>
      </c>
      <c r="J45" s="6" t="str">
        <f t="shared" si="13"/>
        <v>!import-table-item --Spells-Level-1 --Hellish Rebuke --1</v>
      </c>
      <c r="K45" s="6" t="s">
        <v>611</v>
      </c>
      <c r="L45" s="6" t="s">
        <v>1503</v>
      </c>
      <c r="M45" s="6">
        <v>1</v>
      </c>
      <c r="N45" s="9">
        <f>IF(M45=0,"-",IF(M45=1,SUM(M$1:M44)+1,SUM(M$1:M44)+1 &amp; "-" &amp; SUM(M$1:M45)))</f>
        <v>44</v>
      </c>
      <c r="O45" s="6" t="str">
        <f t="shared" si="14"/>
        <v>!import-table-item --Spells-Level-2 --Locate Animals or Plants --1</v>
      </c>
      <c r="P45" s="6" t="s">
        <v>693</v>
      </c>
      <c r="Q45" s="6" t="s">
        <v>1503</v>
      </c>
      <c r="R45" s="6">
        <v>1</v>
      </c>
      <c r="S45" s="9">
        <f>IF(R45=0,"-",IF(R45=1,SUM(R$1:R44)+1,SUM(R$1:R44)+1 &amp; "-" &amp; SUM(R$1:R45)))</f>
        <v>43</v>
      </c>
      <c r="T45" s="6" t="str">
        <f t="shared" si="15"/>
        <v>!import-table-item --Spells-Level-3 --Phantom Steed --1</v>
      </c>
      <c r="U45" s="6" t="s">
        <v>762</v>
      </c>
      <c r="V45" s="6" t="s">
        <v>1493</v>
      </c>
      <c r="W45" s="6">
        <v>1</v>
      </c>
      <c r="X45" s="9">
        <f>IF(W45=0,"-",IF(W45=1,SUM(W$1:W44)+1,SUM(W$1:W44)+1 &amp; "-" &amp; SUM(W$1:W45)))</f>
        <v>44</v>
      </c>
      <c r="Y45" s="6" t="str">
        <f t="shared" si="16"/>
        <v>!import-table-item --Spells-Level-4 --Storm Sphere --1</v>
      </c>
      <c r="Z45" s="6" t="s">
        <v>813</v>
      </c>
      <c r="AA45" s="6" t="s">
        <v>1503</v>
      </c>
      <c r="AB45" s="6">
        <v>1</v>
      </c>
      <c r="AC45" s="9">
        <f>IF(AB45=0,"-",IF(AB45=1,SUM(AB$1:AB44)+1,SUM(AB$1:AB44)+1 &amp; "-" &amp; SUM(AB$1:AB45)))</f>
        <v>44</v>
      </c>
      <c r="AD45" s="6" t="str">
        <f t="shared" si="17"/>
        <v>!import-table-item --Spells-Level-5 --Rary's Telepathic Bond --1</v>
      </c>
      <c r="AE45" s="6" t="s">
        <v>875</v>
      </c>
      <c r="AF45" s="6" t="s">
        <v>1503</v>
      </c>
      <c r="AG45" s="6">
        <v>1</v>
      </c>
      <c r="AH45" s="9">
        <f>IF(AG45=0,"-",IF(AG45=1,SUM(AG$1:AG44)+1,SUM(AG$1:AG44)+1 &amp; "-" &amp; SUM(AG$1:AG45)))</f>
        <v>44</v>
      </c>
      <c r="AI45" s="6" t="str">
        <f t="shared" si="9"/>
        <v>!import-table-item --Spells-Level-6 --True Seeing --1</v>
      </c>
      <c r="AJ45" s="6"/>
      <c r="AK45" s="6"/>
      <c r="AL45" s="6"/>
      <c r="AM45" s="6"/>
      <c r="AN45" s="6"/>
      <c r="AO45" s="6"/>
      <c r="AP45" s="6"/>
      <c r="AQ45" s="6"/>
      <c r="AR45" s="6"/>
      <c r="AS45" s="6"/>
      <c r="AT45" s="6"/>
      <c r="AU45" s="6"/>
      <c r="AV45" s="6"/>
      <c r="AW45" s="6"/>
      <c r="AX45" s="6"/>
    </row>
    <row r="46" spans="1:50" x14ac:dyDescent="0.25">
      <c r="A46" s="6" t="s">
        <v>568</v>
      </c>
      <c r="B46" s="6" t="s">
        <v>1493</v>
      </c>
      <c r="C46" s="6">
        <v>1</v>
      </c>
      <c r="D46" s="9">
        <f>IF(C46=0,"-",IF(C46=1,SUM(C$1:C45)+1,SUM(C$1:C45)+1 &amp; "-" &amp; SUM(C$1:C46)))</f>
        <v>45</v>
      </c>
      <c r="E46" s="6" t="str">
        <f t="shared" si="0"/>
        <v>!import-table-item --Spells-Cantrip --Word of Radiance --1</v>
      </c>
      <c r="F46" s="6" t="s">
        <v>491</v>
      </c>
      <c r="G46" s="6" t="s">
        <v>1503</v>
      </c>
      <c r="H46" s="6">
        <v>1</v>
      </c>
      <c r="I46" s="9">
        <f>IF(H46=0,"-",IF(H46=1,SUM(H$1:H45)+1,SUM(H$1:H45)+1 &amp; "-" &amp; SUM(H$1:H46)))</f>
        <v>45</v>
      </c>
      <c r="J46" s="6" t="str">
        <f t="shared" si="13"/>
        <v>!import-table-item --Spells-Level-1 --Heroism --1</v>
      </c>
      <c r="K46" s="6" t="s">
        <v>612</v>
      </c>
      <c r="L46" s="6" t="s">
        <v>1503</v>
      </c>
      <c r="M46" s="6">
        <v>1</v>
      </c>
      <c r="N46" s="9">
        <f>IF(M46=0,"-",IF(M46=1,SUM(M$1:M45)+1,SUM(M$1:M45)+1 &amp; "-" &amp; SUM(M$1:M46)))</f>
        <v>45</v>
      </c>
      <c r="O46" s="6" t="str">
        <f t="shared" si="14"/>
        <v>!import-table-item --Spells-Level-2 --Locate Object --1</v>
      </c>
      <c r="P46" s="6" t="s">
        <v>694</v>
      </c>
      <c r="Q46" s="6" t="s">
        <v>1503</v>
      </c>
      <c r="R46" s="6">
        <v>1</v>
      </c>
      <c r="S46" s="9">
        <f>IF(R46=0,"-",IF(R46=1,SUM(R$1:R45)+1,SUM(R$1:R45)+1 &amp; "-" &amp; SUM(R$1:R46)))</f>
        <v>44</v>
      </c>
      <c r="T46" s="6" t="str">
        <f t="shared" si="15"/>
        <v>!import-table-item --Spells-Level-3 --Plant Growth --1</v>
      </c>
      <c r="U46" s="6" t="s">
        <v>763</v>
      </c>
      <c r="V46" s="6" t="s">
        <v>1402</v>
      </c>
      <c r="W46" s="6">
        <v>1</v>
      </c>
      <c r="X46" s="9">
        <f>IF(W46=0,"-",IF(W46=1,SUM(W$1:W45)+1,SUM(W$1:W45)+1 &amp; "-" &amp; SUM(W$1:W46)))</f>
        <v>45</v>
      </c>
      <c r="Y46" s="6" t="str">
        <f t="shared" si="16"/>
        <v>!import-table-item --Spells-Level-4 --Summon Aberration --1</v>
      </c>
      <c r="Z46" s="6" t="s">
        <v>814</v>
      </c>
      <c r="AA46" s="6" t="s">
        <v>1503</v>
      </c>
      <c r="AB46" s="6">
        <v>1</v>
      </c>
      <c r="AC46" s="9">
        <f>IF(AB46=0,"-",IF(AB46=1,SUM(AB$1:AB45)+1,SUM(AB$1:AB45)+1 &amp; "-" &amp; SUM(AB$1:AB46)))</f>
        <v>45</v>
      </c>
      <c r="AD46" s="6" t="str">
        <f t="shared" si="17"/>
        <v>!import-table-item --Spells-Level-5 --Reincarnate --1</v>
      </c>
      <c r="AE46" s="6" t="s">
        <v>876</v>
      </c>
      <c r="AF46" s="6" t="s">
        <v>1503</v>
      </c>
      <c r="AG46" s="6">
        <v>1</v>
      </c>
      <c r="AH46" s="9">
        <f>IF(AG46=0,"-",IF(AG46=1,SUM(AG$1:AG45)+1,SUM(AG$1:AG45)+1 &amp; "-" &amp; SUM(AG$1:AG46)))</f>
        <v>45</v>
      </c>
      <c r="AI46" s="6" t="str">
        <f t="shared" si="9"/>
        <v>!import-table-item --Spells-Level-6 --Wall of Ice --1</v>
      </c>
      <c r="AJ46" s="6"/>
      <c r="AK46" s="6"/>
      <c r="AL46" s="6"/>
      <c r="AM46" s="6"/>
      <c r="AN46" s="6"/>
      <c r="AO46" s="6"/>
      <c r="AP46" s="6"/>
      <c r="AQ46" s="6"/>
      <c r="AR46" s="6"/>
      <c r="AS46" s="6"/>
      <c r="AT46" s="6"/>
      <c r="AU46" s="6"/>
      <c r="AV46" s="6"/>
      <c r="AW46" s="6"/>
      <c r="AX46" s="6"/>
    </row>
    <row r="47" spans="1:50" x14ac:dyDescent="0.25">
      <c r="A47" s="6"/>
      <c r="B47" s="6"/>
      <c r="C47" s="6"/>
      <c r="D47" s="6"/>
      <c r="E47" s="6"/>
      <c r="F47" s="6" t="s">
        <v>492</v>
      </c>
      <c r="G47" s="6" t="s">
        <v>1503</v>
      </c>
      <c r="H47" s="6">
        <v>1</v>
      </c>
      <c r="I47" s="9">
        <f>IF(H47=0,"-",IF(H47=1,SUM(H$1:H46)+1,SUM(H$1:H46)+1 &amp; "-" &amp; SUM(H$1:H47)))</f>
        <v>46</v>
      </c>
      <c r="J47" s="6" t="str">
        <f t="shared" si="13"/>
        <v>!import-table-item --Spells-Level-1 --Hex --1</v>
      </c>
      <c r="K47" s="6" t="s">
        <v>613</v>
      </c>
      <c r="L47" s="6" t="s">
        <v>1503</v>
      </c>
      <c r="M47" s="6">
        <v>1</v>
      </c>
      <c r="N47" s="9">
        <f>IF(M47=0,"-",IF(M47=1,SUM(M$1:M46)+1,SUM(M$1:M46)+1 &amp; "-" &amp; SUM(M$1:M47)))</f>
        <v>46</v>
      </c>
      <c r="O47" s="6" t="str">
        <f t="shared" si="14"/>
        <v>!import-table-item --Spells-Level-2 --Magic Mouth --1</v>
      </c>
      <c r="P47" s="6" t="s">
        <v>695</v>
      </c>
      <c r="Q47" s="6" t="s">
        <v>1503</v>
      </c>
      <c r="R47" s="6">
        <v>1</v>
      </c>
      <c r="S47" s="9">
        <f>IF(R47=0,"-",IF(R47=1,SUM(R$1:R46)+1,SUM(R$1:R46)+1 &amp; "-" &amp; SUM(R$1:R47)))</f>
        <v>45</v>
      </c>
      <c r="T47" s="6" t="str">
        <f t="shared" si="15"/>
        <v>!import-table-item --Spells-Level-3 --Protection from Energy --1</v>
      </c>
      <c r="U47" s="6" t="s">
        <v>764</v>
      </c>
      <c r="V47" s="6" t="s">
        <v>1402</v>
      </c>
      <c r="W47" s="6">
        <v>1</v>
      </c>
      <c r="X47" s="9">
        <f>IF(W47=0,"-",IF(W47=1,SUM(W$1:W46)+1,SUM(W$1:W46)+1 &amp; "-" &amp; SUM(W$1:W47)))</f>
        <v>46</v>
      </c>
      <c r="Y47" s="6" t="str">
        <f t="shared" si="16"/>
        <v>!import-table-item --Spells-Level-4 --Summon Construct --1</v>
      </c>
      <c r="Z47" s="6" t="s">
        <v>815</v>
      </c>
      <c r="AA47" s="6" t="s">
        <v>1503</v>
      </c>
      <c r="AB47" s="6">
        <v>1</v>
      </c>
      <c r="AC47" s="9">
        <f>IF(AB47=0,"-",IF(AB47=1,SUM(AB$1:AB46)+1,SUM(AB$1:AB46)+1 &amp; "-" &amp; SUM(AB$1:AB47)))</f>
        <v>46</v>
      </c>
      <c r="AD47" s="6" t="str">
        <f t="shared" si="17"/>
        <v>!import-table-item --Spells-Level-5 --Scrying --1</v>
      </c>
      <c r="AE47" s="6" t="s">
        <v>877</v>
      </c>
      <c r="AF47" s="6" t="s">
        <v>1503</v>
      </c>
      <c r="AG47" s="6">
        <v>1</v>
      </c>
      <c r="AH47" s="9">
        <f>IF(AG47=0,"-",IF(AG47=1,SUM(AG$1:AG46)+1,SUM(AG$1:AG46)+1 &amp; "-" &amp; SUM(AG$1:AG47)))</f>
        <v>46</v>
      </c>
      <c r="AI47" s="6" t="str">
        <f t="shared" si="9"/>
        <v>!import-table-item --Spells-Level-6 --Wall of Thorns --1</v>
      </c>
      <c r="AJ47" s="6"/>
      <c r="AK47" s="6"/>
      <c r="AL47" s="6"/>
      <c r="AM47" s="6"/>
      <c r="AN47" s="6"/>
      <c r="AO47" s="6"/>
      <c r="AP47" s="6"/>
      <c r="AQ47" s="6"/>
      <c r="AR47" s="6"/>
      <c r="AS47" s="6"/>
      <c r="AT47" s="6"/>
      <c r="AU47" s="6"/>
      <c r="AV47" s="6"/>
      <c r="AW47" s="6"/>
      <c r="AX47" s="6"/>
    </row>
    <row r="48" spans="1:50" x14ac:dyDescent="0.25">
      <c r="A48" s="6"/>
      <c r="B48" s="6"/>
      <c r="C48" s="6"/>
      <c r="D48" s="6"/>
      <c r="E48" s="6"/>
      <c r="F48" s="6" t="s">
        <v>493</v>
      </c>
      <c r="G48" s="6" t="s">
        <v>1503</v>
      </c>
      <c r="H48" s="6">
        <v>1</v>
      </c>
      <c r="I48" s="9">
        <f>IF(H48=0,"-",IF(H48=1,SUM(H$1:H47)+1,SUM(H$1:H47)+1 &amp; "-" &amp; SUM(H$1:H48)))</f>
        <v>47</v>
      </c>
      <c r="J48" s="6" t="str">
        <f t="shared" si="13"/>
        <v>!import-table-item --Spells-Level-1 --Hunter's Mark --1</v>
      </c>
      <c r="K48" s="6" t="s">
        <v>614</v>
      </c>
      <c r="L48" s="6" t="s">
        <v>1503</v>
      </c>
      <c r="M48" s="6">
        <v>1</v>
      </c>
      <c r="N48" s="9">
        <f>IF(M48=0,"-",IF(M48=1,SUM(M$1:M47)+1,SUM(M$1:M47)+1 &amp; "-" &amp; SUM(M$1:M48)))</f>
        <v>47</v>
      </c>
      <c r="O48" s="6" t="str">
        <f t="shared" si="14"/>
        <v>!import-table-item --Spells-Level-2 --Magic Weapon --1</v>
      </c>
      <c r="P48" s="6" t="s">
        <v>696</v>
      </c>
      <c r="Q48" s="6" t="s">
        <v>1409</v>
      </c>
      <c r="R48" s="6">
        <v>1</v>
      </c>
      <c r="S48" s="9">
        <f>IF(R48=0,"-",IF(R48=1,SUM(R$1:R47)+1,SUM(R$1:R47)+1 &amp; "-" &amp; SUM(R$1:R48)))</f>
        <v>46</v>
      </c>
      <c r="T48" s="6" t="str">
        <f t="shared" si="15"/>
        <v>!import-table-item --Spells-Level-3 --Pulse Wave --1</v>
      </c>
      <c r="U48" s="6" t="s">
        <v>765</v>
      </c>
      <c r="V48" s="6" t="s">
        <v>1402</v>
      </c>
      <c r="W48" s="6">
        <v>1</v>
      </c>
      <c r="X48" s="9">
        <f>IF(W48=0,"-",IF(W48=1,SUM(W$1:W47)+1,SUM(W$1:W47)+1 &amp; "-" &amp; SUM(W$1:W48)))</f>
        <v>47</v>
      </c>
      <c r="Y48" s="6" t="str">
        <f t="shared" si="16"/>
        <v>!import-table-item --Spells-Level-4 --Summon Elemental --1</v>
      </c>
      <c r="Z48" s="6" t="s">
        <v>816</v>
      </c>
      <c r="AA48" s="6" t="s">
        <v>1503</v>
      </c>
      <c r="AB48" s="6">
        <v>1</v>
      </c>
      <c r="AC48" s="9">
        <f>IF(AB48=0,"-",IF(AB48=1,SUM(AB$1:AB47)+1,SUM(AB$1:AB47)+1 &amp; "-" &amp; SUM(AB$1:AB48)))</f>
        <v>47</v>
      </c>
      <c r="AD48" s="6" t="str">
        <f t="shared" si="17"/>
        <v>!import-table-item --Spells-Level-5 --Seeming --1</v>
      </c>
      <c r="AE48" s="6" t="s">
        <v>878</v>
      </c>
      <c r="AF48" s="6" t="s">
        <v>1503</v>
      </c>
      <c r="AG48" s="6">
        <v>1</v>
      </c>
      <c r="AH48" s="9">
        <f>IF(AG48=0,"-",IF(AG48=1,SUM(AG$1:AG47)+1,SUM(AG$1:AG47)+1 &amp; "-" &amp; SUM(AG$1:AG48)))</f>
        <v>47</v>
      </c>
      <c r="AI48" s="6" t="str">
        <f t="shared" si="9"/>
        <v>!import-table-item --Spells-Level-6 --Wind Walk --1</v>
      </c>
      <c r="AJ48" s="6"/>
      <c r="AK48" s="6"/>
      <c r="AL48" s="6"/>
      <c r="AM48" s="6"/>
      <c r="AN48" s="6"/>
      <c r="AO48" s="6"/>
      <c r="AP48" s="6"/>
      <c r="AQ48" s="6"/>
      <c r="AR48" s="6"/>
      <c r="AS48" s="6"/>
      <c r="AT48" s="6"/>
      <c r="AU48" s="6"/>
      <c r="AV48" s="6"/>
      <c r="AW48" s="6"/>
      <c r="AX48" s="6"/>
    </row>
    <row r="49" spans="1:50" x14ac:dyDescent="0.25">
      <c r="A49" s="6"/>
      <c r="B49" s="6"/>
      <c r="C49" s="6"/>
      <c r="D49" s="6"/>
      <c r="E49" s="6"/>
      <c r="F49" s="6" t="s">
        <v>494</v>
      </c>
      <c r="G49" s="6" t="s">
        <v>1493</v>
      </c>
      <c r="H49" s="6">
        <v>1</v>
      </c>
      <c r="I49" s="9">
        <f>IF(H49=0,"-",IF(H49=1,SUM(H$1:H48)+1,SUM(H$1:H48)+1 &amp; "-" &amp; SUM(H$1:H49)))</f>
        <v>48</v>
      </c>
      <c r="J49" s="6" t="str">
        <f t="shared" si="13"/>
        <v>!import-table-item --Spells-Level-1 --Ice Knife --1</v>
      </c>
      <c r="K49" s="6" t="s">
        <v>615</v>
      </c>
      <c r="L49" s="6" t="s">
        <v>1493</v>
      </c>
      <c r="M49" s="6">
        <v>1</v>
      </c>
      <c r="N49" s="9">
        <f>IF(M49=0,"-",IF(M49=1,SUM(M$1:M48)+1,SUM(M$1:M48)+1 &amp; "-" &amp; SUM(M$1:M49)))</f>
        <v>48</v>
      </c>
      <c r="O49" s="6" t="str">
        <f t="shared" si="14"/>
        <v>!import-table-item --Spells-Level-2 --Maximilian's Earthen Grasp --1</v>
      </c>
      <c r="P49" s="6" t="s">
        <v>697</v>
      </c>
      <c r="Q49" s="6" t="s">
        <v>1503</v>
      </c>
      <c r="R49" s="6">
        <v>1</v>
      </c>
      <c r="S49" s="9">
        <f>IF(R49=0,"-",IF(R49=1,SUM(R$1:R48)+1,SUM(R$1:R48)+1 &amp; "-" &amp; SUM(R$1:R49)))</f>
        <v>47</v>
      </c>
      <c r="T49" s="6" t="str">
        <f t="shared" si="15"/>
        <v>!import-table-item --Spells-Level-3 --Remove Curse --1</v>
      </c>
      <c r="U49" s="6" t="s">
        <v>766</v>
      </c>
      <c r="V49" s="6" t="s">
        <v>1493</v>
      </c>
      <c r="W49" s="6">
        <v>1</v>
      </c>
      <c r="X49" s="9">
        <f>IF(W49=0,"-",IF(W49=1,SUM(W$1:W48)+1,SUM(W$1:W48)+1 &amp; "-" &amp; SUM(W$1:W49)))</f>
        <v>48</v>
      </c>
      <c r="Y49" s="6" t="str">
        <f t="shared" si="16"/>
        <v>!import-table-item --Spells-Level-4 --Summon Greater Demon --1</v>
      </c>
      <c r="Z49" s="6" t="s">
        <v>817</v>
      </c>
      <c r="AA49" s="6" t="s">
        <v>1493</v>
      </c>
      <c r="AB49" s="6">
        <v>1</v>
      </c>
      <c r="AC49" s="9">
        <f>IF(AB49=0,"-",IF(AB49=1,SUM(AB$1:AB48)+1,SUM(AB$1:AB48)+1 &amp; "-" &amp; SUM(AB$1:AB49)))</f>
        <v>48</v>
      </c>
      <c r="AD49" s="6" t="str">
        <f t="shared" si="17"/>
        <v>!import-table-item --Spells-Level-5 --Skill Empowerment --1</v>
      </c>
      <c r="AE49" s="6" t="s">
        <v>879</v>
      </c>
      <c r="AF49" s="6" t="s">
        <v>1503</v>
      </c>
      <c r="AG49" s="6">
        <v>1</v>
      </c>
      <c r="AH49" s="9">
        <f>IF(AG49=0,"-",IF(AG49=1,SUM(AG$1:AG48)+1,SUM(AG$1:AG48)+1 &amp; "-" &amp; SUM(AG$1:AG49)))</f>
        <v>48</v>
      </c>
      <c r="AI49" s="6" t="str">
        <f t="shared" si="9"/>
        <v>!import-table-item --Spells-Level-6 --Word of Recall --1</v>
      </c>
      <c r="AJ49" s="6"/>
      <c r="AK49" s="6"/>
      <c r="AL49" s="6"/>
      <c r="AM49" s="6"/>
      <c r="AN49" s="6"/>
      <c r="AO49" s="6"/>
      <c r="AP49" s="6"/>
      <c r="AQ49" s="6"/>
      <c r="AR49" s="6"/>
      <c r="AS49" s="6"/>
      <c r="AT49" s="6"/>
      <c r="AU49" s="6"/>
      <c r="AV49" s="6"/>
      <c r="AW49" s="6"/>
      <c r="AX49" s="6"/>
    </row>
    <row r="50" spans="1:50" x14ac:dyDescent="0.25">
      <c r="A50" s="6"/>
      <c r="B50" s="6"/>
      <c r="C50" s="6"/>
      <c r="D50" s="6"/>
      <c r="E50" s="6"/>
      <c r="F50" s="6" t="s">
        <v>495</v>
      </c>
      <c r="G50" s="6" t="s">
        <v>1503</v>
      </c>
      <c r="H50" s="6">
        <v>1</v>
      </c>
      <c r="I50" s="9">
        <f>IF(H50=0,"-",IF(H50=1,SUM(H$1:H49)+1,SUM(H$1:H49)+1 &amp; "-" &amp; SUM(H$1:H50)))</f>
        <v>49</v>
      </c>
      <c r="J50" s="6" t="str">
        <f t="shared" si="13"/>
        <v>!import-table-item --Spells-Level-1 --Identify --1</v>
      </c>
      <c r="K50" s="6" t="s">
        <v>616</v>
      </c>
      <c r="L50" s="6" t="s">
        <v>1503</v>
      </c>
      <c r="M50" s="6">
        <v>1</v>
      </c>
      <c r="N50" s="9">
        <f>IF(M50=0,"-",IF(M50=1,SUM(M$1:M49)+1,SUM(M$1:M49)+1 &amp; "-" &amp; SUM(M$1:M50)))</f>
        <v>49</v>
      </c>
      <c r="O50" s="6" t="str">
        <f t="shared" si="14"/>
        <v>!import-table-item --Spells-Level-2 --Melf's Acid Arrow --1</v>
      </c>
      <c r="P50" s="6" t="s">
        <v>698</v>
      </c>
      <c r="Q50" s="6" t="s">
        <v>1503</v>
      </c>
      <c r="R50" s="6">
        <v>1</v>
      </c>
      <c r="S50" s="9">
        <f>IF(R50=0,"-",IF(R50=1,SUM(R$1:R49)+1,SUM(R$1:R49)+1 &amp; "-" &amp; SUM(R$1:R50)))</f>
        <v>48</v>
      </c>
      <c r="T50" s="6" t="str">
        <f t="shared" si="15"/>
        <v>!import-table-item --Spells-Level-3 --Revivify --1</v>
      </c>
      <c r="U50" s="6" t="s">
        <v>767</v>
      </c>
      <c r="V50" s="6" t="s">
        <v>1493</v>
      </c>
      <c r="W50" s="6">
        <v>1</v>
      </c>
      <c r="X50" s="9">
        <f>IF(W50=0,"-",IF(W50=1,SUM(W$1:W49)+1,SUM(W$1:W49)+1 &amp; "-" &amp; SUM(W$1:W50)))</f>
        <v>49</v>
      </c>
      <c r="Y50" s="6" t="str">
        <f t="shared" si="16"/>
        <v>!import-table-item --Spells-Level-4 --Vitriolic Sphere --1</v>
      </c>
      <c r="Z50" s="6" t="s">
        <v>818</v>
      </c>
      <c r="AA50" s="6" t="s">
        <v>1493</v>
      </c>
      <c r="AB50" s="6">
        <v>1</v>
      </c>
      <c r="AC50" s="9">
        <f>IF(AB50=0,"-",IF(AB50=1,SUM(AB$1:AB49)+1,SUM(AB$1:AB49)+1 &amp; "-" &amp; SUM(AB$1:AB50)))</f>
        <v>49</v>
      </c>
      <c r="AD50" s="6" t="str">
        <f t="shared" si="17"/>
        <v>!import-table-item --Spells-Level-5 --Steel Wind Strike --1</v>
      </c>
      <c r="AE50" s="6"/>
      <c r="AF50" s="6"/>
      <c r="AG50" s="6"/>
      <c r="AH50" s="6"/>
      <c r="AI50" s="6"/>
      <c r="AJ50" s="6"/>
      <c r="AK50" s="6"/>
      <c r="AL50" s="6"/>
      <c r="AM50" s="6"/>
      <c r="AN50" s="6"/>
      <c r="AO50" s="6"/>
      <c r="AP50" s="6"/>
      <c r="AQ50" s="6"/>
      <c r="AR50" s="6"/>
      <c r="AS50" s="6"/>
      <c r="AT50" s="6"/>
      <c r="AU50" s="6"/>
      <c r="AV50" s="6"/>
      <c r="AW50" s="6"/>
      <c r="AX50" s="6"/>
    </row>
    <row r="51" spans="1:50" x14ac:dyDescent="0.25">
      <c r="A51" s="6"/>
      <c r="B51" s="6"/>
      <c r="C51" s="6"/>
      <c r="D51" s="6"/>
      <c r="E51" s="6"/>
      <c r="F51" s="6" t="s">
        <v>496</v>
      </c>
      <c r="G51" s="6" t="s">
        <v>1503</v>
      </c>
      <c r="H51" s="6">
        <v>1</v>
      </c>
      <c r="I51" s="9">
        <f>IF(H51=0,"-",IF(H51=1,SUM(H$1:H50)+1,SUM(H$1:H50)+1 &amp; "-" &amp; SUM(H$1:H51)))</f>
        <v>50</v>
      </c>
      <c r="J51" s="6" t="str">
        <f t="shared" si="13"/>
        <v>!import-table-item --Spells-Level-1 --Illusory Script --1</v>
      </c>
      <c r="K51" s="6" t="s">
        <v>617</v>
      </c>
      <c r="L51" s="6" t="s">
        <v>1493</v>
      </c>
      <c r="M51" s="6">
        <v>1</v>
      </c>
      <c r="N51" s="9">
        <f>IF(M51=0,"-",IF(M51=1,SUM(M$1:M50)+1,SUM(M$1:M50)+1 &amp; "-" &amp; SUM(M$1:M51)))</f>
        <v>50</v>
      </c>
      <c r="O51" s="6" t="str">
        <f t="shared" si="14"/>
        <v>!import-table-item --Spells-Level-2 --Mind Spike --1</v>
      </c>
      <c r="P51" s="6" t="s">
        <v>699</v>
      </c>
      <c r="Q51" s="6" t="s">
        <v>1503</v>
      </c>
      <c r="R51" s="6">
        <v>1</v>
      </c>
      <c r="S51" s="9">
        <f>IF(R51=0,"-",IF(R51=1,SUM(R$1:R50)+1,SUM(R$1:R50)+1 &amp; "-" &amp; SUM(R$1:R51)))</f>
        <v>49</v>
      </c>
      <c r="T51" s="6" t="str">
        <f t="shared" si="15"/>
        <v>!import-table-item --Spells-Level-3 --Sending --1</v>
      </c>
      <c r="U51" s="6" t="s">
        <v>768</v>
      </c>
      <c r="V51" s="6" t="s">
        <v>1503</v>
      </c>
      <c r="W51" s="6">
        <v>1</v>
      </c>
      <c r="X51" s="9">
        <f>IF(W51=0,"-",IF(W51=1,SUM(W$1:W50)+1,SUM(W$1:W50)+1 &amp; "-" &amp; SUM(W$1:W51)))</f>
        <v>50</v>
      </c>
      <c r="Y51" s="6" t="str">
        <f t="shared" si="16"/>
        <v>!import-table-item --Spells-Level-4 --Wall of Fire --1</v>
      </c>
      <c r="Z51" s="6" t="s">
        <v>819</v>
      </c>
      <c r="AA51" s="6" t="s">
        <v>1402</v>
      </c>
      <c r="AB51" s="6">
        <v>1</v>
      </c>
      <c r="AC51" s="9">
        <f>IF(AB51=0,"-",IF(AB51=1,SUM(AB$1:AB50)+1,SUM(AB$1:AB50)+1 &amp; "-" &amp; SUM(AB$1:AB51)))</f>
        <v>50</v>
      </c>
      <c r="AD51" s="6" t="str">
        <f t="shared" si="17"/>
        <v>!import-table-item --Spells-Level-5 --Summon Celestial --1</v>
      </c>
      <c r="AE51" s="6"/>
      <c r="AF51" s="6"/>
      <c r="AG51" s="6"/>
      <c r="AH51" s="6"/>
      <c r="AI51" s="6"/>
      <c r="AJ51" s="6"/>
      <c r="AK51" s="6"/>
      <c r="AL51" s="6"/>
      <c r="AM51" s="6"/>
      <c r="AN51" s="6"/>
      <c r="AO51" s="6"/>
      <c r="AP51" s="6"/>
      <c r="AQ51" s="6"/>
      <c r="AR51" s="6"/>
      <c r="AS51" s="6"/>
      <c r="AT51" s="6"/>
      <c r="AU51" s="6"/>
      <c r="AV51" s="6"/>
      <c r="AW51" s="6"/>
      <c r="AX51" s="6"/>
    </row>
    <row r="52" spans="1:50" x14ac:dyDescent="0.25">
      <c r="A52" s="6"/>
      <c r="B52" s="6"/>
      <c r="C52" s="6"/>
      <c r="D52" s="6"/>
      <c r="E52" s="6"/>
      <c r="F52" s="6" t="s">
        <v>497</v>
      </c>
      <c r="G52" s="6" t="s">
        <v>1503</v>
      </c>
      <c r="H52" s="6">
        <v>1</v>
      </c>
      <c r="I52" s="9">
        <f>IF(H52=0,"-",IF(H52=1,SUM(H$1:H51)+1,SUM(H$1:H51)+1 &amp; "-" &amp; SUM(H$1:H52)))</f>
        <v>51</v>
      </c>
      <c r="J52" s="6" t="str">
        <f t="shared" si="13"/>
        <v>!import-table-item --Spells-Level-1 --Inflict Wounds --1</v>
      </c>
      <c r="K52" s="6" t="s">
        <v>618</v>
      </c>
      <c r="L52" s="6" t="s">
        <v>1503</v>
      </c>
      <c r="M52" s="6">
        <v>1</v>
      </c>
      <c r="N52" s="9">
        <f>IF(M52=0,"-",IF(M52=1,SUM(M$1:M51)+1,SUM(M$1:M51)+1 &amp; "-" &amp; SUM(M$1:M52)))</f>
        <v>51</v>
      </c>
      <c r="O52" s="6" t="str">
        <f t="shared" si="14"/>
        <v>!import-table-item --Spells-Level-2 --Mirror Image --1</v>
      </c>
      <c r="P52" s="6" t="s">
        <v>700</v>
      </c>
      <c r="Q52" s="6" t="s">
        <v>1503</v>
      </c>
      <c r="R52" s="6">
        <v>1</v>
      </c>
      <c r="S52" s="9">
        <f>IF(R52=0,"-",IF(R52=1,SUM(R$1:R51)+1,SUM(R$1:R51)+1 &amp; "-" &amp; SUM(R$1:R52)))</f>
        <v>50</v>
      </c>
      <c r="T52" s="6" t="str">
        <f t="shared" si="15"/>
        <v>!import-table-item --Spells-Level-3 --Sleet Storm --1</v>
      </c>
      <c r="U52" s="6" t="s">
        <v>769</v>
      </c>
      <c r="V52" s="6" t="s">
        <v>1493</v>
      </c>
      <c r="W52" s="6">
        <v>1</v>
      </c>
      <c r="X52" s="9">
        <f>IF(W52=0,"-",IF(W52=1,SUM(W$1:W51)+1,SUM(W$1:W51)+1 &amp; "-" &amp; SUM(W$1:W52)))</f>
        <v>51</v>
      </c>
      <c r="Y52" s="6" t="str">
        <f t="shared" si="16"/>
        <v>!import-table-item --Spells-Level-4 --Watery Sphere --1</v>
      </c>
      <c r="Z52" s="6" t="s">
        <v>820</v>
      </c>
      <c r="AA52" s="6" t="s">
        <v>1403</v>
      </c>
      <c r="AB52" s="6">
        <v>1</v>
      </c>
      <c r="AC52" s="9">
        <f>IF(AB52=0,"-",IF(AB52=1,SUM(AB$1:AB51)+1,SUM(AB$1:AB51)+1 &amp; "-" &amp; SUM(AB$1:AB52)))</f>
        <v>51</v>
      </c>
      <c r="AD52" s="6" t="str">
        <f t="shared" si="17"/>
        <v>!import-table-item --Spells-Level-5 --Summon Draconic Spirit --1</v>
      </c>
      <c r="AE52" s="6"/>
      <c r="AF52" s="6"/>
      <c r="AG52" s="6"/>
      <c r="AH52" s="6"/>
      <c r="AI52" s="6"/>
      <c r="AJ52" s="6"/>
      <c r="AK52" s="6"/>
      <c r="AL52" s="6"/>
      <c r="AM52" s="6"/>
      <c r="AN52" s="6"/>
      <c r="AO52" s="6"/>
      <c r="AP52" s="6"/>
      <c r="AQ52" s="6"/>
      <c r="AR52" s="6"/>
      <c r="AS52" s="6"/>
      <c r="AT52" s="6"/>
      <c r="AU52" s="6"/>
      <c r="AV52" s="6"/>
      <c r="AW52" s="6"/>
      <c r="AX52" s="6"/>
    </row>
    <row r="53" spans="1:50" x14ac:dyDescent="0.25">
      <c r="A53" s="6"/>
      <c r="B53" s="6"/>
      <c r="C53" s="6"/>
      <c r="D53" s="6"/>
      <c r="E53" s="6"/>
      <c r="F53" s="6" t="s">
        <v>498</v>
      </c>
      <c r="G53" s="6" t="s">
        <v>1503</v>
      </c>
      <c r="H53" s="6">
        <v>1</v>
      </c>
      <c r="I53" s="9">
        <f>IF(H53=0,"-",IF(H53=1,SUM(H$1:H52)+1,SUM(H$1:H52)+1 &amp; "-" &amp; SUM(H$1:H53)))</f>
        <v>52</v>
      </c>
      <c r="J53" s="6" t="str">
        <f t="shared" si="13"/>
        <v>!import-table-item --Spells-Level-1 --Jump --1</v>
      </c>
      <c r="K53" s="6" t="s">
        <v>619</v>
      </c>
      <c r="L53" s="6" t="s">
        <v>1503</v>
      </c>
      <c r="M53" s="6">
        <v>1</v>
      </c>
      <c r="N53" s="9">
        <f>IF(M53=0,"-",IF(M53=1,SUM(M$1:M52)+1,SUM(M$1:M52)+1 &amp; "-" &amp; SUM(M$1:M53)))</f>
        <v>52</v>
      </c>
      <c r="O53" s="6" t="str">
        <f t="shared" si="14"/>
        <v>!import-table-item --Spells-Level-2 --Misty Step --1</v>
      </c>
      <c r="P53" s="6" t="s">
        <v>701</v>
      </c>
      <c r="Q53" s="6" t="s">
        <v>1503</v>
      </c>
      <c r="R53" s="6">
        <v>1</v>
      </c>
      <c r="S53" s="9">
        <f>IF(R53=0,"-",IF(R53=1,SUM(R$1:R52)+1,SUM(R$1:R52)+1 &amp; "-" &amp; SUM(R$1:R53)))</f>
        <v>51</v>
      </c>
      <c r="T53" s="6" t="str">
        <f t="shared" si="15"/>
        <v>!import-table-item --Spells-Level-3 --Slow --1</v>
      </c>
      <c r="U53" s="6"/>
      <c r="V53" s="6"/>
      <c r="W53" s="6"/>
      <c r="X53" s="6"/>
      <c r="Y53" s="6"/>
      <c r="Z53" s="6" t="s">
        <v>821</v>
      </c>
      <c r="AA53" s="6" t="s">
        <v>1503</v>
      </c>
      <c r="AB53" s="6">
        <v>1</v>
      </c>
      <c r="AC53" s="9">
        <f>IF(AB53=0,"-",IF(AB53=1,SUM(AB$1:AB52)+1,SUM(AB$1:AB52)+1 &amp; "-" &amp; SUM(AB$1:AB53)))</f>
        <v>52</v>
      </c>
      <c r="AD53" s="6" t="str">
        <f t="shared" si="17"/>
        <v>!import-table-item --Spells-Level-5 --Swift Quiver --1</v>
      </c>
      <c r="AE53" s="6"/>
      <c r="AF53" s="6"/>
      <c r="AG53" s="6"/>
      <c r="AH53" s="6"/>
      <c r="AI53" s="6"/>
      <c r="AJ53" s="6"/>
      <c r="AK53" s="6"/>
      <c r="AL53" s="6"/>
      <c r="AM53" s="6"/>
      <c r="AN53" s="6"/>
      <c r="AO53" s="6"/>
      <c r="AP53" s="6"/>
      <c r="AQ53" s="6"/>
      <c r="AR53" s="6"/>
      <c r="AS53" s="6"/>
      <c r="AT53" s="6"/>
      <c r="AU53" s="6"/>
      <c r="AV53" s="6"/>
      <c r="AW53" s="6"/>
      <c r="AX53" s="6"/>
    </row>
    <row r="54" spans="1:50" x14ac:dyDescent="0.25">
      <c r="A54" s="6"/>
      <c r="B54" s="6"/>
      <c r="C54" s="6"/>
      <c r="D54" s="6"/>
      <c r="E54" s="6"/>
      <c r="F54" s="6" t="s">
        <v>499</v>
      </c>
      <c r="G54" s="6" t="s">
        <v>1503</v>
      </c>
      <c r="H54" s="6">
        <v>1</v>
      </c>
      <c r="I54" s="9">
        <f>IF(H54=0,"-",IF(H54=1,SUM(H$1:H53)+1,SUM(H$1:H53)+1 &amp; "-" &amp; SUM(H$1:H54)))</f>
        <v>53</v>
      </c>
      <c r="J54" s="6" t="str">
        <f t="shared" si="13"/>
        <v>!import-table-item --Spells-Level-1 --Longstrider --1</v>
      </c>
      <c r="K54" s="6" t="s">
        <v>620</v>
      </c>
      <c r="L54" s="6" t="s">
        <v>1503</v>
      </c>
      <c r="M54" s="6">
        <v>1</v>
      </c>
      <c r="N54" s="9">
        <f>IF(M54=0,"-",IF(M54=1,SUM(M$1:M53)+1,SUM(M$1:M53)+1 &amp; "-" &amp; SUM(M$1:M54)))</f>
        <v>53</v>
      </c>
      <c r="O54" s="6" t="str">
        <f t="shared" si="14"/>
        <v>!import-table-item --Spells-Level-2 --Moonbeam --1</v>
      </c>
      <c r="P54" s="6" t="s">
        <v>702</v>
      </c>
      <c r="Q54" s="6" t="s">
        <v>1503</v>
      </c>
      <c r="R54" s="6">
        <v>1</v>
      </c>
      <c r="S54" s="9">
        <f>IF(R54=0,"-",IF(R54=1,SUM(R$1:R53)+1,SUM(R$1:R53)+1 &amp; "-" &amp; SUM(R$1:R54)))</f>
        <v>52</v>
      </c>
      <c r="T54" s="6" t="str">
        <f t="shared" si="15"/>
        <v>!import-table-item --Spells-Level-3 --Speak with Dead --1</v>
      </c>
      <c r="U54" s="6"/>
      <c r="V54" s="6"/>
      <c r="W54" s="6"/>
      <c r="X54" s="6"/>
      <c r="Y54" s="6"/>
      <c r="Z54" s="6" t="s">
        <v>822</v>
      </c>
      <c r="AA54" s="6" t="s">
        <v>1493</v>
      </c>
      <c r="AB54" s="6">
        <v>1</v>
      </c>
      <c r="AC54" s="9">
        <f>IF(AB54=0,"-",IF(AB54=1,SUM(AB$1:AB53)+1,SUM(AB$1:AB53)+1 &amp; "-" &amp; SUM(AB$1:AB54)))</f>
        <v>53</v>
      </c>
      <c r="AD54" s="6" t="str">
        <f t="shared" si="17"/>
        <v>!import-table-item --Spells-Level-5 --Synaptic Static --1</v>
      </c>
      <c r="AE54" s="6"/>
      <c r="AF54" s="6"/>
      <c r="AG54" s="6"/>
      <c r="AH54" s="6"/>
      <c r="AI54" s="6"/>
      <c r="AJ54" s="6"/>
      <c r="AK54" s="6"/>
      <c r="AL54" s="6"/>
      <c r="AM54" s="6"/>
      <c r="AN54" s="6"/>
      <c r="AO54" s="6"/>
      <c r="AP54" s="6"/>
      <c r="AQ54" s="6"/>
      <c r="AR54" s="6"/>
      <c r="AS54" s="6"/>
      <c r="AT54" s="6"/>
      <c r="AU54" s="6"/>
      <c r="AV54" s="6"/>
      <c r="AW54" s="6"/>
      <c r="AX54" s="6"/>
    </row>
    <row r="55" spans="1:50" x14ac:dyDescent="0.25">
      <c r="A55" s="6"/>
      <c r="B55" s="6"/>
      <c r="C55" s="6"/>
      <c r="D55" s="6"/>
      <c r="E55" s="6"/>
      <c r="F55" s="6" t="s">
        <v>500</v>
      </c>
      <c r="G55" s="6" t="s">
        <v>1503</v>
      </c>
      <c r="H55" s="6">
        <v>1</v>
      </c>
      <c r="I55" s="9">
        <f>IF(H55=0,"-",IF(H55=1,SUM(H$1:H54)+1,SUM(H$1:H54)+1 &amp; "-" &amp; SUM(H$1:H55)))</f>
        <v>54</v>
      </c>
      <c r="J55" s="6" t="str">
        <f t="shared" si="13"/>
        <v>!import-table-item --Spells-Level-1 --Mage Armor --1</v>
      </c>
      <c r="K55" s="6" t="s">
        <v>621</v>
      </c>
      <c r="L55" s="6" t="s">
        <v>1403</v>
      </c>
      <c r="M55" s="6">
        <v>1</v>
      </c>
      <c r="N55" s="9">
        <f>IF(M55=0,"-",IF(M55=1,SUM(M$1:M54)+1,SUM(M$1:M54)+1 &amp; "-" &amp; SUM(M$1:M55)))</f>
        <v>54</v>
      </c>
      <c r="O55" s="6" t="str">
        <f t="shared" si="14"/>
        <v>!import-table-item --Spells-Level-2 --Nathair's Mischief --1</v>
      </c>
      <c r="P55" s="6" t="s">
        <v>703</v>
      </c>
      <c r="Q55" s="6" t="s">
        <v>1503</v>
      </c>
      <c r="R55" s="6">
        <v>1</v>
      </c>
      <c r="S55" s="9">
        <f>IF(R55=0,"-",IF(R55=1,SUM(R$1:R54)+1,SUM(R$1:R54)+1 &amp; "-" &amp; SUM(R$1:R55)))</f>
        <v>53</v>
      </c>
      <c r="T55" s="6" t="str">
        <f t="shared" si="15"/>
        <v>!import-table-item --Spells-Level-3 --Speak with Plants --1</v>
      </c>
      <c r="U55" s="6"/>
      <c r="V55" s="6"/>
      <c r="W55" s="6"/>
      <c r="X55" s="6"/>
      <c r="Y55" s="6"/>
      <c r="Z55" s="6" t="s">
        <v>823</v>
      </c>
      <c r="AA55" s="6" t="s">
        <v>1503</v>
      </c>
      <c r="AB55" s="6">
        <v>1</v>
      </c>
      <c r="AC55" s="9">
        <f>IF(AB55=0,"-",IF(AB55=1,SUM(AB$1:AB54)+1,SUM(AB$1:AB54)+1 &amp; "-" &amp; SUM(AB$1:AB55)))</f>
        <v>54</v>
      </c>
      <c r="AD55" s="6" t="str">
        <f t="shared" si="17"/>
        <v>!import-table-item --Spells-Level-5 --Telekinesis --1</v>
      </c>
      <c r="AE55" s="6"/>
      <c r="AF55" s="6"/>
      <c r="AG55" s="6"/>
      <c r="AH55" s="6"/>
      <c r="AI55" s="6"/>
      <c r="AJ55" s="6"/>
      <c r="AK55" s="6"/>
      <c r="AL55" s="6"/>
      <c r="AM55" s="6"/>
      <c r="AN55" s="6"/>
      <c r="AO55" s="6"/>
      <c r="AP55" s="6"/>
      <c r="AQ55" s="6"/>
      <c r="AR55" s="6"/>
      <c r="AS55" s="6"/>
      <c r="AT55" s="6"/>
      <c r="AU55" s="6"/>
      <c r="AV55" s="6"/>
      <c r="AW55" s="6"/>
      <c r="AX55" s="6"/>
    </row>
    <row r="56" spans="1:50" x14ac:dyDescent="0.25">
      <c r="A56" s="6"/>
      <c r="B56" s="6"/>
      <c r="C56" s="6"/>
      <c r="D56" s="6"/>
      <c r="E56" s="6"/>
      <c r="F56" s="6" t="s">
        <v>501</v>
      </c>
      <c r="G56" s="6" t="s">
        <v>1503</v>
      </c>
      <c r="H56" s="6">
        <v>1</v>
      </c>
      <c r="I56" s="9">
        <f>IF(H56=0,"-",IF(H56=1,SUM(H$1:H55)+1,SUM(H$1:H55)+1 &amp; "-" &amp; SUM(H$1:H56)))</f>
        <v>55</v>
      </c>
      <c r="J56" s="6" t="str">
        <f t="shared" si="13"/>
        <v>!import-table-item --Spells-Level-1 --Magic Missile --1</v>
      </c>
      <c r="K56" s="6" t="s">
        <v>622</v>
      </c>
      <c r="L56" s="6" t="s">
        <v>1503</v>
      </c>
      <c r="M56" s="6">
        <v>1</v>
      </c>
      <c r="N56" s="9">
        <f>IF(M56=0,"-",IF(M56=1,SUM(M$1:M55)+1,SUM(M$1:M55)+1 &amp; "-" &amp; SUM(M$1:M56)))</f>
        <v>55</v>
      </c>
      <c r="O56" s="6" t="str">
        <f t="shared" si="14"/>
        <v>!import-table-item --Spells-Level-2 --Nystul's Magic Aura --1</v>
      </c>
      <c r="P56" s="6" t="s">
        <v>704</v>
      </c>
      <c r="Q56" s="6" t="s">
        <v>1503</v>
      </c>
      <c r="R56" s="6">
        <v>1</v>
      </c>
      <c r="S56" s="9">
        <f>IF(R56=0,"-",IF(R56=1,SUM(R$1:R55)+1,SUM(R$1:R55)+1 &amp; "-" &amp; SUM(R$1:R56)))</f>
        <v>54</v>
      </c>
      <c r="T56" s="6" t="str">
        <f t="shared" si="15"/>
        <v>!import-table-item --Spells-Level-3 --Spirit Guardians --1</v>
      </c>
      <c r="U56" s="6"/>
      <c r="V56" s="6"/>
      <c r="W56" s="6"/>
      <c r="X56" s="6"/>
      <c r="Y56" s="6"/>
      <c r="Z56" s="6" t="s">
        <v>824</v>
      </c>
      <c r="AA56" s="6" t="s">
        <v>1503</v>
      </c>
      <c r="AB56" s="6">
        <v>1</v>
      </c>
      <c r="AC56" s="9">
        <f>IF(AB56=0,"-",IF(AB56=1,SUM(AB$1:AB55)+1,SUM(AB$1:AB55)+1 &amp; "-" &amp; SUM(AB$1:AB56)))</f>
        <v>55</v>
      </c>
      <c r="AD56" s="6" t="str">
        <f t="shared" si="17"/>
        <v>!import-table-item --Spells-Level-5 --Teleportation Circle --1</v>
      </c>
      <c r="AE56" s="6"/>
      <c r="AF56" s="6"/>
      <c r="AG56" s="6"/>
      <c r="AH56" s="6"/>
      <c r="AI56" s="6"/>
      <c r="AJ56" s="6"/>
      <c r="AK56" s="6"/>
      <c r="AL56" s="6"/>
      <c r="AM56" s="6"/>
      <c r="AN56" s="6"/>
      <c r="AO56" s="6"/>
      <c r="AP56" s="6"/>
      <c r="AQ56" s="6"/>
      <c r="AR56" s="6"/>
      <c r="AS56" s="6"/>
      <c r="AT56" s="6"/>
      <c r="AU56" s="6"/>
      <c r="AV56" s="6"/>
      <c r="AW56" s="6"/>
      <c r="AX56" s="6"/>
    </row>
    <row r="57" spans="1:50" x14ac:dyDescent="0.25">
      <c r="A57" s="6"/>
      <c r="B57" s="6"/>
      <c r="C57" s="6"/>
      <c r="D57" s="6"/>
      <c r="E57" s="6"/>
      <c r="F57" s="6" t="s">
        <v>502</v>
      </c>
      <c r="G57" s="6" t="s">
        <v>1409</v>
      </c>
      <c r="H57" s="6">
        <v>1</v>
      </c>
      <c r="I57" s="9">
        <f>IF(H57=0,"-",IF(H57=1,SUM(H$1:H56)+1,SUM(H$1:H56)+1 &amp; "-" &amp; SUM(H$1:H57)))</f>
        <v>56</v>
      </c>
      <c r="J57" s="6" t="str">
        <f t="shared" si="13"/>
        <v>!import-table-item --Spells-Level-1 --Magnify Gravity --1</v>
      </c>
      <c r="K57" s="6" t="s">
        <v>623</v>
      </c>
      <c r="L57" s="6" t="s">
        <v>1503</v>
      </c>
      <c r="M57" s="6">
        <v>1</v>
      </c>
      <c r="N57" s="9">
        <f>IF(M57=0,"-",IF(M57=1,SUM(M$1:M56)+1,SUM(M$1:M56)+1 &amp; "-" &amp; SUM(M$1:M57)))</f>
        <v>56</v>
      </c>
      <c r="O57" s="6" t="str">
        <f t="shared" si="14"/>
        <v>!import-table-item --Spells-Level-2 --Pass without Trace --1</v>
      </c>
      <c r="P57" s="6" t="s">
        <v>705</v>
      </c>
      <c r="Q57" s="6" t="s">
        <v>1402</v>
      </c>
      <c r="R57" s="6">
        <v>1</v>
      </c>
      <c r="S57" s="9">
        <f>IF(R57=0,"-",IF(R57=1,SUM(R$1:R56)+1,SUM(R$1:R56)+1 &amp; "-" &amp; SUM(R$1:R57)))</f>
        <v>55</v>
      </c>
      <c r="T57" s="6" t="str">
        <f t="shared" si="15"/>
        <v>!import-table-item --Spells-Level-3 --Spirit Shroud --1</v>
      </c>
      <c r="U57" s="6"/>
      <c r="V57" s="6"/>
      <c r="W57" s="6"/>
      <c r="X57" s="6"/>
      <c r="Y57" s="6"/>
      <c r="Z57" s="6" t="s">
        <v>825</v>
      </c>
      <c r="AA57" s="6" t="s">
        <v>1409</v>
      </c>
      <c r="AB57" s="6">
        <v>1</v>
      </c>
      <c r="AC57" s="9">
        <f>IF(AB57=0,"-",IF(AB57=1,SUM(AB$1:AB56)+1,SUM(AB$1:AB56)+1 &amp; "-" &amp; SUM(AB$1:AB57)))</f>
        <v>56</v>
      </c>
      <c r="AD57" s="6" t="str">
        <f t="shared" si="17"/>
        <v>!import-table-item --Spells-Level-5 --Temporal Shunt --1</v>
      </c>
      <c r="AE57" s="6"/>
      <c r="AF57" s="6"/>
      <c r="AG57" s="6"/>
      <c r="AH57" s="6"/>
      <c r="AI57" s="6"/>
      <c r="AJ57" s="6"/>
      <c r="AK57" s="6"/>
      <c r="AL57" s="6"/>
      <c r="AM57" s="6"/>
      <c r="AN57" s="6"/>
      <c r="AO57" s="6"/>
      <c r="AP57" s="6"/>
      <c r="AQ57" s="6"/>
      <c r="AR57" s="6"/>
      <c r="AS57" s="6"/>
      <c r="AT57" s="6"/>
      <c r="AU57" s="6"/>
      <c r="AV57" s="6"/>
      <c r="AW57" s="6"/>
      <c r="AX57" s="6"/>
    </row>
    <row r="58" spans="1:50" x14ac:dyDescent="0.25">
      <c r="A58" s="6"/>
      <c r="B58" s="6"/>
      <c r="C58" s="6"/>
      <c r="D58" s="6"/>
      <c r="E58" s="6"/>
      <c r="F58" s="6" t="s">
        <v>503</v>
      </c>
      <c r="G58" s="6" t="s">
        <v>1503</v>
      </c>
      <c r="H58" s="6">
        <v>1</v>
      </c>
      <c r="I58" s="9">
        <f>IF(H58=0,"-",IF(H58=1,SUM(H$1:H57)+1,SUM(H$1:H57)+1 &amp; "-" &amp; SUM(H$1:H58)))</f>
        <v>57</v>
      </c>
      <c r="J58" s="6" t="str">
        <f t="shared" si="13"/>
        <v>!import-table-item --Spells-Level-1 --Protection from Evil and Good --1</v>
      </c>
      <c r="K58" s="6" t="s">
        <v>624</v>
      </c>
      <c r="L58" s="6" t="s">
        <v>1503</v>
      </c>
      <c r="M58" s="6">
        <v>1</v>
      </c>
      <c r="N58" s="9">
        <f>IF(M58=0,"-",IF(M58=1,SUM(M$1:M57)+1,SUM(M$1:M57)+1 &amp; "-" &amp; SUM(M$1:M58)))</f>
        <v>57</v>
      </c>
      <c r="O58" s="6" t="str">
        <f t="shared" si="14"/>
        <v>!import-table-item --Spells-Level-2 --Phantasmal Force --1</v>
      </c>
      <c r="P58" s="6" t="s">
        <v>706</v>
      </c>
      <c r="Q58" s="6" t="s">
        <v>1503</v>
      </c>
      <c r="R58" s="6">
        <v>1</v>
      </c>
      <c r="S58" s="9">
        <f>IF(R58=0,"-",IF(R58=1,SUM(R$1:R57)+1,SUM(R$1:R57)+1 &amp; "-" &amp; SUM(R$1:R58)))</f>
        <v>56</v>
      </c>
      <c r="T58" s="6" t="str">
        <f t="shared" si="15"/>
        <v>!import-table-item --Spells-Level-3 --Stinking Cloud --1</v>
      </c>
      <c r="U58" s="6"/>
      <c r="V58" s="6"/>
      <c r="W58" s="6"/>
      <c r="X58" s="6"/>
      <c r="Y58" s="6"/>
      <c r="Z58" s="6" t="s">
        <v>826</v>
      </c>
      <c r="AA58" s="6" t="s">
        <v>1493</v>
      </c>
      <c r="AB58" s="6">
        <v>1</v>
      </c>
      <c r="AC58" s="9">
        <f>IF(AB58=0,"-",IF(AB58=1,SUM(AB$1:AB57)+1,SUM(AB$1:AB57)+1 &amp; "-" &amp; SUM(AB$1:AB58)))</f>
        <v>57</v>
      </c>
      <c r="AD58" s="6" t="str">
        <f t="shared" si="17"/>
        <v>!import-table-item --Spells-Level-5 --Transmute Rock --1</v>
      </c>
      <c r="AE58" s="6"/>
      <c r="AF58" s="6"/>
      <c r="AG58" s="6"/>
      <c r="AH58" s="6"/>
      <c r="AI58" s="6"/>
      <c r="AJ58" s="6"/>
      <c r="AK58" s="6"/>
      <c r="AL58" s="6"/>
      <c r="AM58" s="6"/>
      <c r="AN58" s="6"/>
      <c r="AO58" s="6"/>
      <c r="AP58" s="6"/>
      <c r="AQ58" s="6"/>
      <c r="AR58" s="6"/>
      <c r="AS58" s="6"/>
      <c r="AT58" s="6"/>
      <c r="AU58" s="6"/>
      <c r="AV58" s="6"/>
      <c r="AW58" s="6"/>
      <c r="AX58" s="6"/>
    </row>
    <row r="59" spans="1:50" x14ac:dyDescent="0.25">
      <c r="A59" s="6"/>
      <c r="B59" s="6"/>
      <c r="C59" s="6"/>
      <c r="D59" s="6"/>
      <c r="E59" s="6"/>
      <c r="F59" s="6" t="s">
        <v>504</v>
      </c>
      <c r="G59" s="6" t="s">
        <v>1503</v>
      </c>
      <c r="H59" s="6">
        <v>1</v>
      </c>
      <c r="I59" s="9">
        <f>IF(H59=0,"-",IF(H59=1,SUM(H$1:H58)+1,SUM(H$1:H58)+1 &amp; "-" &amp; SUM(H$1:H59)))</f>
        <v>58</v>
      </c>
      <c r="J59" s="6" t="str">
        <f t="shared" si="13"/>
        <v>!import-table-item --Spells-Level-1 --Purify Food and Drink --1</v>
      </c>
      <c r="K59" s="6" t="s">
        <v>625</v>
      </c>
      <c r="L59" s="6" t="s">
        <v>1503</v>
      </c>
      <c r="M59" s="6">
        <v>1</v>
      </c>
      <c r="N59" s="9">
        <f>IF(M59=0,"-",IF(M59=1,SUM(M$1:M58)+1,SUM(M$1:M58)+1 &amp; "-" &amp; SUM(M$1:M59)))</f>
        <v>58</v>
      </c>
      <c r="O59" s="6" t="str">
        <f t="shared" si="14"/>
        <v>!import-table-item --Spells-Level-2 --Prayer of Healing --1</v>
      </c>
      <c r="P59" s="6" t="s">
        <v>707</v>
      </c>
      <c r="Q59" s="6" t="s">
        <v>1402</v>
      </c>
      <c r="R59" s="6">
        <v>1</v>
      </c>
      <c r="S59" s="9">
        <f>IF(R59=0,"-",IF(R59=1,SUM(R$1:R58)+1,SUM(R$1:R58)+1 &amp; "-" &amp; SUM(R$1:R59)))</f>
        <v>57</v>
      </c>
      <c r="T59" s="6" t="str">
        <f t="shared" si="15"/>
        <v>!import-table-item --Spells-Level-3 --Summon Fey --1</v>
      </c>
      <c r="U59" s="6"/>
      <c r="V59" s="6"/>
      <c r="W59" s="6"/>
      <c r="X59" s="6"/>
      <c r="Y59" s="6"/>
      <c r="Z59" s="6" t="s">
        <v>827</v>
      </c>
      <c r="AA59" s="6" t="s">
        <v>1503</v>
      </c>
      <c r="AB59" s="6">
        <v>1</v>
      </c>
      <c r="AC59" s="9">
        <f>IF(AB59=0,"-",IF(AB59=1,SUM(AB$1:AB58)+1,SUM(AB$1:AB58)+1 &amp; "-" &amp; SUM(AB$1:AB59)))</f>
        <v>58</v>
      </c>
      <c r="AD59" s="6" t="str">
        <f t="shared" si="17"/>
        <v>!import-table-item --Spells-Level-5 --Tree Stride --1</v>
      </c>
      <c r="AE59" s="6"/>
      <c r="AF59" s="6"/>
      <c r="AG59" s="6"/>
      <c r="AH59" s="6"/>
      <c r="AI59" s="6"/>
      <c r="AJ59" s="6"/>
      <c r="AK59" s="6"/>
      <c r="AL59" s="6"/>
      <c r="AM59" s="6"/>
      <c r="AN59" s="6"/>
      <c r="AO59" s="6"/>
      <c r="AP59" s="6"/>
      <c r="AQ59" s="6"/>
      <c r="AR59" s="6"/>
      <c r="AS59" s="6"/>
      <c r="AT59" s="6"/>
      <c r="AU59" s="6"/>
      <c r="AV59" s="6"/>
      <c r="AW59" s="6"/>
      <c r="AX59" s="6"/>
    </row>
    <row r="60" spans="1:50" x14ac:dyDescent="0.25">
      <c r="A60" s="6"/>
      <c r="B60" s="6"/>
      <c r="C60" s="6"/>
      <c r="D60" s="6"/>
      <c r="E60" s="6"/>
      <c r="F60" s="6" t="s">
        <v>505</v>
      </c>
      <c r="G60" s="6" t="s">
        <v>1503</v>
      </c>
      <c r="H60" s="6">
        <v>1</v>
      </c>
      <c r="I60" s="9">
        <f>IF(H60=0,"-",IF(H60=1,SUM(H$1:H59)+1,SUM(H$1:H59)+1 &amp; "-" &amp; SUM(H$1:H60)))</f>
        <v>59</v>
      </c>
      <c r="J60" s="6" t="str">
        <f t="shared" si="13"/>
        <v>!import-table-item --Spells-Level-1 --Ray of Sickness --1</v>
      </c>
      <c r="K60" s="6" t="s">
        <v>626</v>
      </c>
      <c r="L60" s="6" t="s">
        <v>1503</v>
      </c>
      <c r="M60" s="6">
        <v>1</v>
      </c>
      <c r="N60" s="9">
        <f>IF(M60=0,"-",IF(M60=1,SUM(M$1:M59)+1,SUM(M$1:M59)+1 &amp; "-" &amp; SUM(M$1:M60)))</f>
        <v>59</v>
      </c>
      <c r="O60" s="6" t="str">
        <f t="shared" si="14"/>
        <v>!import-table-item --Spells-Level-2 --Protection from Poison --1</v>
      </c>
      <c r="P60" s="6" t="s">
        <v>708</v>
      </c>
      <c r="Q60" s="6" t="s">
        <v>1493</v>
      </c>
      <c r="R60" s="6">
        <v>1</v>
      </c>
      <c r="S60" s="9">
        <f>IF(R60=0,"-",IF(R60=1,SUM(R$1:R59)+1,SUM(R$1:R59)+1 &amp; "-" &amp; SUM(R$1:R60)))</f>
        <v>58</v>
      </c>
      <c r="T60" s="6" t="str">
        <f t="shared" si="15"/>
        <v>!import-table-item --Spells-Level-3 --Summon Lesser Demons --1</v>
      </c>
      <c r="U60" s="6"/>
      <c r="V60" s="6"/>
      <c r="W60" s="6"/>
      <c r="X60" s="6"/>
      <c r="Y60" s="6"/>
      <c r="Z60" s="6" t="s">
        <v>828</v>
      </c>
      <c r="AA60" s="6" t="s">
        <v>1503</v>
      </c>
      <c r="AB60" s="6">
        <v>1</v>
      </c>
      <c r="AC60" s="9">
        <f>IF(AB60=0,"-",IF(AB60=1,SUM(AB$1:AB59)+1,SUM(AB$1:AB59)+1 &amp; "-" &amp; SUM(AB$1:AB60)))</f>
        <v>59</v>
      </c>
      <c r="AD60" s="6" t="str">
        <f t="shared" si="17"/>
        <v>!import-table-item --Spells-Level-5 --Wall of Force --1</v>
      </c>
      <c r="AE60" s="6"/>
      <c r="AF60" s="6"/>
      <c r="AG60" s="6"/>
      <c r="AH60" s="6"/>
      <c r="AI60" s="6"/>
      <c r="AJ60" s="6"/>
      <c r="AK60" s="6"/>
      <c r="AL60" s="6"/>
      <c r="AM60" s="6"/>
      <c r="AN60" s="6"/>
      <c r="AO60" s="6"/>
      <c r="AP60" s="6"/>
      <c r="AQ60" s="6"/>
      <c r="AR60" s="6"/>
      <c r="AS60" s="6"/>
      <c r="AT60" s="6"/>
      <c r="AU60" s="6"/>
      <c r="AV60" s="6"/>
      <c r="AW60" s="6"/>
      <c r="AX60" s="6"/>
    </row>
    <row r="61" spans="1:50" x14ac:dyDescent="0.25">
      <c r="A61" s="6"/>
      <c r="B61" s="6"/>
      <c r="C61" s="6"/>
      <c r="D61" s="6"/>
      <c r="E61" s="6"/>
      <c r="F61" s="6" t="s">
        <v>506</v>
      </c>
      <c r="G61" s="6" t="s">
        <v>1503</v>
      </c>
      <c r="H61" s="6">
        <v>1</v>
      </c>
      <c r="I61" s="9">
        <f>IF(H61=0,"-",IF(H61=1,SUM(H$1:H60)+1,SUM(H$1:H60)+1 &amp; "-" &amp; SUM(H$1:H61)))</f>
        <v>60</v>
      </c>
      <c r="J61" s="6" t="str">
        <f t="shared" si="13"/>
        <v>!import-table-item --Spells-Level-1 --Sanctuary --1</v>
      </c>
      <c r="K61" s="6" t="s">
        <v>627</v>
      </c>
      <c r="L61" s="6" t="s">
        <v>1493</v>
      </c>
      <c r="M61" s="6">
        <v>1</v>
      </c>
      <c r="N61" s="9">
        <f>IF(M61=0,"-",IF(M61=1,SUM(M$1:M60)+1,SUM(M$1:M60)+1 &amp; "-" &amp; SUM(M$1:M61)))</f>
        <v>60</v>
      </c>
      <c r="O61" s="6" t="str">
        <f t="shared" si="14"/>
        <v>!import-table-item --Spells-Level-2 --Pyrotechnics --1</v>
      </c>
      <c r="P61" s="6" t="s">
        <v>709</v>
      </c>
      <c r="Q61" s="6" t="s">
        <v>1402</v>
      </c>
      <c r="R61" s="6">
        <v>1</v>
      </c>
      <c r="S61" s="9">
        <f>IF(R61=0,"-",IF(R61=1,SUM(R$1:R60)+1,SUM(R$1:R60)+1 &amp; "-" &amp; SUM(R$1:R61)))</f>
        <v>59</v>
      </c>
      <c r="T61" s="6" t="str">
        <f t="shared" si="15"/>
        <v>!import-table-item --Spells-Level-3 --Summon Shadowspawn --1</v>
      </c>
      <c r="U61" s="6"/>
      <c r="V61" s="6"/>
      <c r="W61" s="6"/>
      <c r="X61" s="6"/>
      <c r="Y61" s="6"/>
      <c r="Z61" s="6" t="s">
        <v>829</v>
      </c>
      <c r="AA61" s="6" t="s">
        <v>1493</v>
      </c>
      <c r="AB61" s="6">
        <v>1</v>
      </c>
      <c r="AC61" s="9">
        <f>IF(AB61=0,"-",IF(AB61=1,SUM(AB$1:AB60)+1,SUM(AB$1:AB60)+1 &amp; "-" &amp; SUM(AB$1:AB61)))</f>
        <v>60</v>
      </c>
      <c r="AD61" s="6" t="str">
        <f t="shared" si="17"/>
        <v>!import-table-item --Spells-Level-5 --Wall of Light --1</v>
      </c>
      <c r="AE61" s="6"/>
      <c r="AF61" s="6"/>
      <c r="AG61" s="6"/>
      <c r="AH61" s="6"/>
      <c r="AI61" s="6"/>
      <c r="AJ61" s="6"/>
      <c r="AK61" s="6"/>
      <c r="AL61" s="6"/>
      <c r="AM61" s="6"/>
      <c r="AN61" s="6"/>
      <c r="AO61" s="6"/>
      <c r="AP61" s="6"/>
      <c r="AQ61" s="6"/>
      <c r="AR61" s="6"/>
      <c r="AS61" s="6"/>
      <c r="AT61" s="6"/>
      <c r="AU61" s="6"/>
      <c r="AV61" s="6"/>
      <c r="AW61" s="6"/>
      <c r="AX61" s="6"/>
    </row>
    <row r="62" spans="1:50" x14ac:dyDescent="0.25">
      <c r="A62" s="6"/>
      <c r="B62" s="6"/>
      <c r="C62" s="6"/>
      <c r="D62" s="6"/>
      <c r="E62" s="6"/>
      <c r="F62" s="6" t="s">
        <v>507</v>
      </c>
      <c r="G62" s="6" t="s">
        <v>1503</v>
      </c>
      <c r="H62" s="6">
        <v>1</v>
      </c>
      <c r="I62" s="9">
        <f>IF(H62=0,"-",IF(H62=1,SUM(H$1:H61)+1,SUM(H$1:H61)+1 &amp; "-" &amp; SUM(H$1:H62)))</f>
        <v>61</v>
      </c>
      <c r="J62" s="6" t="str">
        <f t="shared" si="13"/>
        <v>!import-table-item --Spells-Level-1 --Searing Smite --1</v>
      </c>
      <c r="K62" s="6" t="s">
        <v>628</v>
      </c>
      <c r="L62" s="6" t="s">
        <v>1503</v>
      </c>
      <c r="M62" s="6">
        <v>1</v>
      </c>
      <c r="N62" s="9">
        <f>IF(M62=0,"-",IF(M62=1,SUM(M$1:M61)+1,SUM(M$1:M61)+1 &amp; "-" &amp; SUM(M$1:M62)))</f>
        <v>61</v>
      </c>
      <c r="O62" s="6" t="str">
        <f t="shared" si="14"/>
        <v>!import-table-item --Spells-Level-2 --Ray of Enfeeblement --1</v>
      </c>
      <c r="P62" s="6" t="s">
        <v>710</v>
      </c>
      <c r="Q62" s="6" t="s">
        <v>1402</v>
      </c>
      <c r="R62" s="6">
        <v>1</v>
      </c>
      <c r="S62" s="9">
        <f>IF(R62=0,"-",IF(R62=1,SUM(R$1:R61)+1,SUM(R$1:R61)+1 &amp; "-" &amp; SUM(R$1:R62)))</f>
        <v>60</v>
      </c>
      <c r="T62" s="6" t="str">
        <f t="shared" si="15"/>
        <v>!import-table-item --Spells-Level-3 --Summon Undead --1</v>
      </c>
      <c r="U62" s="6"/>
      <c r="V62" s="6"/>
      <c r="W62" s="6"/>
      <c r="X62" s="6"/>
      <c r="Y62" s="6"/>
      <c r="Z62" s="6" t="s">
        <v>830</v>
      </c>
      <c r="AA62" s="6" t="s">
        <v>1503</v>
      </c>
      <c r="AB62" s="6">
        <v>1</v>
      </c>
      <c r="AC62" s="9">
        <f>IF(AB62=0,"-",IF(AB62=1,SUM(AB$1:AB61)+1,SUM(AB$1:AB61)+1 &amp; "-" &amp; SUM(AB$1:AB62)))</f>
        <v>61</v>
      </c>
      <c r="AD62" s="6" t="str">
        <f t="shared" si="17"/>
        <v>!import-table-item --Spells-Level-5 --Wall of Stone --1</v>
      </c>
      <c r="AE62" s="6"/>
      <c r="AF62" s="6"/>
      <c r="AG62" s="6"/>
      <c r="AH62" s="6"/>
      <c r="AI62" s="6"/>
      <c r="AJ62" s="6"/>
      <c r="AK62" s="6"/>
      <c r="AL62" s="6"/>
      <c r="AM62" s="6"/>
      <c r="AN62" s="6"/>
      <c r="AO62" s="6"/>
      <c r="AP62" s="6"/>
      <c r="AQ62" s="6"/>
      <c r="AR62" s="6"/>
      <c r="AS62" s="6"/>
      <c r="AT62" s="6"/>
      <c r="AU62" s="6"/>
      <c r="AV62" s="6"/>
      <c r="AW62" s="6"/>
      <c r="AX62" s="6"/>
    </row>
    <row r="63" spans="1:50" x14ac:dyDescent="0.25">
      <c r="A63" s="6"/>
      <c r="B63" s="6"/>
      <c r="C63" s="6"/>
      <c r="D63" s="6"/>
      <c r="E63" s="6"/>
      <c r="F63" s="6" t="s">
        <v>508</v>
      </c>
      <c r="G63" s="6" t="s">
        <v>1503</v>
      </c>
      <c r="H63" s="6">
        <v>1</v>
      </c>
      <c r="I63" s="9">
        <f>IF(H63=0,"-",IF(H63=1,SUM(H$1:H62)+1,SUM(H$1:H62)+1 &amp; "-" &amp; SUM(H$1:H63)))</f>
        <v>62</v>
      </c>
      <c r="J63" s="6" t="str">
        <f t="shared" si="13"/>
        <v>!import-table-item --Spells-Level-1 --Shield --1</v>
      </c>
      <c r="K63" s="6" t="s">
        <v>629</v>
      </c>
      <c r="L63" s="6" t="s">
        <v>1403</v>
      </c>
      <c r="M63" s="6">
        <v>1</v>
      </c>
      <c r="N63" s="9">
        <f>IF(M63=0,"-",IF(M63=1,SUM(M$1:M62)+1,SUM(M$1:M62)+1 &amp; "-" &amp; SUM(M$1:M63)))</f>
        <v>62</v>
      </c>
      <c r="O63" s="6" t="str">
        <f t="shared" si="14"/>
        <v>!import-table-item --Spells-Level-2 --Rime's Binding Ice --1</v>
      </c>
      <c r="P63" s="6" t="s">
        <v>711</v>
      </c>
      <c r="Q63" s="6" t="s">
        <v>1493</v>
      </c>
      <c r="R63" s="6">
        <v>1</v>
      </c>
      <c r="S63" s="9">
        <f>IF(R63=0,"-",IF(R63=1,SUM(R$1:R62)+1,SUM(R$1:R62)+1 &amp; "-" &amp; SUM(R$1:R63)))</f>
        <v>61</v>
      </c>
      <c r="T63" s="6" t="str">
        <f t="shared" si="15"/>
        <v>!import-table-item --Spells-Level-3 --Thunder Step --1</v>
      </c>
      <c r="U63" s="6"/>
      <c r="V63" s="6"/>
      <c r="W63" s="6"/>
      <c r="X63" s="6"/>
      <c r="Y63" s="6"/>
      <c r="Z63" s="6" t="s">
        <v>831</v>
      </c>
      <c r="AA63" s="6" t="s">
        <v>1493</v>
      </c>
      <c r="AB63" s="6">
        <v>1</v>
      </c>
      <c r="AC63" s="9">
        <f>IF(AB63=0,"-",IF(AB63=1,SUM(AB$1:AB62)+1,SUM(AB$1:AB62)+1 &amp; "-" &amp; SUM(AB$1:AB63)))</f>
        <v>62</v>
      </c>
      <c r="AD63" s="6" t="str">
        <f t="shared" si="17"/>
        <v>!import-table-item --Spells-Level-5 --Wrath of Nature --1</v>
      </c>
      <c r="AE63" s="6"/>
      <c r="AF63" s="6"/>
      <c r="AG63" s="6"/>
      <c r="AH63" s="6"/>
      <c r="AI63" s="6"/>
      <c r="AJ63" s="6"/>
      <c r="AK63" s="6"/>
      <c r="AL63" s="6"/>
      <c r="AM63" s="6"/>
      <c r="AN63" s="6"/>
      <c r="AO63" s="6"/>
      <c r="AP63" s="6"/>
      <c r="AQ63" s="6"/>
      <c r="AR63" s="6"/>
      <c r="AS63" s="6"/>
      <c r="AT63" s="6"/>
      <c r="AU63" s="6"/>
      <c r="AV63" s="6"/>
      <c r="AW63" s="6"/>
      <c r="AX63" s="6"/>
    </row>
    <row r="64" spans="1:50" x14ac:dyDescent="0.25">
      <c r="A64" s="6"/>
      <c r="B64" s="6"/>
      <c r="C64" s="6"/>
      <c r="D64" s="6"/>
      <c r="E64" s="6"/>
      <c r="F64" s="6" t="s">
        <v>509</v>
      </c>
      <c r="G64" s="6" t="s">
        <v>1503</v>
      </c>
      <c r="H64" s="6">
        <v>1</v>
      </c>
      <c r="I64" s="9">
        <f>IF(H64=0,"-",IF(H64=1,SUM(H$1:H63)+1,SUM(H$1:H63)+1 &amp; "-" &amp; SUM(H$1:H64)))</f>
        <v>63</v>
      </c>
      <c r="J64" s="6" t="str">
        <f t="shared" si="13"/>
        <v>!import-table-item --Spells-Level-1 --Shield of Faith --1</v>
      </c>
      <c r="K64" s="6" t="s">
        <v>630</v>
      </c>
      <c r="L64" s="6" t="s">
        <v>1503</v>
      </c>
      <c r="M64" s="6">
        <v>1</v>
      </c>
      <c r="N64" s="9">
        <f>IF(M64=0,"-",IF(M64=1,SUM(M$1:M63)+1,SUM(M$1:M63)+1 &amp; "-" &amp; SUM(M$1:M64)))</f>
        <v>63</v>
      </c>
      <c r="O64" s="6" t="str">
        <f t="shared" si="14"/>
        <v>!import-table-item --Spells-Level-2 --Rope Trick --1</v>
      </c>
      <c r="P64" s="6" t="s">
        <v>712</v>
      </c>
      <c r="Q64" s="6" t="s">
        <v>1493</v>
      </c>
      <c r="R64" s="6">
        <v>1</v>
      </c>
      <c r="S64" s="9">
        <f>IF(R64=0,"-",IF(R64=1,SUM(R$1:R63)+1,SUM(R$1:R63)+1 &amp; "-" &amp; SUM(R$1:R64)))</f>
        <v>62</v>
      </c>
      <c r="T64" s="6" t="str">
        <f t="shared" si="15"/>
        <v>!import-table-item --Spells-Level-3 --Tidal Wave --1</v>
      </c>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row>
    <row r="65" spans="1:50" x14ac:dyDescent="0.25">
      <c r="A65" s="6"/>
      <c r="B65" s="6"/>
      <c r="C65" s="6"/>
      <c r="D65" s="6"/>
      <c r="E65" s="6"/>
      <c r="F65" s="6" t="s">
        <v>510</v>
      </c>
      <c r="G65" s="6" t="s">
        <v>1503</v>
      </c>
      <c r="H65" s="6">
        <v>1</v>
      </c>
      <c r="I65" s="9">
        <f>IF(H65=0,"-",IF(H65=1,SUM(H$1:H64)+1,SUM(H$1:H64)+1 &amp; "-" &amp; SUM(H$1:H65)))</f>
        <v>64</v>
      </c>
      <c r="J65" s="6" t="str">
        <f t="shared" si="13"/>
        <v>!import-table-item --Spells-Level-1 --Silent Image --1</v>
      </c>
      <c r="K65" s="6" t="s">
        <v>631</v>
      </c>
      <c r="L65" s="6" t="s">
        <v>1503</v>
      </c>
      <c r="M65" s="6">
        <v>1</v>
      </c>
      <c r="N65" s="9">
        <f>IF(M65=0,"-",IF(M65=1,SUM(M$1:M64)+1,SUM(M$1:M64)+1 &amp; "-" &amp; SUM(M$1:M65)))</f>
        <v>64</v>
      </c>
      <c r="O65" s="6" t="str">
        <f t="shared" si="14"/>
        <v>!import-table-item --Spells-Level-2 --Scorching Ray --1</v>
      </c>
      <c r="P65" s="6" t="s">
        <v>713</v>
      </c>
      <c r="Q65" s="6" t="s">
        <v>1493</v>
      </c>
      <c r="R65" s="6">
        <v>1</v>
      </c>
      <c r="S65" s="9">
        <f>IF(R65=0,"-",IF(R65=1,SUM(R$1:R64)+1,SUM(R$1:R64)+1 &amp; "-" &amp; SUM(R$1:R65)))</f>
        <v>63</v>
      </c>
      <c r="T65" s="6" t="str">
        <f t="shared" si="15"/>
        <v>!import-table-item --Spells-Level-3 --Tiny Servant --1</v>
      </c>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row>
    <row r="66" spans="1:50" x14ac:dyDescent="0.25">
      <c r="A66" s="6"/>
      <c r="B66" s="6"/>
      <c r="C66" s="6"/>
      <c r="D66" s="6"/>
      <c r="E66" s="6"/>
      <c r="F66" s="6" t="s">
        <v>511</v>
      </c>
      <c r="G66" s="6" t="s">
        <v>1494</v>
      </c>
      <c r="H66" s="6">
        <v>0</v>
      </c>
      <c r="I66" s="9" t="str">
        <f>IF(H66=0,"-",IF(H66=1,SUM(H$1:H65)+1,SUM(H$1:H65)+1 &amp; "-" &amp; SUM(H$1:H66)))</f>
        <v>-</v>
      </c>
      <c r="J66" s="6" t="str">
        <f t="shared" ref="J66:J78" si="18">"!import-table-item --" &amp; F$1 &amp; " --" &amp; F66 &amp; " --" &amp; H66</f>
        <v>!import-table-item --Spells-Level-1 --Silvery Barbs --0</v>
      </c>
      <c r="K66" s="6" t="s">
        <v>632</v>
      </c>
      <c r="L66" s="6" t="s">
        <v>1503</v>
      </c>
      <c r="M66" s="6">
        <v>1</v>
      </c>
      <c r="N66" s="9">
        <f>IF(M66=0,"-",IF(M66=1,SUM(M$1:M65)+1,SUM(M$1:M65)+1 &amp; "-" &amp; SUM(M$1:M66)))</f>
        <v>65</v>
      </c>
      <c r="O66" s="6" t="str">
        <f t="shared" ref="O66:O85" si="19">"!import-table-item --" &amp; K$1 &amp; " --" &amp; K66 &amp; " --" &amp; M66</f>
        <v>!import-table-item --Spells-Level-2 --See Invisibility --1</v>
      </c>
      <c r="P66" s="6" t="s">
        <v>714</v>
      </c>
      <c r="Q66" s="6" t="s">
        <v>1503</v>
      </c>
      <c r="R66" s="6">
        <v>1</v>
      </c>
      <c r="S66" s="9">
        <f>IF(R66=0,"-",IF(R66=1,SUM(R$1:R65)+1,SUM(R$1:R65)+1 &amp; "-" &amp; SUM(R$1:R66)))</f>
        <v>64</v>
      </c>
      <c r="T66" s="6" t="str">
        <f t="shared" ref="T66:T72" si="20">"!import-table-item --" &amp; P$1 &amp; " --" &amp; P66 &amp; " --" &amp; R66</f>
        <v>!import-table-item --Spells-Level-3 --Tongues --1</v>
      </c>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row>
    <row r="67" spans="1:50" x14ac:dyDescent="0.25">
      <c r="A67" s="6"/>
      <c r="B67" s="6"/>
      <c r="C67" s="6"/>
      <c r="D67" s="6"/>
      <c r="E67" s="6"/>
      <c r="F67" s="6" t="s">
        <v>512</v>
      </c>
      <c r="G67" s="6" t="s">
        <v>1503</v>
      </c>
      <c r="H67" s="6">
        <v>1</v>
      </c>
      <c r="I67" s="9">
        <f>IF(H67=0,"-",IF(H67=1,SUM(H$1:H66)+1,SUM(H$1:H66)+1 &amp; "-" &amp; SUM(H$1:H67)))</f>
        <v>65</v>
      </c>
      <c r="J67" s="6" t="str">
        <f t="shared" si="18"/>
        <v>!import-table-item --Spells-Level-1 --Sleep --1</v>
      </c>
      <c r="K67" s="6" t="s">
        <v>633</v>
      </c>
      <c r="L67" s="6" t="s">
        <v>1493</v>
      </c>
      <c r="M67" s="6">
        <v>1</v>
      </c>
      <c r="N67" s="9">
        <f>IF(M67=0,"-",IF(M67=1,SUM(M$1:M66)+1,SUM(M$1:M66)+1 &amp; "-" &amp; SUM(M$1:M67)))</f>
        <v>66</v>
      </c>
      <c r="O67" s="6" t="str">
        <f t="shared" si="19"/>
        <v>!import-table-item --Spells-Level-2 --Shadow Blade --1</v>
      </c>
      <c r="P67" s="6" t="s">
        <v>715</v>
      </c>
      <c r="Q67" s="6" t="s">
        <v>1503</v>
      </c>
      <c r="R67" s="6">
        <v>1</v>
      </c>
      <c r="S67" s="9">
        <f>IF(R67=0,"-",IF(R67=1,SUM(R$1:R66)+1,SUM(R$1:R66)+1 &amp; "-" &amp; SUM(R$1:R67)))</f>
        <v>65</v>
      </c>
      <c r="T67" s="6" t="str">
        <f t="shared" si="20"/>
        <v>!import-table-item --Spells-Level-3 --Vampiric Touch --1</v>
      </c>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row>
    <row r="68" spans="1:50" x14ac:dyDescent="0.25">
      <c r="A68" s="6"/>
      <c r="B68" s="6"/>
      <c r="C68" s="6"/>
      <c r="D68" s="6"/>
      <c r="E68" s="6"/>
      <c r="F68" s="6" t="s">
        <v>513</v>
      </c>
      <c r="G68" s="6" t="s">
        <v>1493</v>
      </c>
      <c r="H68" s="6">
        <v>1</v>
      </c>
      <c r="I68" s="9">
        <f>IF(H68=0,"-",IF(H68=1,SUM(H$1:H67)+1,SUM(H$1:H67)+1 &amp; "-" &amp; SUM(H$1:H68)))</f>
        <v>66</v>
      </c>
      <c r="J68" s="6" t="str">
        <f t="shared" si="18"/>
        <v>!import-table-item --Spells-Level-1 --Snare --1</v>
      </c>
      <c r="K68" s="6" t="s">
        <v>634</v>
      </c>
      <c r="L68" s="6" t="s">
        <v>1503</v>
      </c>
      <c r="M68" s="6">
        <v>1</v>
      </c>
      <c r="N68" s="9">
        <f>IF(M68=0,"-",IF(M68=1,SUM(M$1:M67)+1,SUM(M$1:M67)+1 &amp; "-" &amp; SUM(M$1:M68)))</f>
        <v>67</v>
      </c>
      <c r="O68" s="6" t="str">
        <f t="shared" si="19"/>
        <v>!import-table-item --Spells-Level-2 --Shatter --1</v>
      </c>
      <c r="P68" s="6" t="s">
        <v>716</v>
      </c>
      <c r="Q68" s="6" t="s">
        <v>1493</v>
      </c>
      <c r="R68" s="6">
        <v>1</v>
      </c>
      <c r="S68" s="9">
        <f>IF(R68=0,"-",IF(R68=1,SUM(R$1:R67)+1,SUM(R$1:R67)+1 &amp; "-" &amp; SUM(R$1:R68)))</f>
        <v>66</v>
      </c>
      <c r="T68" s="6" t="str">
        <f t="shared" si="20"/>
        <v>!import-table-item --Spells-Level-3 --Wall of Sand --1</v>
      </c>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row>
    <row r="69" spans="1:50" x14ac:dyDescent="0.25">
      <c r="A69" s="6"/>
      <c r="B69" s="6"/>
      <c r="C69" s="6"/>
      <c r="D69" s="6"/>
      <c r="E69" s="6"/>
      <c r="F69" s="6" t="s">
        <v>514</v>
      </c>
      <c r="G69" s="6" t="s">
        <v>1503</v>
      </c>
      <c r="H69" s="6">
        <v>1</v>
      </c>
      <c r="I69" s="9">
        <f>IF(H69=0,"-",IF(H69=1,SUM(H$1:H68)+1,SUM(H$1:H68)+1 &amp; "-" &amp; SUM(H$1:H69)))</f>
        <v>67</v>
      </c>
      <c r="J69" s="6" t="str">
        <f t="shared" si="18"/>
        <v>!import-table-item --Spells-Level-1 --Speak with Animals --1</v>
      </c>
      <c r="K69" s="6" t="s">
        <v>635</v>
      </c>
      <c r="L69" s="6" t="s">
        <v>1503</v>
      </c>
      <c r="M69" s="6">
        <v>1</v>
      </c>
      <c r="N69" s="9">
        <f>IF(M69=0,"-",IF(M69=1,SUM(M$1:M68)+1,SUM(M$1:M68)+1 &amp; "-" &amp; SUM(M$1:M69)))</f>
        <v>68</v>
      </c>
      <c r="O69" s="6" t="str">
        <f t="shared" si="19"/>
        <v>!import-table-item --Spells-Level-2 --Silence --1</v>
      </c>
      <c r="P69" s="6" t="s">
        <v>717</v>
      </c>
      <c r="Q69" s="6" t="s">
        <v>1493</v>
      </c>
      <c r="R69" s="6">
        <v>1</v>
      </c>
      <c r="S69" s="9">
        <f>IF(R69=0,"-",IF(R69=1,SUM(R$1:R68)+1,SUM(R$1:R68)+1 &amp; "-" &amp; SUM(R$1:R69)))</f>
        <v>67</v>
      </c>
      <c r="T69" s="6" t="str">
        <f t="shared" si="20"/>
        <v>!import-table-item --Spells-Level-3 --Wall of Water --1</v>
      </c>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row>
    <row r="70" spans="1:50" x14ac:dyDescent="0.25">
      <c r="A70" s="6"/>
      <c r="B70" s="6"/>
      <c r="C70" s="6"/>
      <c r="D70" s="6"/>
      <c r="E70" s="6"/>
      <c r="F70" s="6" t="s">
        <v>515</v>
      </c>
      <c r="G70" s="6" t="s">
        <v>1402</v>
      </c>
      <c r="H70" s="6">
        <v>1</v>
      </c>
      <c r="I70" s="9">
        <f>IF(H70=0,"-",IF(H70=1,SUM(H$1:H69)+1,SUM(H$1:H69)+1 &amp; "-" &amp; SUM(H$1:H70)))</f>
        <v>68</v>
      </c>
      <c r="J70" s="6" t="str">
        <f t="shared" si="18"/>
        <v>!import-table-item --Spells-Level-1 --Tasha's Caustic Brew --1</v>
      </c>
      <c r="K70" s="6" t="s">
        <v>636</v>
      </c>
      <c r="L70" s="6" t="s">
        <v>1493</v>
      </c>
      <c r="M70" s="6">
        <v>1</v>
      </c>
      <c r="N70" s="9">
        <f>IF(M70=0,"-",IF(M70=1,SUM(M$1:M69)+1,SUM(M$1:M69)+1 &amp; "-" &amp; SUM(M$1:M70)))</f>
        <v>69</v>
      </c>
      <c r="O70" s="6" t="str">
        <f t="shared" si="19"/>
        <v>!import-table-item --Spells-Level-2 --Skywrite --1</v>
      </c>
      <c r="P70" s="6" t="s">
        <v>718</v>
      </c>
      <c r="Q70" s="6" t="s">
        <v>1503</v>
      </c>
      <c r="R70" s="6">
        <v>1</v>
      </c>
      <c r="S70" s="9">
        <f>IF(R70=0,"-",IF(R70=1,SUM(R$1:R69)+1,SUM(R$1:R69)+1 &amp; "-" &amp; SUM(R$1:R70)))</f>
        <v>68</v>
      </c>
      <c r="T70" s="6" t="str">
        <f t="shared" si="20"/>
        <v>!import-table-item --Spells-Level-3 --Water Breathing --1</v>
      </c>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row>
    <row r="71" spans="1:50" x14ac:dyDescent="0.25">
      <c r="A71" s="6"/>
      <c r="B71" s="6"/>
      <c r="C71" s="6"/>
      <c r="D71" s="6"/>
      <c r="E71" s="6"/>
      <c r="F71" s="6" t="s">
        <v>516</v>
      </c>
      <c r="G71" s="6" t="s">
        <v>1503</v>
      </c>
      <c r="H71" s="6">
        <v>1</v>
      </c>
      <c r="I71" s="9">
        <f>IF(H71=0,"-",IF(H71=1,SUM(H$1:H70)+1,SUM(H$1:H70)+1 &amp; "-" &amp; SUM(H$1:H71)))</f>
        <v>69</v>
      </c>
      <c r="J71" s="6" t="str">
        <f t="shared" si="18"/>
        <v>!import-table-item --Spells-Level-1 --Tasha's Hideous Laughter --1</v>
      </c>
      <c r="K71" s="6" t="s">
        <v>637</v>
      </c>
      <c r="L71" s="6" t="s">
        <v>1493</v>
      </c>
      <c r="M71" s="6">
        <v>1</v>
      </c>
      <c r="N71" s="9">
        <f>IF(M71=0,"-",IF(M71=1,SUM(M$1:M70)+1,SUM(M$1:M70)+1 &amp; "-" &amp; SUM(M$1:M71)))</f>
        <v>70</v>
      </c>
      <c r="O71" s="6" t="str">
        <f t="shared" si="19"/>
        <v>!import-table-item --Spells-Level-2 --Snilloc's Snowball Swarm --1</v>
      </c>
      <c r="P71" s="6" t="s">
        <v>719</v>
      </c>
      <c r="Q71" s="6" t="s">
        <v>1503</v>
      </c>
      <c r="R71" s="6">
        <v>1</v>
      </c>
      <c r="S71" s="9">
        <f>IF(R71=0,"-",IF(R71=1,SUM(R$1:R70)+1,SUM(R$1:R70)+1 &amp; "-" &amp; SUM(R$1:R71)))</f>
        <v>69</v>
      </c>
      <c r="T71" s="6" t="str">
        <f t="shared" si="20"/>
        <v>!import-table-item --Spells-Level-3 --Water Walk --1</v>
      </c>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row>
    <row r="72" spans="1:50" x14ac:dyDescent="0.25">
      <c r="A72" s="6"/>
      <c r="B72" s="6"/>
      <c r="C72" s="6"/>
      <c r="D72" s="6"/>
      <c r="E72" s="6"/>
      <c r="F72" s="6" t="s">
        <v>517</v>
      </c>
      <c r="G72" s="6" t="s">
        <v>1503</v>
      </c>
      <c r="H72" s="6">
        <v>1</v>
      </c>
      <c r="I72" s="9">
        <f>IF(H72=0,"-",IF(H72=1,SUM(H$1:H71)+1,SUM(H$1:H71)+1 &amp; "-" &amp; SUM(H$1:H72)))</f>
        <v>70</v>
      </c>
      <c r="J72" s="6" t="str">
        <f t="shared" si="18"/>
        <v>!import-table-item --Spells-Level-1 --Tenser's Floating Disk --1</v>
      </c>
      <c r="K72" s="6" t="s">
        <v>638</v>
      </c>
      <c r="L72" s="6" t="s">
        <v>1503</v>
      </c>
      <c r="M72" s="6">
        <v>1</v>
      </c>
      <c r="N72" s="9">
        <f>IF(M72=0,"-",IF(M72=1,SUM(M$1:M71)+1,SUM(M$1:M71)+1 &amp; "-" &amp; SUM(M$1:M72)))</f>
        <v>71</v>
      </c>
      <c r="O72" s="6" t="str">
        <f t="shared" si="19"/>
        <v>!import-table-item --Spells-Level-2 --Spider Climb --1</v>
      </c>
      <c r="P72" s="6" t="s">
        <v>720</v>
      </c>
      <c r="Q72" s="6" t="s">
        <v>1503</v>
      </c>
      <c r="R72" s="6">
        <v>1</v>
      </c>
      <c r="S72" s="9">
        <f>IF(R72=0,"-",IF(R72=1,SUM(R$1:R71)+1,SUM(R$1:R71)+1 &amp; "-" &amp; SUM(R$1:R72)))</f>
        <v>70</v>
      </c>
      <c r="T72" s="6" t="str">
        <f t="shared" si="20"/>
        <v>!import-table-item --Spells-Level-3 --Wind Wall --1</v>
      </c>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row>
    <row r="73" spans="1:50" x14ac:dyDescent="0.25">
      <c r="A73" s="6"/>
      <c r="B73" s="6"/>
      <c r="C73" s="6"/>
      <c r="D73" s="6"/>
      <c r="E73" s="6"/>
      <c r="F73" s="6" t="s">
        <v>518</v>
      </c>
      <c r="G73" s="6" t="s">
        <v>1503</v>
      </c>
      <c r="H73" s="6">
        <v>1</v>
      </c>
      <c r="I73" s="9">
        <f>IF(H73=0,"-",IF(H73=1,SUM(H$1:H72)+1,SUM(H$1:H72)+1 &amp; "-" &amp; SUM(H$1:H73)))</f>
        <v>71</v>
      </c>
      <c r="J73" s="6" t="str">
        <f t="shared" si="18"/>
        <v>!import-table-item --Spells-Level-1 --Thunderous Smite --1</v>
      </c>
      <c r="K73" s="6" t="s">
        <v>639</v>
      </c>
      <c r="L73" s="6" t="s">
        <v>1503</v>
      </c>
      <c r="M73" s="6">
        <v>1</v>
      </c>
      <c r="N73" s="9">
        <f>IF(M73=0,"-",IF(M73=1,SUM(M$1:M72)+1,SUM(M$1:M72)+1 &amp; "-" &amp; SUM(M$1:M73)))</f>
        <v>72</v>
      </c>
      <c r="O73" s="6" t="str">
        <f t="shared" si="19"/>
        <v>!import-table-item --Spells-Level-2 --Spike Growth --1</v>
      </c>
      <c r="P73" s="6"/>
      <c r="Q73" s="6"/>
      <c r="R73" s="6"/>
      <c r="S73" s="9"/>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row>
    <row r="74" spans="1:50" x14ac:dyDescent="0.25">
      <c r="A74" s="6"/>
      <c r="B74" s="6"/>
      <c r="C74" s="6"/>
      <c r="D74" s="6"/>
      <c r="E74" s="6"/>
      <c r="F74" s="6" t="s">
        <v>519</v>
      </c>
      <c r="G74" s="6" t="s">
        <v>1503</v>
      </c>
      <c r="H74" s="6">
        <v>1</v>
      </c>
      <c r="I74" s="9">
        <f>IF(H74=0,"-",IF(H74=1,SUM(H$1:H73)+1,SUM(H$1:H73)+1 &amp; "-" &amp; SUM(H$1:H74)))</f>
        <v>72</v>
      </c>
      <c r="J74" s="6" t="str">
        <f t="shared" si="18"/>
        <v>!import-table-item --Spells-Level-1 --Thunderwave --1</v>
      </c>
      <c r="K74" s="6" t="s">
        <v>640</v>
      </c>
      <c r="L74" s="6" t="s">
        <v>1503</v>
      </c>
      <c r="M74" s="6">
        <v>1</v>
      </c>
      <c r="N74" s="9">
        <f>IF(M74=0,"-",IF(M74=1,SUM(M$1:M73)+1,SUM(M$1:M73)+1 &amp; "-" &amp; SUM(M$1:M74)))</f>
        <v>73</v>
      </c>
      <c r="O74" s="6" t="str">
        <f t="shared" si="19"/>
        <v>!import-table-item --Spells-Level-2 --Spiritual Weapon --1</v>
      </c>
      <c r="P74" s="6"/>
      <c r="Q74" s="6"/>
      <c r="R74" s="6"/>
      <c r="S74" s="9"/>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row>
    <row r="75" spans="1:50" x14ac:dyDescent="0.25">
      <c r="A75" s="6"/>
      <c r="B75" s="6"/>
      <c r="C75" s="6"/>
      <c r="D75" s="6"/>
      <c r="E75" s="6"/>
      <c r="F75" s="6" t="s">
        <v>520</v>
      </c>
      <c r="G75" s="6" t="s">
        <v>1503</v>
      </c>
      <c r="H75" s="6">
        <v>1</v>
      </c>
      <c r="I75" s="9">
        <f>IF(H75=0,"-",IF(H75=1,SUM(H$1:H74)+1,SUM(H$1:H74)+1 &amp; "-" &amp; SUM(H$1:H75)))</f>
        <v>73</v>
      </c>
      <c r="J75" s="6" t="str">
        <f t="shared" si="18"/>
        <v>!import-table-item --Spells-Level-1 --Unseen Servant --1</v>
      </c>
      <c r="K75" s="1" t="s">
        <v>1895</v>
      </c>
      <c r="L75" s="1" t="s">
        <v>1875</v>
      </c>
      <c r="M75" s="6">
        <v>1</v>
      </c>
      <c r="N75" s="9">
        <f>IF(M75=0,"-",IF(M75=1,SUM(M$1:M74)+1,SUM(M$1:M74)+1 &amp; "-" &amp; SUM(M$1:M75)))</f>
        <v>74</v>
      </c>
      <c r="O75" s="6" t="str">
        <f t="shared" si="19"/>
        <v>!import-table-item --Spells-Level-2 --Spray of Cards --1</v>
      </c>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row>
    <row r="76" spans="1:50" x14ac:dyDescent="0.25">
      <c r="A76" s="6"/>
      <c r="B76" s="6"/>
      <c r="C76" s="6"/>
      <c r="D76" s="6"/>
      <c r="E76" s="6"/>
      <c r="F76" s="6" t="s">
        <v>521</v>
      </c>
      <c r="G76" s="6" t="s">
        <v>1503</v>
      </c>
      <c r="H76" s="6">
        <v>1</v>
      </c>
      <c r="I76" s="9">
        <f>IF(H76=0,"-",IF(H76=1,SUM(H$1:H75)+1,SUM(H$1:H75)+1 &amp; "-" &amp; SUM(H$1:H76)))</f>
        <v>74</v>
      </c>
      <c r="J76" s="6" t="str">
        <f t="shared" si="18"/>
        <v>!import-table-item --Spells-Level-1 --Witch Bolt --1</v>
      </c>
      <c r="K76" s="6" t="s">
        <v>641</v>
      </c>
      <c r="L76" s="6" t="s">
        <v>1503</v>
      </c>
      <c r="M76" s="6">
        <v>1</v>
      </c>
      <c r="N76" s="9">
        <f>IF(M76=0,"-",IF(M76=1,SUM(M$1:M75)+1,SUM(M$1:M75)+1 &amp; "-" &amp; SUM(M$1:M76)))</f>
        <v>75</v>
      </c>
      <c r="O76" s="6" t="str">
        <f t="shared" si="19"/>
        <v>!import-table-item --Spells-Level-2 --Suggestion --1</v>
      </c>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row>
    <row r="77" spans="1:50" x14ac:dyDescent="0.25">
      <c r="A77" s="6"/>
      <c r="B77" s="6"/>
      <c r="C77" s="6"/>
      <c r="D77" s="6"/>
      <c r="E77" s="6"/>
      <c r="F77" s="6" t="s">
        <v>522</v>
      </c>
      <c r="G77" s="6" t="s">
        <v>1503</v>
      </c>
      <c r="H77" s="6">
        <v>1</v>
      </c>
      <c r="I77" s="9">
        <f>IF(H77=0,"-",IF(H77=1,SUM(H$1:H76)+1,SUM(H$1:H76)+1 &amp; "-" &amp; SUM(H$1:H77)))</f>
        <v>75</v>
      </c>
      <c r="J77" s="6" t="str">
        <f t="shared" si="18"/>
        <v>!import-table-item --Spells-Level-1 --Wrathful Smite --1</v>
      </c>
      <c r="K77" s="6" t="s">
        <v>642</v>
      </c>
      <c r="L77" s="6" t="s">
        <v>1402</v>
      </c>
      <c r="M77" s="6">
        <v>1</v>
      </c>
      <c r="N77" s="9">
        <f>IF(M77=0,"-",IF(M77=1,SUM(M$1:M76)+1,SUM(M$1:M76)+1 &amp; "-" &amp; SUM(M$1:M77)))</f>
        <v>76</v>
      </c>
      <c r="O77" s="6" t="str">
        <f t="shared" si="19"/>
        <v>!import-table-item --Spells-Level-2 --Summon Beast --1</v>
      </c>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row>
    <row r="78" spans="1:50" x14ac:dyDescent="0.25">
      <c r="A78" s="6"/>
      <c r="B78" s="6"/>
      <c r="C78" s="6"/>
      <c r="D78" s="6"/>
      <c r="E78" s="6"/>
      <c r="F78" s="6" t="s">
        <v>523</v>
      </c>
      <c r="G78" s="6" t="s">
        <v>1493</v>
      </c>
      <c r="H78" s="6">
        <v>1</v>
      </c>
      <c r="I78" s="9">
        <f>IF(H78=0,"-",IF(H78=1,SUM(H$1:H77)+1,SUM(H$1:H77)+1 &amp; "-" &amp; SUM(H$1:H78)))</f>
        <v>76</v>
      </c>
      <c r="J78" s="6" t="str">
        <f t="shared" si="18"/>
        <v>!import-table-item --Spells-Level-1 --Zephyr Strike --1</v>
      </c>
      <c r="K78" s="6" t="s">
        <v>643</v>
      </c>
      <c r="L78" s="6" t="s">
        <v>1402</v>
      </c>
      <c r="M78" s="6">
        <v>1</v>
      </c>
      <c r="N78" s="9">
        <f>IF(M78=0,"-",IF(M78=1,SUM(M$1:M77)+1,SUM(M$1:M77)+1 &amp; "-" &amp; SUM(M$1:M78)))</f>
        <v>77</v>
      </c>
      <c r="O78" s="6" t="str">
        <f t="shared" si="19"/>
        <v>!import-table-item --Spells-Level-2 --Tasha's Mind Whip --1</v>
      </c>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row>
    <row r="79" spans="1:50" x14ac:dyDescent="0.25">
      <c r="A79" s="6"/>
      <c r="B79" s="6"/>
      <c r="C79" s="6"/>
      <c r="D79" s="6"/>
      <c r="E79" s="6"/>
      <c r="F79" s="6"/>
      <c r="G79" s="6"/>
      <c r="H79" s="6"/>
      <c r="I79" s="6"/>
      <c r="J79" s="6"/>
      <c r="K79" s="6" t="s">
        <v>644</v>
      </c>
      <c r="L79" s="6" t="s">
        <v>1494</v>
      </c>
      <c r="M79" s="6">
        <v>1</v>
      </c>
      <c r="N79" s="9">
        <f>IF(M79=0,"-",IF(M79=1,SUM(M$1:M78)+1,SUM(M$1:M78)+1 &amp; "-" &amp; SUM(M$1:M79)))</f>
        <v>78</v>
      </c>
      <c r="O79" s="6" t="str">
        <f t="shared" si="19"/>
        <v>!import-table-item --Spells-Level-2 --Vortex Warp --1</v>
      </c>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row>
    <row r="80" spans="1:50" x14ac:dyDescent="0.25">
      <c r="A80" s="6"/>
      <c r="B80" s="6"/>
      <c r="C80" s="6"/>
      <c r="D80" s="6"/>
      <c r="E80" s="6"/>
      <c r="F80" s="6"/>
      <c r="G80" s="6"/>
      <c r="H80" s="6"/>
      <c r="I80" s="6"/>
      <c r="J80" s="6"/>
      <c r="K80" s="6" t="s">
        <v>645</v>
      </c>
      <c r="L80" s="6" t="s">
        <v>1503</v>
      </c>
      <c r="M80" s="6">
        <v>1</v>
      </c>
      <c r="N80" s="9">
        <f>IF(M80=0,"-",IF(M80=1,SUM(M$1:M79)+1,SUM(M$1:M79)+1 &amp; "-" &amp; SUM(M$1:M80)))</f>
        <v>79</v>
      </c>
      <c r="O80" s="6" t="str">
        <f t="shared" si="19"/>
        <v>!import-table-item --Spells-Level-2 --Warding Bond --1</v>
      </c>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row>
    <row r="81" spans="1:50" x14ac:dyDescent="0.25">
      <c r="A81" s="6"/>
      <c r="B81" s="6"/>
      <c r="C81" s="6"/>
      <c r="D81" s="6"/>
      <c r="E81" s="6"/>
      <c r="F81" s="6"/>
      <c r="G81" s="6"/>
      <c r="H81" s="6"/>
      <c r="I81" s="6"/>
      <c r="J81" s="6"/>
      <c r="K81" s="6" t="s">
        <v>646</v>
      </c>
      <c r="L81" s="6" t="s">
        <v>1493</v>
      </c>
      <c r="M81" s="6">
        <v>1</v>
      </c>
      <c r="N81" s="9">
        <f>IF(M81=0,"-",IF(M81=1,SUM(M$1:M80)+1,SUM(M$1:M80)+1 &amp; "-" &amp; SUM(M$1:M81)))</f>
        <v>80</v>
      </c>
      <c r="O81" s="6" t="str">
        <f t="shared" si="19"/>
        <v>!import-table-item --Spells-Level-2 --Warding Wind --1</v>
      </c>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row>
    <row r="82" spans="1:50" x14ac:dyDescent="0.25">
      <c r="A82" s="6"/>
      <c r="B82" s="6"/>
      <c r="C82" s="6"/>
      <c r="D82" s="6"/>
      <c r="E82" s="6"/>
      <c r="F82" s="6"/>
      <c r="G82" s="6"/>
      <c r="H82" s="6"/>
      <c r="I82" s="6"/>
      <c r="J82" s="6"/>
      <c r="K82" s="6" t="s">
        <v>647</v>
      </c>
      <c r="L82" s="6" t="s">
        <v>1503</v>
      </c>
      <c r="M82" s="6">
        <v>1</v>
      </c>
      <c r="N82" s="9">
        <f>IF(M82=0,"-",IF(M82=1,SUM(M$1:M81)+1,SUM(M$1:M81)+1 &amp; "-" &amp; SUM(M$1:M82)))</f>
        <v>81</v>
      </c>
      <c r="O82" s="6" t="str">
        <f t="shared" si="19"/>
        <v>!import-table-item --Spells-Level-2 --Web --1</v>
      </c>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row>
    <row r="83" spans="1:50" x14ac:dyDescent="0.25">
      <c r="A83" s="6"/>
      <c r="B83" s="6"/>
      <c r="C83" s="6"/>
      <c r="D83" s="6"/>
      <c r="E83" s="6"/>
      <c r="F83" s="6"/>
      <c r="G83" s="6"/>
      <c r="H83" s="6"/>
      <c r="I83" s="6"/>
      <c r="J83" s="6"/>
      <c r="K83" s="6" t="s">
        <v>648</v>
      </c>
      <c r="L83" s="6" t="s">
        <v>1494</v>
      </c>
      <c r="M83" s="6">
        <v>1</v>
      </c>
      <c r="N83" s="9">
        <f>IF(M83=0,"-",IF(M83=1,SUM(M$1:M82)+1,SUM(M$1:M82)+1 &amp; "-" &amp; SUM(M$1:M83)))</f>
        <v>82</v>
      </c>
      <c r="O83" s="6" t="str">
        <f t="shared" si="19"/>
        <v>!import-table-item --Spells-Level-2 --Wither and Bloom --1</v>
      </c>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row>
    <row r="84" spans="1:50" x14ac:dyDescent="0.25">
      <c r="A84" s="6"/>
      <c r="B84" s="6"/>
      <c r="C84" s="6"/>
      <c r="D84" s="6"/>
      <c r="E84" s="6"/>
      <c r="F84" s="6"/>
      <c r="G84" s="6"/>
      <c r="H84" s="6"/>
      <c r="I84" s="6"/>
      <c r="J84" s="6"/>
      <c r="K84" s="6" t="s">
        <v>649</v>
      </c>
      <c r="L84" s="6" t="s">
        <v>1409</v>
      </c>
      <c r="M84" s="6">
        <v>1</v>
      </c>
      <c r="N84" s="9">
        <f>IF(M84=0,"-",IF(M84=1,SUM(M$1:M83)+1,SUM(M$1:M83)+1 &amp; "-" &amp; SUM(M$1:M84)))</f>
        <v>83</v>
      </c>
      <c r="O84" s="6" t="str">
        <f t="shared" si="19"/>
        <v>!import-table-item --Spells-Level-2 --Wristpocket --1</v>
      </c>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row>
    <row r="85" spans="1:50" x14ac:dyDescent="0.25">
      <c r="A85" s="6"/>
      <c r="B85" s="6"/>
      <c r="C85" s="6"/>
      <c r="D85" s="6"/>
      <c r="E85" s="6"/>
      <c r="F85" s="6"/>
      <c r="G85" s="6"/>
      <c r="H85" s="6"/>
      <c r="I85" s="6"/>
      <c r="J85" s="6"/>
      <c r="K85" s="6" t="s">
        <v>650</v>
      </c>
      <c r="L85" s="6" t="s">
        <v>1503</v>
      </c>
      <c r="M85" s="6">
        <v>1</v>
      </c>
      <c r="N85" s="9">
        <f>IF(M85=0,"-",IF(M85=1,SUM(M$1:M84)+1,SUM(M$1:M84)+1 &amp; "-" &amp; SUM(M$1:M85)))</f>
        <v>84</v>
      </c>
      <c r="O85" s="6" t="str">
        <f t="shared" si="19"/>
        <v>!import-table-item --Spells-Level-2 --Zone of Truth --1</v>
      </c>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row>
    <row r="86" spans="1:50" x14ac:dyDescent="0.25">
      <c r="A86" s="6"/>
      <c r="B86" s="6"/>
      <c r="C86" s="6"/>
      <c r="E86" s="6"/>
      <c r="K86" s="6"/>
      <c r="L86" s="6"/>
      <c r="M86" s="6"/>
      <c r="N86" s="10"/>
      <c r="O86" s="6"/>
      <c r="P86" s="6"/>
      <c r="Q86" s="6"/>
      <c r="R86" s="6"/>
      <c r="T86" s="6"/>
      <c r="U86" s="6"/>
      <c r="V86" s="6"/>
      <c r="W86" s="6"/>
      <c r="Y86" s="6"/>
      <c r="Z86" s="6"/>
      <c r="AA86" s="6"/>
      <c r="AB86" s="6"/>
      <c r="AD86" s="6"/>
      <c r="AE86" s="6"/>
      <c r="AF86" s="6"/>
      <c r="AG86" s="6"/>
      <c r="AI86" s="6"/>
      <c r="AJ86" s="6"/>
      <c r="AK86" s="6"/>
      <c r="AL86" s="6"/>
      <c r="AN86" s="6"/>
      <c r="AO86" s="6"/>
      <c r="AP86" s="6"/>
      <c r="AQ86" s="6"/>
      <c r="AS86" s="6"/>
      <c r="AT86" s="6"/>
      <c r="AU86" s="6"/>
      <c r="AV86" s="6"/>
      <c r="AX86" s="6"/>
    </row>
    <row r="87" spans="1:50" x14ac:dyDescent="0.25">
      <c r="P87" s="6"/>
      <c r="Q87" s="6"/>
      <c r="R87" s="6"/>
      <c r="T87" s="6"/>
      <c r="AE87" s="6"/>
      <c r="AF87" s="6"/>
      <c r="AG87" s="6"/>
      <c r="AI87" s="6"/>
      <c r="AJ87" s="6"/>
      <c r="AK87" s="6"/>
      <c r="AL87" s="6"/>
      <c r="AN87" s="6"/>
      <c r="AO87" s="6"/>
      <c r="AP87" s="6"/>
      <c r="AQ87" s="6"/>
      <c r="AS87" s="6"/>
      <c r="AT87" s="6"/>
      <c r="AU87" s="6"/>
      <c r="AV87" s="6"/>
      <c r="AX87" s="6"/>
    </row>
  </sheetData>
  <sortState xmlns:xlrd2="http://schemas.microsoft.com/office/spreadsheetml/2017/richdata2" ref="U2:Y89">
    <sortCondition ref="U25:U89"/>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C17A-EF01-4669-B006-D50F42B76742}">
  <dimension ref="A1:DG87"/>
  <sheetViews>
    <sheetView workbookViewId="0">
      <selection activeCell="B33" sqref="B33"/>
    </sheetView>
  </sheetViews>
  <sheetFormatPr defaultColWidth="27.44140625" defaultRowHeight="18.75" x14ac:dyDescent="0.25"/>
  <cols>
    <col min="1" max="1" width="21.25390625" style="1" bestFit="1" customWidth="1"/>
    <col min="2" max="2" width="27.57421875" style="1" bestFit="1" customWidth="1"/>
    <col min="3" max="3" width="8.875" style="1" bestFit="1" customWidth="1"/>
    <col min="4" max="4" width="9.14453125" style="1" bestFit="1" customWidth="1"/>
    <col min="5" max="5" width="4.9765625" style="6" bestFit="1" customWidth="1"/>
    <col min="6" max="6" width="64.5703125" style="19" bestFit="1" customWidth="1"/>
    <col min="7" max="7" width="27.57421875" style="1" bestFit="1" customWidth="1"/>
    <col min="8" max="8" width="8.875" style="1" bestFit="1" customWidth="1"/>
    <col min="9" max="9" width="9.14453125" style="1" bestFit="1" customWidth="1"/>
    <col min="10" max="10" width="4.9765625" style="6" bestFit="1" customWidth="1"/>
    <col min="11" max="11" width="70.890625" style="19" bestFit="1" customWidth="1"/>
    <col min="12" max="12" width="19.7734375" style="1" bestFit="1" customWidth="1"/>
    <col min="13" max="13" width="8.875" style="1" bestFit="1" customWidth="1"/>
    <col min="14" max="14" width="9.14453125" style="1" bestFit="1" customWidth="1"/>
    <col min="15" max="15" width="5.51171875" style="6" bestFit="1" customWidth="1"/>
    <col min="16" max="16" width="66.9921875" style="19" bestFit="1" customWidth="1"/>
    <col min="17" max="17" width="16.27734375" style="1" bestFit="1" customWidth="1"/>
    <col min="18" max="18" width="8.875" style="1" bestFit="1" customWidth="1"/>
    <col min="19" max="19" width="9.14453125" style="1" bestFit="1" customWidth="1"/>
    <col min="20" max="20" width="5.51171875" style="6" bestFit="1" customWidth="1"/>
    <col min="21" max="21" width="60.265625" style="19" bestFit="1" customWidth="1"/>
    <col min="22" max="22" width="15.73828125" style="1" bestFit="1" customWidth="1"/>
    <col min="23" max="23" width="8.875" style="1" bestFit="1" customWidth="1"/>
    <col min="24" max="24" width="9.14453125" style="1" bestFit="1" customWidth="1"/>
    <col min="25" max="25" width="7.80078125" style="6" bestFit="1" customWidth="1"/>
    <col min="26" max="26" width="59.7265625" style="19" bestFit="1" customWidth="1"/>
    <col min="27" max="27" width="27.3046875" style="1" bestFit="1" customWidth="1"/>
    <col min="28" max="28" width="8.875" style="1" bestFit="1" customWidth="1"/>
    <col min="29" max="29" width="9.14453125" style="1" bestFit="1" customWidth="1"/>
    <col min="30" max="30" width="7.80078125" style="6" bestFit="1" customWidth="1"/>
    <col min="31" max="31" width="67.6640625" style="19" bestFit="1" customWidth="1"/>
    <col min="32" max="32" width="16.8125" style="1" bestFit="1" customWidth="1"/>
    <col min="33" max="33" width="8.875" style="1" bestFit="1" customWidth="1"/>
    <col min="34" max="34" width="9.14453125" style="1" bestFit="1" customWidth="1"/>
    <col min="35" max="35" width="9.28125" style="6" bestFit="1" customWidth="1"/>
    <col min="36" max="36" width="61.87890625" style="19" bestFit="1" customWidth="1"/>
    <col min="37" max="37" width="18.4296875" style="1" bestFit="1" customWidth="1"/>
    <col min="38" max="38" width="8.875" style="1" bestFit="1" customWidth="1"/>
    <col min="39" max="39" width="9.14453125" style="1" bestFit="1" customWidth="1"/>
    <col min="40" max="40" width="6.45703125" style="6" bestFit="1" customWidth="1"/>
    <col min="41" max="41" width="64.83984375" style="19" bestFit="1" customWidth="1"/>
    <col min="42" max="42" width="27.44140625" style="1" bestFit="1" customWidth="1"/>
    <col min="43" max="43" width="8.875" style="1" bestFit="1" customWidth="1"/>
    <col min="44" max="44" width="9.14453125" style="1" bestFit="1" customWidth="1"/>
    <col min="45" max="45" width="9.28125" style="6" bestFit="1" customWidth="1"/>
    <col min="46" max="46" width="73.04296875" style="19" bestFit="1" customWidth="1"/>
    <col min="47" max="47" width="20.04296875" style="1" bestFit="1" customWidth="1"/>
    <col min="48" max="48" width="8.875" style="1" bestFit="1" customWidth="1"/>
    <col min="49" max="49" width="9.14453125" style="1" bestFit="1" customWidth="1"/>
    <col min="50" max="50" width="7.80078125" style="6" bestFit="1" customWidth="1"/>
    <col min="51" max="51" width="66.9921875" style="19" bestFit="1" customWidth="1"/>
    <col min="52" max="52" width="14.9296875" style="1" bestFit="1" customWidth="1"/>
    <col min="53" max="53" width="8.875" style="1" bestFit="1" customWidth="1"/>
    <col min="54" max="54" width="9.14453125" style="1" bestFit="1" customWidth="1"/>
    <col min="55" max="55" width="7.80078125" style="6" bestFit="1" customWidth="1"/>
    <col min="56" max="56" width="53.5390625" style="19" bestFit="1" customWidth="1"/>
    <col min="57" max="57" width="27.44140625" style="1" bestFit="1" customWidth="1"/>
    <col min="58" max="58" width="8.875" style="1" bestFit="1" customWidth="1"/>
    <col min="59" max="59" width="9.14453125" style="1" bestFit="1" customWidth="1"/>
    <col min="60" max="60" width="5.51171875" style="6" bestFit="1" customWidth="1"/>
    <col min="61" max="61" width="65.51171875" style="19" bestFit="1" customWidth="1"/>
    <col min="62" max="62" width="11.296875" style="1" bestFit="1" customWidth="1"/>
    <col min="63" max="63" width="8.875" style="1" bestFit="1" customWidth="1"/>
    <col min="64" max="64" width="9.14453125" style="1" bestFit="1" customWidth="1"/>
    <col min="65" max="65" width="4.9765625" style="6" bestFit="1" customWidth="1"/>
    <col min="66" max="66" width="46.140625" style="19" bestFit="1" customWidth="1"/>
    <col min="67" max="67" width="20.04296875" style="1" bestFit="1" customWidth="1"/>
    <col min="68" max="68" width="8.875" style="1" bestFit="1" customWidth="1"/>
    <col min="69" max="69" width="9.14453125" style="1" bestFit="1" customWidth="1"/>
    <col min="70" max="70" width="7.80078125" style="6" bestFit="1" customWidth="1"/>
    <col min="71" max="71" width="55.82421875" style="19" bestFit="1" customWidth="1"/>
    <col min="72" max="72" width="27.3046875" style="1" bestFit="1" customWidth="1"/>
    <col min="73" max="73" width="8.875" style="1" bestFit="1" customWidth="1"/>
    <col min="74" max="74" width="9.14453125" style="1" bestFit="1" customWidth="1"/>
    <col min="75" max="75" width="6.45703125" style="6" bestFit="1" customWidth="1"/>
    <col min="76" max="76" width="65.2421875" style="19" bestFit="1" customWidth="1"/>
    <col min="77" max="77" width="23" style="6" bestFit="1" customWidth="1"/>
    <col min="78" max="78" width="8.875" style="1" bestFit="1" customWidth="1"/>
    <col min="79" max="79" width="9.14453125" style="6" bestFit="1" customWidth="1"/>
    <col min="80" max="80" width="4.9765625" style="1" bestFit="1" customWidth="1"/>
    <col min="81" max="81" width="69.4140625" style="15" bestFit="1" customWidth="1"/>
    <col min="82" max="82" width="14.125" style="6" bestFit="1" customWidth="1"/>
    <col min="83" max="83" width="8.875" style="1" bestFit="1" customWidth="1"/>
    <col min="84" max="84" width="9.14453125" style="6" bestFit="1" customWidth="1"/>
    <col min="85" max="85" width="5.51171875" style="1" bestFit="1" customWidth="1"/>
    <col min="86" max="86" width="53.94140625" style="15" bestFit="1" customWidth="1"/>
    <col min="87" max="87" width="13.85546875" style="6" bestFit="1" customWidth="1"/>
    <col min="88" max="88" width="8.875" style="1" bestFit="1" customWidth="1"/>
    <col min="89" max="89" width="9.14453125" style="6" bestFit="1" customWidth="1"/>
    <col min="90" max="90" width="6.45703125" style="1" bestFit="1" customWidth="1"/>
    <col min="91" max="91" width="53" style="15" bestFit="1" customWidth="1"/>
    <col min="92" max="92" width="15.87109375" style="6" bestFit="1" customWidth="1"/>
    <col min="93" max="93" width="8.875" style="6" bestFit="1" customWidth="1"/>
    <col min="94" max="94" width="9.14453125" style="6" bestFit="1" customWidth="1"/>
    <col min="95" max="95" width="4.9765625" style="1" bestFit="1" customWidth="1"/>
    <col min="96" max="96" width="57.171875" style="15" bestFit="1" customWidth="1"/>
    <col min="97" max="97" width="14.2578125" style="6" bestFit="1" customWidth="1"/>
    <col min="98" max="98" width="8.875" style="6" bestFit="1" customWidth="1"/>
    <col min="99" max="99" width="9.14453125" style="6" bestFit="1" customWidth="1"/>
    <col min="100" max="100" width="6.45703125" style="1" bestFit="1" customWidth="1"/>
    <col min="101" max="101" width="54.8828125" style="15" bestFit="1" customWidth="1"/>
    <col min="102" max="102" width="16.54296875" style="1" bestFit="1" customWidth="1"/>
    <col min="103" max="103" width="8.875" style="1" bestFit="1" customWidth="1"/>
    <col min="104" max="104" width="9.14453125" style="1" bestFit="1" customWidth="1"/>
    <col min="105" max="105" width="5.51171875" style="6" bestFit="1" customWidth="1"/>
    <col min="106" max="106" width="56.6328125" style="19" bestFit="1" customWidth="1"/>
    <col min="107" max="107" width="26.36328125" style="11" bestFit="1" customWidth="1"/>
    <col min="108" max="108" width="8.875" style="6" bestFit="1" customWidth="1"/>
    <col min="109" max="109" width="9.14453125" style="6" bestFit="1" customWidth="1"/>
    <col min="110" max="110" width="9.28125" style="6" bestFit="1" customWidth="1"/>
    <col min="111" max="111" width="62.015625" style="15" bestFit="1" customWidth="1"/>
    <col min="112" max="16384" width="27.44140625" style="1"/>
  </cols>
  <sheetData>
    <row r="1" spans="1:111" s="2" customFormat="1" x14ac:dyDescent="0.25">
      <c r="A1" s="2" t="s">
        <v>1763</v>
      </c>
      <c r="B1" s="4" t="s">
        <v>1373</v>
      </c>
      <c r="C1" s="4" t="s">
        <v>1396</v>
      </c>
      <c r="D1" s="4" t="s">
        <v>9</v>
      </c>
      <c r="E1" s="4" t="str">
        <f>"d" &amp; SUM(D:D)</f>
        <v>d8</v>
      </c>
      <c r="F1" s="14" t="str">
        <f>"!import-table --" &amp; B1 &amp; " --show"</f>
        <v>!import-table --Armor --show</v>
      </c>
      <c r="G1" s="4" t="s">
        <v>1056</v>
      </c>
      <c r="H1" s="4" t="s">
        <v>1396</v>
      </c>
      <c r="I1" s="4" t="s">
        <v>9</v>
      </c>
      <c r="J1" s="4" t="str">
        <f>"d" &amp; SUM(I:I)</f>
        <v>d8</v>
      </c>
      <c r="K1" s="14" t="str">
        <f>"!import-table --" &amp; G1 &amp; " --show"</f>
        <v>!import-table --Light-Armor --show</v>
      </c>
      <c r="L1" s="4" t="s">
        <v>1057</v>
      </c>
      <c r="M1" s="4" t="s">
        <v>1396</v>
      </c>
      <c r="N1" s="4" t="s">
        <v>9</v>
      </c>
      <c r="O1" s="4" t="str">
        <f>"d" &amp; SUM(N:N)</f>
        <v>d10</v>
      </c>
      <c r="P1" s="14" t="str">
        <f>"!import-table --" &amp; L1 &amp; " --show"</f>
        <v>!import-table --Medium-Armor --show</v>
      </c>
      <c r="Q1" s="4" t="s">
        <v>1058</v>
      </c>
      <c r="R1" s="4" t="s">
        <v>1396</v>
      </c>
      <c r="S1" s="4" t="s">
        <v>9</v>
      </c>
      <c r="T1" s="4" t="str">
        <f>"d" &amp; SUM(S:S)</f>
        <v>d10</v>
      </c>
      <c r="U1" s="14" t="str">
        <f>"!import-table --" &amp; Q1 &amp; " --show"</f>
        <v>!import-table --Heavy-Armor --show</v>
      </c>
      <c r="V1" s="4" t="s">
        <v>1109</v>
      </c>
      <c r="W1" s="4" t="s">
        <v>1396</v>
      </c>
      <c r="X1" s="4" t="s">
        <v>9</v>
      </c>
      <c r="Y1" s="4" t="str">
        <f>"d" &amp; SUM(X:X)</f>
        <v>d20</v>
      </c>
      <c r="Z1" s="14" t="str">
        <f>"!import-table --" &amp; V1 &amp; " --show"</f>
        <v>!import-table --Metal-Armor --show</v>
      </c>
      <c r="AA1" s="4" t="s">
        <v>1706</v>
      </c>
      <c r="AB1" s="4" t="s">
        <v>1396</v>
      </c>
      <c r="AC1" s="4" t="s">
        <v>9</v>
      </c>
      <c r="AD1" s="4" t="str">
        <f>"d" &amp; SUM(AC:AC)</f>
        <v>d12</v>
      </c>
      <c r="AE1" s="14" t="str">
        <f>"!import-table --" &amp; AA1 &amp; " --show"</f>
        <v>!import-table --Weapons --show</v>
      </c>
      <c r="AF1" s="4" t="s">
        <v>1051</v>
      </c>
      <c r="AG1" s="4" t="s">
        <v>1396</v>
      </c>
      <c r="AH1" s="4" t="s">
        <v>9</v>
      </c>
      <c r="AI1" s="4" t="str">
        <f>"d" &amp; SUM(AH:AH)</f>
        <v>d100</v>
      </c>
      <c r="AJ1" s="14" t="str">
        <f>"!import-table --" &amp; AF1 &amp; " --show"</f>
        <v>!import-table --Simple-Melee --show</v>
      </c>
      <c r="AK1" s="4" t="s">
        <v>1052</v>
      </c>
      <c r="AL1" s="4" t="s">
        <v>1396</v>
      </c>
      <c r="AM1" s="4" t="s">
        <v>9</v>
      </c>
      <c r="AN1" s="4" t="str">
        <f>"d" &amp; SUM(AM:AM)</f>
        <v>d12</v>
      </c>
      <c r="AO1" s="14" t="str">
        <f>"!import-table --" &amp; AK1 &amp; " --show"</f>
        <v>!import-table --Simple-Ranged --show</v>
      </c>
      <c r="AP1" s="4" t="s">
        <v>1054</v>
      </c>
      <c r="AQ1" s="4" t="s">
        <v>1396</v>
      </c>
      <c r="AR1" s="4" t="s">
        <v>9</v>
      </c>
      <c r="AS1" s="4" t="str">
        <f>"d" &amp; SUM(AR:AR)</f>
        <v>d100</v>
      </c>
      <c r="AT1" s="14" t="str">
        <f>"!import-table --" &amp; AP1 &amp; " --show"</f>
        <v>!import-table --Martial-Melee --show</v>
      </c>
      <c r="AU1" s="4" t="s">
        <v>1053</v>
      </c>
      <c r="AV1" s="4" t="s">
        <v>1396</v>
      </c>
      <c r="AW1" s="4" t="s">
        <v>9</v>
      </c>
      <c r="AX1" s="4" t="str">
        <f>"d" &amp; SUM(AW:AW)</f>
        <v>d20</v>
      </c>
      <c r="AY1" s="14" t="str">
        <f>"!import-table --" &amp; AU1 &amp; " --show"</f>
        <v>!import-table --Martial-Ranged --show</v>
      </c>
      <c r="AZ1" s="4" t="s">
        <v>1073</v>
      </c>
      <c r="BA1" s="4" t="s">
        <v>1396</v>
      </c>
      <c r="BB1" s="4" t="s">
        <v>9</v>
      </c>
      <c r="BC1" s="4" t="str">
        <f>"d" &amp; SUM(BB:BB)</f>
        <v>d20</v>
      </c>
      <c r="BD1" s="14" t="str">
        <f>"!import-table --" &amp; AZ1 &amp; " --show"</f>
        <v>!import-table --Ammunition --show</v>
      </c>
      <c r="BE1" s="4" t="s">
        <v>1071</v>
      </c>
      <c r="BF1" s="4" t="s">
        <v>1396</v>
      </c>
      <c r="BG1" s="4" t="s">
        <v>9</v>
      </c>
      <c r="BH1" s="4" t="str">
        <f>"d" &amp; SUM(BG:BG)</f>
        <v>d12</v>
      </c>
      <c r="BI1" s="14" t="str">
        <f>"!import-table --" &amp; BE1 &amp; " --show"</f>
        <v>!import-table --Swords --show</v>
      </c>
      <c r="BJ1" s="4" t="s">
        <v>1083</v>
      </c>
      <c r="BK1" s="4" t="s">
        <v>1396</v>
      </c>
      <c r="BL1" s="4" t="s">
        <v>9</v>
      </c>
      <c r="BM1" s="4" t="str">
        <f>"d" &amp; SUM(BL:BL)</f>
        <v>d6</v>
      </c>
      <c r="BN1" s="14" t="str">
        <f>"!import-table --" &amp; BJ1 &amp; " --show"</f>
        <v>!import-table --Axes --show</v>
      </c>
      <c r="BO1" s="4" t="s">
        <v>1351</v>
      </c>
      <c r="BP1" s="4" t="s">
        <v>1396</v>
      </c>
      <c r="BQ1" s="4" t="s">
        <v>9</v>
      </c>
      <c r="BR1" s="4" t="str">
        <f>"d" &amp; SUM(BQ:BQ)</f>
        <v>d12</v>
      </c>
      <c r="BS1" s="14" t="str">
        <f>"!import-table --" &amp; BO1 &amp; " --show"</f>
        <v>!import-table --Bows --show</v>
      </c>
      <c r="BT1" s="4" t="s">
        <v>1352</v>
      </c>
      <c r="BU1" s="4" t="s">
        <v>1396</v>
      </c>
      <c r="BV1" s="4" t="s">
        <v>9</v>
      </c>
      <c r="BW1" s="4" t="str">
        <f>"d" &amp; SUM(BV:BV)</f>
        <v>d10</v>
      </c>
      <c r="BX1" s="14" t="str">
        <f>"!import-table --" &amp; BT1 &amp; " --show"</f>
        <v>!import-table --Ranged --show</v>
      </c>
      <c r="BY1" s="4" t="s">
        <v>1649</v>
      </c>
      <c r="BZ1" s="4" t="s">
        <v>1396</v>
      </c>
      <c r="CA1" s="4" t="s">
        <v>9</v>
      </c>
      <c r="CB1" s="4" t="str">
        <f>"d" &amp; SUM(CA:CA)</f>
        <v>d6</v>
      </c>
      <c r="CC1" s="12" t="str">
        <f>"!import-table --" &amp; BY1 &amp; " --show"</f>
        <v>!import-table --Dragon-Breath --show</v>
      </c>
      <c r="CD1" s="4" t="s">
        <v>1758</v>
      </c>
      <c r="CE1" s="4" t="s">
        <v>1396</v>
      </c>
      <c r="CF1" s="4" t="s">
        <v>9</v>
      </c>
      <c r="CG1" s="4" t="str">
        <f>"d" &amp; SUM(CF:CF)</f>
        <v>d10</v>
      </c>
      <c r="CH1" s="12" t="str">
        <f>"!import-table --" &amp; CD1 &amp; " --show"</f>
        <v>!import-table --MM-Breath --show</v>
      </c>
      <c r="CI1" s="4" t="s">
        <v>1760</v>
      </c>
      <c r="CJ1" s="4" t="s">
        <v>1396</v>
      </c>
      <c r="CK1" s="4" t="s">
        <v>9</v>
      </c>
      <c r="CL1" s="4" t="str">
        <f>"d" &amp; SUM(CK:CK)</f>
        <v>d10</v>
      </c>
      <c r="CM1" s="12" t="str">
        <f>"!import-table --" &amp; CI1 &amp; " --show"</f>
        <v>!import-table --FTD-Breath --show</v>
      </c>
      <c r="CN1" s="4" t="s">
        <v>1603</v>
      </c>
      <c r="CO1" s="4" t="s">
        <v>1396</v>
      </c>
      <c r="CP1" s="4" t="s">
        <v>9</v>
      </c>
      <c r="CQ1" s="4" t="str">
        <f>"d" &amp; SUM(CP:CP)</f>
        <v>d6</v>
      </c>
      <c r="CR1" s="14" t="str">
        <f>"!import-table --" &amp; CN1 &amp; " --show"</f>
        <v>!import-table --FTD-Dragons --show</v>
      </c>
      <c r="CS1" s="4" t="s">
        <v>1784</v>
      </c>
      <c r="CT1" s="4" t="s">
        <v>1396</v>
      </c>
      <c r="CU1" s="4" t="s">
        <v>9</v>
      </c>
      <c r="CV1" s="4" t="str">
        <f>"d" &amp; SUM(CU:CU)</f>
        <v>d20</v>
      </c>
      <c r="CW1" s="14" t="str">
        <f>"!import-table --" &amp; CS1 &amp; " --show"</f>
        <v>!import-table --All-Dragons --show</v>
      </c>
      <c r="CX1" s="4" t="s">
        <v>404</v>
      </c>
      <c r="CY1" s="4" t="s">
        <v>1396</v>
      </c>
      <c r="CZ1" s="4" t="s">
        <v>9</v>
      </c>
      <c r="DA1" s="4" t="str">
        <f>"d" &amp; SUM(CZ:CZ)</f>
        <v>d10</v>
      </c>
      <c r="DB1" s="14" t="str">
        <f>"!import-table --" &amp; CX1 &amp; " --show"</f>
        <v>!import-table --Damage-Type --show</v>
      </c>
      <c r="DC1" s="16" t="s">
        <v>2014</v>
      </c>
      <c r="DD1" s="4" t="s">
        <v>1396</v>
      </c>
      <c r="DE1" s="4" t="s">
        <v>9</v>
      </c>
      <c r="DF1" s="4" t="str">
        <f>"d" &amp; SUM(DE:DE)</f>
        <v>d100</v>
      </c>
      <c r="DG1" s="14" t="str">
        <f>"!import-table --" &amp; DC1 &amp; " --show"</f>
        <v>!import-table --Tools --show</v>
      </c>
    </row>
    <row r="2" spans="1:111" x14ac:dyDescent="0.25">
      <c r="A2" s="25" t="s">
        <v>1764</v>
      </c>
      <c r="B2" s="24" t="s">
        <v>1069</v>
      </c>
      <c r="C2" s="6"/>
      <c r="D2" s="6">
        <v>3</v>
      </c>
      <c r="E2" s="9" t="str">
        <f>IF(D2=0,"-",IF(D2=1,SUM(D$1:D1)+1,SUM(D$1:D1)+1 &amp; "-" &amp; SUM(D$1:D2)))</f>
        <v>1-3</v>
      </c>
      <c r="F2" s="15" t="str">
        <f>"!import-table-item --" &amp; B$1 &amp; " --" &amp; B2 &amp; " --" &amp; D2</f>
        <v>!import-table-item --Armor --[[ 1t[Light-Armor] ]] --3</v>
      </c>
      <c r="G2" s="6" t="s">
        <v>1374</v>
      </c>
      <c r="H2" s="6"/>
      <c r="I2" s="6">
        <v>1</v>
      </c>
      <c r="J2" s="9">
        <f>IF(I2=0,"-",IF(I2=1,SUM(I$1:I1)+1,SUM(I$1:I1)+1 &amp; "-" &amp; SUM(I$1:I2)))</f>
        <v>1</v>
      </c>
      <c r="K2" s="15" t="str">
        <f>"!import-table-item --" &amp; G$1 &amp; " --" &amp; G2 &amp; " --" &amp; I2</f>
        <v>!import-table-item --Light-Armor --Padded Gambeson --1</v>
      </c>
      <c r="L2" s="9" t="s">
        <v>1359</v>
      </c>
      <c r="M2" s="6"/>
      <c r="N2" s="6">
        <v>1</v>
      </c>
      <c r="O2" s="9">
        <f>IF(N2=0,"-",IF(N2=1,SUM(N$1:N1)+1,SUM(N$1:N1)+1 &amp; "-" &amp; SUM(N$1:N2)))</f>
        <v>1</v>
      </c>
      <c r="P2" s="15" t="str">
        <f>"!import-table-item --" &amp; L$1 &amp; " --" &amp; L2 &amp; " --" &amp; N2</f>
        <v>!import-table-item --Medium-Armor --Hide Armor --1</v>
      </c>
      <c r="Q2" s="6" t="s">
        <v>1063</v>
      </c>
      <c r="R2" s="6"/>
      <c r="S2" s="6">
        <v>1</v>
      </c>
      <c r="T2" s="9">
        <f>IF(S2=0,"-",IF(S2=1,SUM(S$1:S1)+1,SUM(S$1:S1)+1 &amp; "-" &amp; SUM(S$1:S2)))</f>
        <v>1</v>
      </c>
      <c r="U2" s="15" t="str">
        <f>"!import-table-item --" &amp; Q$1 &amp; " --" &amp; Q2 &amp; " --" &amp; S2</f>
        <v>!import-table-item --Heavy-Armor --Ring Mail --1</v>
      </c>
      <c r="V2" s="6" t="s">
        <v>1059</v>
      </c>
      <c r="W2" s="6"/>
      <c r="X2" s="6">
        <v>4</v>
      </c>
      <c r="Y2" s="9" t="str">
        <f>IF(X2=0,"-",IF(X2=1,SUM(X$1:X1)+1,SUM(X$1:X1)+1 &amp; "-" &amp; SUM(X$1:X2)))</f>
        <v>1-4</v>
      </c>
      <c r="Z2" s="15" t="str">
        <f t="shared" ref="Z2:Z9" si="0">"!import-table-item --" &amp; V$1 &amp; " --" &amp; V2 &amp; " --" &amp; X2</f>
        <v>!import-table-item --Metal-Armor --Chain Shirt --4</v>
      </c>
      <c r="AA2" s="26" t="s">
        <v>1048</v>
      </c>
      <c r="AB2" s="6"/>
      <c r="AC2" s="6">
        <v>3</v>
      </c>
      <c r="AD2" s="9" t="str">
        <f>IF(AC2=0,"-",IF(AC2=1,SUM(AC$1:AC1)+1,SUM(AC$1:AC1)+1 &amp; "-" &amp; SUM(AC$1:AC2)))</f>
        <v>1-3</v>
      </c>
      <c r="AE2" s="15" t="str">
        <f>"!import-table-item --" &amp; AA$1 &amp; " --" &amp; AA2 &amp; " --" &amp; AC2</f>
        <v>!import-table-item --Weapons --[[ 1t[Simple-Melee] ]] --3</v>
      </c>
      <c r="AF2" s="6" t="s">
        <v>955</v>
      </c>
      <c r="AG2" s="6"/>
      <c r="AH2" s="6">
        <v>20</v>
      </c>
      <c r="AI2" s="9" t="str">
        <f>IF(AH2=0,"-",IF(AH2=1,SUM(AH$1:AH1)+1,SUM(AH$1:AH1)+1 &amp; "-" &amp; SUM(AH$1:AH2)))</f>
        <v>1-20</v>
      </c>
      <c r="AJ2" s="15" t="str">
        <f t="shared" ref="AJ2:AJ11" si="1">"!import-table-item --" &amp; AF$1 &amp; " --" &amp; AF2 &amp; " --" &amp; AH2</f>
        <v>!import-table-item --Simple-Melee --Dagger --20</v>
      </c>
      <c r="AK2" s="6" t="s">
        <v>964</v>
      </c>
      <c r="AL2" s="6"/>
      <c r="AM2" s="6">
        <v>6</v>
      </c>
      <c r="AN2" s="9" t="str">
        <f>IF(AM2=0,"-",IF(AM2=1,SUM(AM$1:AM1)+1,SUM(AM$1:AM1)+1 &amp; "-" &amp; SUM(AM$1:AM2)))</f>
        <v>1-6</v>
      </c>
      <c r="AO2" s="15" t="str">
        <f>"!import-table-item --" &amp; AK$1 &amp; " --" &amp; AK2 &amp; " --" &amp; AM2</f>
        <v>!import-table-item --Simple-Ranged --Light Crossbow --6</v>
      </c>
      <c r="AP2" s="6" t="s">
        <v>975</v>
      </c>
      <c r="AQ2" s="6"/>
      <c r="AR2" s="6">
        <v>12</v>
      </c>
      <c r="AS2" s="9" t="str">
        <f>IF(AR2=0,"-",IF(AR2=1,SUM(AR$1:AR1)+1,SUM(AR$1:AR1)+1 &amp; "-" &amp; SUM(AR$1:AR2)))</f>
        <v>1-12</v>
      </c>
      <c r="AT2" s="15" t="str">
        <f t="shared" ref="AT2:AT20" si="2">"!import-table-item --" &amp; AP$1 &amp; " --" &amp; AP2 &amp; " --" &amp; AR2</f>
        <v>!import-table-item --Martial-Melee --Longsword --12</v>
      </c>
      <c r="AU2" s="6" t="s">
        <v>987</v>
      </c>
      <c r="AV2" s="6"/>
      <c r="AW2" s="6">
        <v>9</v>
      </c>
      <c r="AX2" s="9" t="str">
        <f>IF(AW2=0,"-",IF(AW2=1,SUM(AW$1:AW1)+1,SUM(AW$1:AW1)+1 &amp; "-" &amp; SUM(AW$1:AW2)))</f>
        <v>1-9</v>
      </c>
      <c r="AY2" s="15" t="str">
        <f>"!import-table-item --" &amp; AU$1 &amp; " --" &amp; AU2 &amp; " --" &amp; AW2</f>
        <v>!import-table-item --Martial-Ranged --Heavy Crossbow --9</v>
      </c>
      <c r="AZ2" s="6" t="s">
        <v>1074</v>
      </c>
      <c r="BA2" s="6"/>
      <c r="BB2" s="6">
        <v>10</v>
      </c>
      <c r="BC2" s="9" t="str">
        <f>IF(BB2=0,"-",IF(BB2=1,SUM(BB$1:BB1)+1,SUM(BB$1:BB1)+1 &amp; "-" &amp; SUM(BB$1:BB2)))</f>
        <v>1-10</v>
      </c>
      <c r="BD2" s="15" t="str">
        <f>"!import-table-item --" &amp; AZ$1 &amp; " --" &amp; AZ2 &amp; " --" &amp; BB2</f>
        <v>!import-table-item --Ammunition --Bolts --10</v>
      </c>
      <c r="BE2" s="6" t="s">
        <v>975</v>
      </c>
      <c r="BF2" s="6"/>
      <c r="BG2" s="6">
        <v>4</v>
      </c>
      <c r="BH2" s="9" t="str">
        <f>IF(BG2=0,"-",IF(BG2=1,SUM(BG$1:BG1)+1,SUM(BG$1:BG1)+1 &amp; "-" &amp; SUM(BG$1:BG2)))</f>
        <v>1-4</v>
      </c>
      <c r="BI2" s="15" t="str">
        <f t="shared" ref="BI2:BI7" si="3">"!import-table-item --" &amp; BE$1 &amp; " --" &amp; BE2 &amp; " --" &amp; BG2</f>
        <v>!import-table-item --Swords --Longsword --4</v>
      </c>
      <c r="BJ2" s="6" t="s">
        <v>968</v>
      </c>
      <c r="BK2" s="6"/>
      <c r="BL2" s="6">
        <v>4</v>
      </c>
      <c r="BM2" s="9" t="str">
        <f>IF(BL2=0,"-",IF(BL2=1,SUM(BL$1:BL1)+1,SUM(BL$1:BL1)+1 &amp; "-" &amp; SUM(BL$1:BL2)))</f>
        <v>1-4</v>
      </c>
      <c r="BN2" s="15" t="str">
        <f>"!import-table-item --" &amp; BJ$1 &amp; " --" &amp; BJ2 &amp; " --" &amp; BL2</f>
        <v>!import-table-item --Axes --Battleaxe --4</v>
      </c>
      <c r="BO2" s="6" t="s">
        <v>988</v>
      </c>
      <c r="BP2" s="6"/>
      <c r="BQ2" s="6">
        <v>4</v>
      </c>
      <c r="BR2" s="9" t="str">
        <f>IF(BQ2=0,"-",IF(BQ2=1,SUM(BQ$1:BQ1)+1,SUM(BQ$1:BQ1)+1 &amp; "-" &amp; SUM(BQ$1:BQ2)))</f>
        <v>1-4</v>
      </c>
      <c r="BS2" s="15" t="str">
        <f>"!import-table-item --" &amp; BO$1 &amp; " --" &amp; BO2 &amp; " --" &amp; BQ2</f>
        <v>!import-table-item --Bows --Longbow --4</v>
      </c>
      <c r="BT2" s="24" t="s">
        <v>1047</v>
      </c>
      <c r="BU2" s="6"/>
      <c r="BV2" s="6">
        <v>4</v>
      </c>
      <c r="BW2" s="9" t="str">
        <f>IF(BV2=0,"-",IF(BV2=1,SUM(BV$1:BV1)+1,SUM(BV$1:BV1)+1 &amp; "-" &amp; SUM(BV$1:BV2)))</f>
        <v>1-4</v>
      </c>
      <c r="BX2" s="15" t="str">
        <f>"!import-table-item --" &amp; BT$1 &amp; " --" &amp; BT2 &amp; " --" &amp; BV2</f>
        <v>!import-table-item --Ranged --[[ 1t[Simple-Ranged] ]] --4</v>
      </c>
      <c r="BY2" s="24" t="s">
        <v>1759</v>
      </c>
      <c r="BZ2" s="6"/>
      <c r="CA2" s="6">
        <v>4</v>
      </c>
      <c r="CB2" s="6" t="str">
        <f>IF(CA2=0,"-",IF(CA2=1,SUM(CA$1:CA1)+1,SUM(CA$1:CA1)+1 &amp; "-" &amp; SUM(CA$1:CA2)))</f>
        <v>1-4</v>
      </c>
      <c r="CC2" s="15" t="str">
        <f>"!import-table-item --" &amp; BY$1 &amp; " --" &amp; BY2 &amp; " --" &amp; CA2</f>
        <v>!import-table-item --Dragon-Breath --[[ 1t[MM-Breath] ]] --4</v>
      </c>
      <c r="CD2" s="6" t="s">
        <v>407</v>
      </c>
      <c r="CE2" s="6" t="s">
        <v>1686</v>
      </c>
      <c r="CF2" s="6">
        <v>3</v>
      </c>
      <c r="CG2" s="9" t="str">
        <f>IF(CF2=0,"-",IF(CF2=1,SUM(CF$1:CF1)+1,SUM(CF$1:CF1)+1 &amp; "-" &amp; SUM(CF$1:CF2)))</f>
        <v>1-3</v>
      </c>
      <c r="CH2" s="15" t="str">
        <f>"!import-table-item --" &amp; CD$1 &amp; " --" &amp; CD2 &amp; " --" &amp; CF2</f>
        <v>!import-table-item --MM-Breath --Fire --3</v>
      </c>
      <c r="CI2" s="6" t="s">
        <v>408</v>
      </c>
      <c r="CJ2" s="6" t="s">
        <v>1403</v>
      </c>
      <c r="CK2" s="6">
        <v>2</v>
      </c>
      <c r="CL2" s="6" t="str">
        <f>IF(CK2=0,"-",IF(CK2=1,SUM(CK$1:CK1)+1,SUM(CK$1:CK1)+1 &amp; "-" &amp; SUM(CK$1:CK2)))</f>
        <v>1-2</v>
      </c>
      <c r="CM2" s="15" t="str">
        <f>"!import-table-item --" &amp; CI$1 &amp; " --" &amp; CI2 &amp; " --" &amp; CK2</f>
        <v>!import-table-item --FTD-Breath --Force --2</v>
      </c>
      <c r="CN2" s="6" t="s">
        <v>1354</v>
      </c>
      <c r="CP2" s="6">
        <v>2</v>
      </c>
      <c r="CQ2" s="9" t="str">
        <f>IF(CP2=0,"-",IF(CP2=1,SUM(CP$1:CP1)+1,SUM(CP$1:CP1)+1 &amp; "-" &amp; SUM(CP$1:CP2)))</f>
        <v>1-2</v>
      </c>
      <c r="CR2" s="15" t="str">
        <f>"!import-table-item --" &amp; CN$1 &amp; " --" &amp; CN2 &amp; " --" &amp; CP2</f>
        <v>!import-table-item --FTD-Dragons --Chromatic --2</v>
      </c>
      <c r="CS2" s="6" t="s">
        <v>1537</v>
      </c>
      <c r="CT2" s="6" t="s">
        <v>1686</v>
      </c>
      <c r="CU2" s="6">
        <v>2</v>
      </c>
      <c r="CV2" s="9" t="str">
        <f>IF(CU2=0,"-",IF(CU2=1,SUM(CU$1:CU1)+1,SUM(CU$1:CU1)+1 &amp; "-" &amp; SUM(CU$1:CU2)))</f>
        <v>1-2</v>
      </c>
      <c r="CW2" s="15" t="str">
        <f t="shared" ref="CW2:CW16" si="4">"!import-table-item --" &amp; CS$1 &amp; " --" &amp; CS2 &amp; " --" &amp; CU2</f>
        <v>!import-table-item --All-Dragons --Red --2</v>
      </c>
      <c r="CX2" s="6" t="s">
        <v>405</v>
      </c>
      <c r="CY2" s="6"/>
      <c r="CZ2" s="6">
        <v>1</v>
      </c>
      <c r="DA2" s="9">
        <f>IF(CZ2=0,"-",IF(CZ2=1,SUM(CZ$1:CZ1)+1,SUM(CZ$1:CZ1)+1 &amp; "-" &amp; SUM(CZ$1:CZ2)))</f>
        <v>1</v>
      </c>
      <c r="DB2" s="15" t="str">
        <f t="shared" ref="DB2:DB11" si="5">"!import-table-item --" &amp; CX$1 &amp; " --" &amp; CX2 &amp; " --" &amp; CZ2</f>
        <v>!import-table-item --Damage-Type --Acid --1</v>
      </c>
      <c r="DC2" s="11" t="s">
        <v>2007</v>
      </c>
      <c r="DE2" s="6">
        <v>5</v>
      </c>
      <c r="DF2" s="9" t="str">
        <f>IF(DE2=0,"-",IF(DE2=1,SUM(DE$1:DE1)+1,SUM(DE$1:DE1)+1 &amp; "-" &amp; SUM(DE$1:DE2)))</f>
        <v>1-5</v>
      </c>
      <c r="DG2" s="15" t="str">
        <f t="shared" ref="DG2:DG24" si="6">"!import-table-item --" &amp; DC$1 &amp; " --" &amp; DC2 &amp; " --" &amp; DE2</f>
        <v>!import-table-item --Tools --Cook's Utensils --5</v>
      </c>
    </row>
    <row r="3" spans="1:111" x14ac:dyDescent="0.25">
      <c r="A3" s="25" t="s">
        <v>1765</v>
      </c>
      <c r="B3" s="24" t="s">
        <v>1065</v>
      </c>
      <c r="C3" s="6"/>
      <c r="D3" s="6">
        <v>3</v>
      </c>
      <c r="E3" s="9" t="str">
        <f>IF(D3=0,"-",IF(D3=1,SUM(D$1:D2)+1,SUM(D$1:D2)+1 &amp; "-" &amp; SUM(D$1:D3)))</f>
        <v>4-6</v>
      </c>
      <c r="F3" s="15" t="str">
        <f>"!import-table-item --" &amp; B$1 &amp; " --" &amp; B3 &amp; " --" &amp; D3</f>
        <v>!import-table-item --Armor --[[ 1t[Medium-Armor] ]] --3</v>
      </c>
      <c r="G3" s="6" t="s">
        <v>1361</v>
      </c>
      <c r="H3" s="6"/>
      <c r="I3" s="6">
        <v>5</v>
      </c>
      <c r="J3" s="9" t="str">
        <f>IF(I3=0,"-",IF(I3=1,SUM(I$1:I2)+1,SUM(I$1:I2)+1 &amp; "-" &amp; SUM(I$1:I3)))</f>
        <v>2-6</v>
      </c>
      <c r="K3" s="15" t="str">
        <f>"!import-table-item --" &amp; G$1 &amp; " --" &amp; G3 &amp; " --" &amp; I3</f>
        <v>!import-table-item --Light-Armor --Leather Armor --5</v>
      </c>
      <c r="L3" s="6" t="s">
        <v>1059</v>
      </c>
      <c r="M3" s="6"/>
      <c r="N3" s="6">
        <v>3</v>
      </c>
      <c r="O3" s="9" t="str">
        <f>IF(N3=0,"-",IF(N3=1,SUM(N$1:N2)+1,SUM(N$1:N2)+1 &amp; "-" &amp; SUM(N$1:N3)))</f>
        <v>2-4</v>
      </c>
      <c r="P3" s="15" t="str">
        <f>"!import-table-item --" &amp; L$1 &amp; " --" &amp; L3 &amp; " --" &amp; N3</f>
        <v>!import-table-item --Medium-Armor --Chain Shirt --3</v>
      </c>
      <c r="Q3" s="6" t="s">
        <v>1064</v>
      </c>
      <c r="R3" s="6"/>
      <c r="S3" s="6">
        <v>5</v>
      </c>
      <c r="T3" s="9" t="str">
        <f>IF(S3=0,"-",IF(S3=1,SUM(S$1:S2)+1,SUM(S$1:S2)+1 &amp; "-" &amp; SUM(S$1:S3)))</f>
        <v>2-6</v>
      </c>
      <c r="U3" s="15" t="str">
        <f>"!import-table-item --" &amp; Q$1 &amp; " --" &amp; Q3 &amp; " --" &amp; S3</f>
        <v>!import-table-item --Heavy-Armor --Chain Mail --5</v>
      </c>
      <c r="V3" s="6" t="s">
        <v>1060</v>
      </c>
      <c r="W3" s="6"/>
      <c r="X3" s="6">
        <v>3</v>
      </c>
      <c r="Y3" s="9" t="str">
        <f>IF(X3=0,"-",IF(X3=1,SUM(X$1:X2)+1,SUM(X$1:X2)+1 &amp; "-" &amp; SUM(X$1:X3)))</f>
        <v>5-7</v>
      </c>
      <c r="Z3" s="15" t="str">
        <f t="shared" si="0"/>
        <v>!import-table-item --Metal-Armor --Scale Mail --3</v>
      </c>
      <c r="AA3" s="26" t="s">
        <v>1047</v>
      </c>
      <c r="AB3" s="6"/>
      <c r="AC3" s="6">
        <v>2</v>
      </c>
      <c r="AD3" s="9" t="str">
        <f>IF(AC3=0,"-",IF(AC3=1,SUM(AC$1:AC2)+1,SUM(AC$1:AC2)+1 &amp; "-" &amp; SUM(AC$1:AC3)))</f>
        <v>4-5</v>
      </c>
      <c r="AE3" s="15" t="str">
        <f>"!import-table-item --" &amp; AA$1 &amp; " --" &amp; AA3 &amp; " --" &amp; AC3</f>
        <v>!import-table-item --Weapons --[[ 1t[Simple-Ranged] ]] --2</v>
      </c>
      <c r="AF3" s="6" t="s">
        <v>957</v>
      </c>
      <c r="AG3" s="6"/>
      <c r="AH3" s="6">
        <v>12</v>
      </c>
      <c r="AI3" s="9" t="str">
        <f>IF(AH3=0,"-",IF(AH3=1,SUM(AH$1:AH2)+1,SUM(AH$1:AH2)+1 &amp; "-" &amp; SUM(AH$1:AH3)))</f>
        <v>21-32</v>
      </c>
      <c r="AJ3" s="15" t="str">
        <f t="shared" si="1"/>
        <v>!import-table-item --Simple-Melee --Handaxe --12</v>
      </c>
      <c r="AK3" s="6" t="s">
        <v>966</v>
      </c>
      <c r="AL3" s="6"/>
      <c r="AM3" s="6">
        <v>4</v>
      </c>
      <c r="AN3" s="9" t="str">
        <f>IF(AM3=0,"-",IF(AM3=1,SUM(AM$1:AM2)+1,SUM(AM$1:AM2)+1 &amp; "-" &amp; SUM(AM$1:AM3)))</f>
        <v>7-10</v>
      </c>
      <c r="AO3" s="15" t="str">
        <f>"!import-table-item --" &amp; AK$1 &amp; " --" &amp; AK3 &amp; " --" &amp; AM3</f>
        <v>!import-table-item --Simple-Ranged --Shortbow --4</v>
      </c>
      <c r="AP3" s="6" t="s">
        <v>981</v>
      </c>
      <c r="AQ3" s="6"/>
      <c r="AR3" s="6">
        <v>12</v>
      </c>
      <c r="AS3" s="9" t="str">
        <f>IF(AR3=0,"-",IF(AR3=1,SUM(AR$1:AR2)+1,SUM(AR$1:AR2)+1 &amp; "-" &amp; SUM(AR$1:AR3)))</f>
        <v>13-24</v>
      </c>
      <c r="AT3" s="15" t="str">
        <f t="shared" si="2"/>
        <v>!import-table-item --Martial-Melee --Shortsword --12</v>
      </c>
      <c r="AU3" s="6" t="s">
        <v>988</v>
      </c>
      <c r="AV3" s="6"/>
      <c r="AW3" s="6">
        <v>6</v>
      </c>
      <c r="AX3" s="9" t="str">
        <f>IF(AW3=0,"-",IF(AW3=1,SUM(AW$1:AW2)+1,SUM(AW$1:AW2)+1 &amp; "-" &amp; SUM(AW$1:AW3)))</f>
        <v>10-15</v>
      </c>
      <c r="AY3" s="15" t="str">
        <f>"!import-table-item --" &amp; AU$1 &amp; " --" &amp; AU3 &amp; " --" &amp; AW3</f>
        <v>!import-table-item --Martial-Ranged --Longbow --6</v>
      </c>
      <c r="AZ3" s="6" t="s">
        <v>1075</v>
      </c>
      <c r="BA3" s="6"/>
      <c r="BB3" s="6">
        <v>7</v>
      </c>
      <c r="BC3" s="9" t="str">
        <f>IF(BB3=0,"-",IF(BB3=1,SUM(BB$1:BB2)+1,SUM(BB$1:BB2)+1 &amp; "-" &amp; SUM(BB$1:BB3)))</f>
        <v>11-17</v>
      </c>
      <c r="BD3" s="15" t="str">
        <f>"!import-table-item --" &amp; AZ$1 &amp; " --" &amp; AZ3 &amp; " --" &amp; BB3</f>
        <v>!import-table-item --Ammunition --Arrows --7</v>
      </c>
      <c r="BE3" s="6" t="s">
        <v>981</v>
      </c>
      <c r="BF3" s="6"/>
      <c r="BG3" s="6">
        <v>3</v>
      </c>
      <c r="BH3" s="9" t="str">
        <f>IF(BG3=0,"-",IF(BG3=1,SUM(BG$1:BG2)+1,SUM(BG$1:BG2)+1 &amp; "-" &amp; SUM(BG$1:BG3)))</f>
        <v>5-7</v>
      </c>
      <c r="BI3" s="15" t="str">
        <f t="shared" si="3"/>
        <v>!import-table-item --Swords --Shortsword --3</v>
      </c>
      <c r="BJ3" s="6" t="s">
        <v>971</v>
      </c>
      <c r="BK3" s="6"/>
      <c r="BL3" s="6">
        <v>2</v>
      </c>
      <c r="BM3" s="9" t="str">
        <f>IF(BL3=0,"-",IF(BL3=1,SUM(BL$1:BL2)+1,SUM(BL$1:BL2)+1 &amp; "-" &amp; SUM(BL$1:BL3)))</f>
        <v>5-6</v>
      </c>
      <c r="BN3" s="15" t="str">
        <f>"!import-table-item --" &amp; BJ$1 &amp; " --" &amp; BJ3 &amp; " --" &amp; BL3</f>
        <v>!import-table-item --Axes --Greataxe --2</v>
      </c>
      <c r="BO3" s="6" t="s">
        <v>966</v>
      </c>
      <c r="BP3" s="6"/>
      <c r="BQ3" s="6">
        <v>3</v>
      </c>
      <c r="BR3" s="9" t="str">
        <f>IF(BQ3=0,"-",IF(BQ3=1,SUM(BQ$1:BQ2)+1,SUM(BQ$1:BQ2)+1 &amp; "-" &amp; SUM(BQ$1:BQ3)))</f>
        <v>5-7</v>
      </c>
      <c r="BS3" s="15" t="str">
        <f>"!import-table-item --" &amp; BO$1 &amp; " --" &amp; BO3 &amp; " --" &amp; BQ3</f>
        <v>!import-table-item --Bows --Shortbow --3</v>
      </c>
      <c r="BT3" s="24" t="s">
        <v>1050</v>
      </c>
      <c r="BU3" s="6"/>
      <c r="BV3" s="6">
        <v>6</v>
      </c>
      <c r="BW3" s="9" t="str">
        <f>IF(BV3=0,"-",IF(BV3=1,SUM(BV$1:BV2)+1,SUM(BV$1:BV2)+1 &amp; "-" &amp; SUM(BV$1:BV3)))</f>
        <v>5-10</v>
      </c>
      <c r="BX3" s="15" t="str">
        <f>"!import-table-item --" &amp; BT$1 &amp; " --" &amp; BT3 &amp; " --" &amp; BV3</f>
        <v>!import-table-item --Ranged --[[ 1t[Martial-Ranged] ]] --6</v>
      </c>
      <c r="BY3" s="24" t="s">
        <v>1761</v>
      </c>
      <c r="BZ3" s="6"/>
      <c r="CA3" s="6">
        <v>2</v>
      </c>
      <c r="CB3" s="6" t="str">
        <f>IF(CA3=0,"-",IF(CA3=1,SUM(CA$1:CA2)+1,SUM(CA$1:CA2)+1 &amp; "-" &amp; SUM(CA$1:CA3)))</f>
        <v>5-6</v>
      </c>
      <c r="CC3" s="15" t="str">
        <f>"!import-table-item --" &amp; BY$1 &amp; " --" &amp; BY3 &amp; " --" &amp; CA3</f>
        <v>!import-table-item --Dragon-Breath --[[ 1t[FTD-Breath] ]] --2</v>
      </c>
      <c r="CD3" s="6" t="s">
        <v>405</v>
      </c>
      <c r="CE3" s="6" t="s">
        <v>1686</v>
      </c>
      <c r="CF3" s="6">
        <v>2</v>
      </c>
      <c r="CG3" s="9" t="str">
        <f>IF(CF3=0,"-",IF(CF3=1,SUM(CF$1:CF2)+1,SUM(CF$1:CF2)+1 &amp; "-" &amp; SUM(CF$1:CF3)))</f>
        <v>4-5</v>
      </c>
      <c r="CH3" s="15" t="str">
        <f>"!import-table-item --" &amp; CD$1 &amp; " --" &amp; CD3 &amp; " --" &amp; CF3</f>
        <v>!import-table-item --MM-Breath --Acid --2</v>
      </c>
      <c r="CI3" s="6" t="s">
        <v>410</v>
      </c>
      <c r="CJ3" s="6" t="s">
        <v>1403</v>
      </c>
      <c r="CK3" s="6">
        <v>2</v>
      </c>
      <c r="CL3" s="6" t="str">
        <f>IF(CK3=0,"-",IF(CK3=1,SUM(CK$1:CK2)+1,SUM(CK$1:CK2)+1 &amp; "-" &amp; SUM(CK$1:CK3)))</f>
        <v>3-4</v>
      </c>
      <c r="CM3" s="15" t="str">
        <f>"!import-table-item --" &amp; CI$1 &amp; " --" &amp; CI3 &amp; " --" &amp; CK3</f>
        <v>!import-table-item --FTD-Breath --Necrotic --2</v>
      </c>
      <c r="CN3" s="6" t="s">
        <v>1355</v>
      </c>
      <c r="CP3" s="6">
        <v>2</v>
      </c>
      <c r="CQ3" s="9" t="str">
        <f>IF(CP3=0,"-",IF(CP3=1,SUM(CP$1:CP2)+1,SUM(CP$1:CP2)+1 &amp; "-" &amp; SUM(CP$1:CP3)))</f>
        <v>3-4</v>
      </c>
      <c r="CR3" s="15" t="str">
        <f>"!import-table-item --" &amp; CN$1 &amp; " --" &amp; CN3 &amp; " --" &amp; CP3</f>
        <v>!import-table-item --FTD-Dragons --Gem --2</v>
      </c>
      <c r="CS3" s="6" t="s">
        <v>1532</v>
      </c>
      <c r="CT3" s="6" t="s">
        <v>1686</v>
      </c>
      <c r="CU3" s="6">
        <v>2</v>
      </c>
      <c r="CV3" s="9" t="str">
        <f>IF(CU3=0,"-",IF(CU3=1,SUM(CU$1:CU2)+1,SUM(CU$1:CU2)+1 &amp; "-" &amp; SUM(CU$1:CU3)))</f>
        <v>3-4</v>
      </c>
      <c r="CW3" s="15" t="str">
        <f t="shared" si="4"/>
        <v>!import-table-item --All-Dragons --Blue --2</v>
      </c>
      <c r="CX3" s="6" t="s">
        <v>406</v>
      </c>
      <c r="CY3" s="6"/>
      <c r="CZ3" s="6">
        <v>1</v>
      </c>
      <c r="DA3" s="9">
        <f>IF(CZ3=0,"-",IF(CZ3=1,SUM(CZ$1:CZ2)+1,SUM(CZ$1:CZ2)+1 &amp; "-" &amp; SUM(CZ$1:CZ3)))</f>
        <v>2</v>
      </c>
      <c r="DB3" s="15" t="str">
        <f t="shared" si="5"/>
        <v>!import-table-item --Damage-Type --Cold --1</v>
      </c>
      <c r="DC3" s="11" t="s">
        <v>1996</v>
      </c>
      <c r="DE3" s="6">
        <v>5</v>
      </c>
      <c r="DF3" s="9" t="str">
        <f>IF(DE3=0,"-",IF(DE3=1,SUM(DE$1:DE2)+1,SUM(DE$1:DE2)+1 &amp; "-" &amp; SUM(DE$1:DE3)))</f>
        <v>6-10</v>
      </c>
      <c r="DG3" s="15" t="str">
        <f t="shared" si="6"/>
        <v>!import-table-item --Tools --Disguise Kit --5</v>
      </c>
    </row>
    <row r="4" spans="1:111" x14ac:dyDescent="0.25">
      <c r="A4" s="25" t="s">
        <v>1766</v>
      </c>
      <c r="B4" s="24" t="s">
        <v>1066</v>
      </c>
      <c r="C4" s="6"/>
      <c r="D4" s="6">
        <v>2</v>
      </c>
      <c r="E4" s="9" t="str">
        <f>IF(D4=0,"-",IF(D4=1,SUM(D$1:D3)+1,SUM(D$1:D3)+1 &amp; "-" &amp; SUM(D$1:D4)))</f>
        <v>7-8</v>
      </c>
      <c r="F4" s="15" t="str">
        <f>"!import-table-item --" &amp; B$1 &amp; " --" &amp; B4 &amp; " --" &amp; D4</f>
        <v>!import-table-item --Armor --[[ 1t[Heavy-Armor] ]] --2</v>
      </c>
      <c r="G4" s="6" t="s">
        <v>1362</v>
      </c>
      <c r="H4" s="6"/>
      <c r="I4" s="6">
        <v>2</v>
      </c>
      <c r="J4" s="9" t="str">
        <f>IF(I4=0,"-",IF(I4=1,SUM(I$1:I3)+1,SUM(I$1:I3)+1 &amp; "-" &amp; SUM(I$1:I4)))</f>
        <v>7-8</v>
      </c>
      <c r="K4" s="15" t="str">
        <f>"!import-table-item --" &amp; G$1 &amp; " --" &amp; G4 &amp; " --" &amp; I4</f>
        <v>!import-table-item --Light-Armor --Studded Leather Armor --2</v>
      </c>
      <c r="L4" s="6" t="s">
        <v>1060</v>
      </c>
      <c r="M4" s="6"/>
      <c r="N4" s="6">
        <v>3</v>
      </c>
      <c r="O4" s="9" t="str">
        <f>IF(N4=0,"-",IF(N4=1,SUM(N$1:N3)+1,SUM(N$1:N3)+1 &amp; "-" &amp; SUM(N$1:N4)))</f>
        <v>5-7</v>
      </c>
      <c r="P4" s="15" t="str">
        <f>"!import-table-item --" &amp; L$1 &amp; " --" &amp; L4 &amp; " --" &amp; N4</f>
        <v>!import-table-item --Medium-Armor --Scale Mail --3</v>
      </c>
      <c r="Q4" s="6" t="s">
        <v>1357</v>
      </c>
      <c r="R4" s="6"/>
      <c r="S4" s="6">
        <v>3</v>
      </c>
      <c r="T4" s="9" t="str">
        <f>IF(S4=0,"-",IF(S4=1,SUM(S$1:S3)+1,SUM(S$1:S3)+1 &amp; "-" &amp; SUM(S$1:S4)))</f>
        <v>7-9</v>
      </c>
      <c r="U4" s="15" t="str">
        <f>"!import-table-item --" &amp; Q$1 &amp; " --" &amp; Q4 &amp; " --" &amp; S4</f>
        <v>!import-table-item --Heavy-Armor --Splint Armor --3</v>
      </c>
      <c r="V4" s="6" t="s">
        <v>1061</v>
      </c>
      <c r="W4" s="6"/>
      <c r="X4" s="6">
        <v>2</v>
      </c>
      <c r="Y4" s="9" t="str">
        <f>IF(X4=0,"-",IF(X4=1,SUM(X$1:X3)+1,SUM(X$1:X3)+1 &amp; "-" &amp; SUM(X$1:X4)))</f>
        <v>8-9</v>
      </c>
      <c r="Z4" s="15" t="str">
        <f t="shared" si="0"/>
        <v>!import-table-item --Metal-Armor --Breastplate --2</v>
      </c>
      <c r="AA4" s="26" t="s">
        <v>1049</v>
      </c>
      <c r="AB4" s="6"/>
      <c r="AC4" s="6">
        <v>5</v>
      </c>
      <c r="AD4" s="9" t="str">
        <f>IF(AC4=0,"-",IF(AC4=1,SUM(AC$1:AC3)+1,SUM(AC$1:AC3)+1 &amp; "-" &amp; SUM(AC$1:AC4)))</f>
        <v>6-10</v>
      </c>
      <c r="AE4" s="15" t="str">
        <f>"!import-table-item --" &amp; AA$1 &amp; " --" &amp; AA4 &amp; " --" &amp; AC4</f>
        <v>!import-table-item --Weapons --[[ 1t[Martial-Melee] ]] --5</v>
      </c>
      <c r="AF4" s="6" t="s">
        <v>958</v>
      </c>
      <c r="AG4" s="6"/>
      <c r="AH4" s="6">
        <v>12</v>
      </c>
      <c r="AI4" s="9" t="str">
        <f>IF(AH4=0,"-",IF(AH4=1,SUM(AH$1:AH3)+1,SUM(AH$1:AH3)+1 &amp; "-" &amp; SUM(AH$1:AH4)))</f>
        <v>33-44</v>
      </c>
      <c r="AJ4" s="15" t="str">
        <f t="shared" si="1"/>
        <v>!import-table-item --Simple-Melee --Javelin --12</v>
      </c>
      <c r="AK4" s="6" t="s">
        <v>965</v>
      </c>
      <c r="AL4" s="6"/>
      <c r="AM4" s="6">
        <v>1</v>
      </c>
      <c r="AN4" s="9">
        <f>IF(AM4=0,"-",IF(AM4=1,SUM(AM$1:AM3)+1,SUM(AM$1:AM3)+1 &amp; "-" &amp; SUM(AM$1:AM4)))</f>
        <v>11</v>
      </c>
      <c r="AO4" s="15" t="str">
        <f>"!import-table-item --" &amp; AK$1 &amp; " --" &amp; AK4 &amp; " --" &amp; AM4</f>
        <v>!import-table-item --Simple-Ranged --Dart --1</v>
      </c>
      <c r="AP4" s="6" t="s">
        <v>968</v>
      </c>
      <c r="AQ4" s="6"/>
      <c r="AR4" s="6">
        <v>8</v>
      </c>
      <c r="AS4" s="9" t="str">
        <f>IF(AR4=0,"-",IF(AR4=1,SUM(AR$1:AR3)+1,SUM(AR$1:AR3)+1 &amp; "-" &amp; SUM(AR$1:AR4)))</f>
        <v>25-32</v>
      </c>
      <c r="AT4" s="15" t="str">
        <f t="shared" si="2"/>
        <v>!import-table-item --Martial-Melee --Battleaxe --8</v>
      </c>
      <c r="AU4" s="6" t="s">
        <v>986</v>
      </c>
      <c r="AV4" s="6"/>
      <c r="AW4" s="6">
        <v>3</v>
      </c>
      <c r="AX4" s="9" t="str">
        <f>IF(AW4=0,"-",IF(AW4=1,SUM(AW$1:AW3)+1,SUM(AW$1:AW3)+1 &amp; "-" &amp; SUM(AW$1:AW4)))</f>
        <v>16-18</v>
      </c>
      <c r="AY4" s="15" t="str">
        <f>"!import-table-item --" &amp; AU$1 &amp; " --" &amp; AU4 &amp; " --" &amp; AW4</f>
        <v>!import-table-item --Martial-Ranged --Hand Crossbow --3</v>
      </c>
      <c r="AZ4" s="6" t="s">
        <v>1076</v>
      </c>
      <c r="BA4" s="6"/>
      <c r="BB4" s="6">
        <v>2</v>
      </c>
      <c r="BC4" s="9" t="str">
        <f>IF(BB4=0,"-",IF(BB4=1,SUM(BB$1:BB3)+1,SUM(BB$1:BB3)+1 &amp; "-" &amp; SUM(BB$1:BB4)))</f>
        <v>18-19</v>
      </c>
      <c r="BD4" s="15" t="str">
        <f>"!import-table-item --" &amp; AZ$1 &amp; " --" &amp; AZ4 &amp; " --" &amp; BB4</f>
        <v>!import-table-item --Ammunition --Bullets --2</v>
      </c>
      <c r="BE4" s="6" t="s">
        <v>972</v>
      </c>
      <c r="BF4" s="6"/>
      <c r="BG4" s="6">
        <v>2</v>
      </c>
      <c r="BH4" s="9" t="str">
        <f>IF(BG4=0,"-",IF(BG4=1,SUM(BG$1:BG3)+1,SUM(BG$1:BG3)+1 &amp; "-" &amp; SUM(BG$1:BG4)))</f>
        <v>8-9</v>
      </c>
      <c r="BI4" s="15" t="str">
        <f t="shared" si="3"/>
        <v>!import-table-item --Swords --Greatsword --2</v>
      </c>
      <c r="BJ4" s="6"/>
      <c r="BK4" s="6"/>
      <c r="BL4" s="6"/>
      <c r="BM4" s="9"/>
      <c r="BN4" s="15"/>
      <c r="BO4" s="6" t="s">
        <v>987</v>
      </c>
      <c r="BP4" s="6"/>
      <c r="BQ4" s="6">
        <v>2</v>
      </c>
      <c r="BR4" s="9" t="str">
        <f>IF(BQ4=0,"-",IF(BQ4=1,SUM(BQ$1:BQ3)+1,SUM(BQ$1:BQ3)+1 &amp; "-" &amp; SUM(BQ$1:BQ4)))</f>
        <v>8-9</v>
      </c>
      <c r="BS4" s="15" t="str">
        <f>"!import-table-item --" &amp; BO$1 &amp; " --" &amp; BO4 &amp; " --" &amp; BQ4</f>
        <v>!import-table-item --Bows --Heavy Crossbow --2</v>
      </c>
      <c r="BT4" s="6"/>
      <c r="BU4" s="6"/>
      <c r="BV4" s="6"/>
      <c r="BW4" s="9"/>
      <c r="BX4" s="15"/>
      <c r="BZ4" s="6"/>
      <c r="CB4" s="6"/>
      <c r="CD4" s="9" t="s">
        <v>406</v>
      </c>
      <c r="CE4" s="6" t="s">
        <v>1686</v>
      </c>
      <c r="CF4" s="6">
        <v>2</v>
      </c>
      <c r="CG4" s="9" t="str">
        <f>IF(CF4=0,"-",IF(CF4=1,SUM(CF$1:CF3)+1,SUM(CF$1:CF3)+1 &amp; "-" &amp; SUM(CF$1:CF4)))</f>
        <v>6-7</v>
      </c>
      <c r="CH4" s="15" t="str">
        <f>"!import-table-item --" &amp; CD$1 &amp; " --" &amp; CD4 &amp; " --" &amp; CF4</f>
        <v>!import-table-item --MM-Breath --Cold --2</v>
      </c>
      <c r="CI4" s="6" t="s">
        <v>412</v>
      </c>
      <c r="CJ4" s="6" t="s">
        <v>1403</v>
      </c>
      <c r="CK4" s="6">
        <v>2</v>
      </c>
      <c r="CL4" s="6" t="str">
        <f>IF(CK4=0,"-",IF(CK4=1,SUM(CK$1:CK3)+1,SUM(CK$1:CK3)+1 &amp; "-" &amp; SUM(CK$1:CK4)))</f>
        <v>5-6</v>
      </c>
      <c r="CM4" s="15" t="str">
        <f>"!import-table-item --" &amp; CI$1 &amp; " --" &amp; CI4 &amp; " --" &amp; CK4</f>
        <v>!import-table-item --FTD-Breath --Psychic --2</v>
      </c>
      <c r="CN4" s="6" t="s">
        <v>1356</v>
      </c>
      <c r="CP4" s="6">
        <v>2</v>
      </c>
      <c r="CQ4" s="9" t="str">
        <f>IF(CP4=0,"-",IF(CP4=1,SUM(CP$1:CP3)+1,SUM(CP$1:CP3)+1 &amp; "-" &amp; SUM(CP$1:CP4)))</f>
        <v>5-6</v>
      </c>
      <c r="CR4" s="15" t="str">
        <f>"!import-table-item --" &amp; CN$1 &amp; " --" &amp; CN4 &amp; " --" &amp; CP4</f>
        <v>!import-table-item --FTD-Dragons --Metallic --2</v>
      </c>
      <c r="CS4" s="6" t="s">
        <v>1536</v>
      </c>
      <c r="CT4" s="6" t="s">
        <v>1686</v>
      </c>
      <c r="CU4" s="6">
        <v>2</v>
      </c>
      <c r="CV4" s="9" t="str">
        <f>IF(CU4=0,"-",IF(CU4=1,SUM(CU$1:CU3)+1,SUM(CU$1:CU3)+1 &amp; "-" &amp; SUM(CU$1:CU4)))</f>
        <v>5-6</v>
      </c>
      <c r="CW4" s="15" t="str">
        <f t="shared" si="4"/>
        <v>!import-table-item --All-Dragons --Green --2</v>
      </c>
      <c r="CX4" s="6" t="s">
        <v>407</v>
      </c>
      <c r="CY4" s="6"/>
      <c r="CZ4" s="6">
        <v>1</v>
      </c>
      <c r="DA4" s="9">
        <f>IF(CZ4=0,"-",IF(CZ4=1,SUM(CZ$1:CZ3)+1,SUM(CZ$1:CZ3)+1 &amp; "-" &amp; SUM(CZ$1:CZ4)))</f>
        <v>3</v>
      </c>
      <c r="DB4" s="15" t="str">
        <f t="shared" si="5"/>
        <v>!import-table-item --Damage-Type --Fire --1</v>
      </c>
      <c r="DC4" s="11" t="s">
        <v>1995</v>
      </c>
      <c r="DE4" s="6">
        <v>5</v>
      </c>
      <c r="DF4" s="9" t="str">
        <f>IF(DE4=0,"-",IF(DE4=1,SUM(DE$1:DE3)+1,SUM(DE$1:DE3)+1 &amp; "-" &amp; SUM(DE$1:DE4)))</f>
        <v>11-15</v>
      </c>
      <c r="DG4" s="15" t="str">
        <f t="shared" si="6"/>
        <v>!import-table-item --Tools --Forgery Kit --5</v>
      </c>
    </row>
    <row r="5" spans="1:111" x14ac:dyDescent="0.25">
      <c r="A5" s="25" t="s">
        <v>1767</v>
      </c>
      <c r="B5" s="6"/>
      <c r="C5" s="6"/>
      <c r="D5" s="6"/>
      <c r="E5" s="9"/>
      <c r="F5" s="15"/>
      <c r="G5" s="6"/>
      <c r="H5" s="6"/>
      <c r="I5" s="6"/>
      <c r="J5" s="9"/>
      <c r="K5" s="15"/>
      <c r="L5" s="6" t="s">
        <v>1061</v>
      </c>
      <c r="M5" s="6"/>
      <c r="N5" s="6">
        <v>2</v>
      </c>
      <c r="O5" s="9" t="str">
        <f>IF(N5=0,"-",IF(N5=1,SUM(N$1:N4)+1,SUM(N$1:N4)+1 &amp; "-" &amp; SUM(N$1:N5)))</f>
        <v>8-9</v>
      </c>
      <c r="P5" s="15" t="str">
        <f>"!import-table-item --" &amp; L$1 &amp; " --" &amp; L5 &amp; " --" &amp; N5</f>
        <v>!import-table-item --Medium-Armor --Breastplate --2</v>
      </c>
      <c r="Q5" s="6" t="s">
        <v>1358</v>
      </c>
      <c r="R5" s="6"/>
      <c r="S5" s="6">
        <v>1</v>
      </c>
      <c r="T5" s="9">
        <f>IF(S5=0,"-",IF(S5=1,SUM(S$1:S4)+1,SUM(S$1:S4)+1 &amp; "-" &amp; SUM(S$1:S5)))</f>
        <v>10</v>
      </c>
      <c r="U5" s="15" t="str">
        <f>"!import-table-item --" &amp; Q$1 &amp; " --" &amp; Q5 &amp; " --" &amp; S5</f>
        <v>!import-table-item --Heavy-Armor --Plate Armor --1</v>
      </c>
      <c r="V5" s="6" t="s">
        <v>1062</v>
      </c>
      <c r="W5" s="6"/>
      <c r="X5" s="6">
        <v>1</v>
      </c>
      <c r="Y5" s="9">
        <f>IF(X5=0,"-",IF(X5=1,SUM(X$1:X4)+1,SUM(X$1:X4)+1 &amp; "-" &amp; SUM(X$1:X5)))</f>
        <v>10</v>
      </c>
      <c r="Z5" s="15" t="str">
        <f t="shared" si="0"/>
        <v>!import-table-item --Metal-Armor --Half Plate --1</v>
      </c>
      <c r="AA5" s="26" t="s">
        <v>1050</v>
      </c>
      <c r="AB5" s="6"/>
      <c r="AC5" s="6">
        <v>2</v>
      </c>
      <c r="AD5" s="9" t="str">
        <f>IF(AC5=0,"-",IF(AC5=1,SUM(AC$1:AC4)+1,SUM(AC$1:AC4)+1 &amp; "-" &amp; SUM(AC$1:AC5)))</f>
        <v>11-12</v>
      </c>
      <c r="AE5" s="15" t="str">
        <f>"!import-table-item --" &amp; AA$1 &amp; " --" &amp; AA5 &amp; " --" &amp; AC5</f>
        <v>!import-table-item --Weapons --[[ 1t[Martial-Ranged] ]] --2</v>
      </c>
      <c r="AF5" s="6" t="s">
        <v>961</v>
      </c>
      <c r="AG5" s="6"/>
      <c r="AH5" s="6">
        <v>12</v>
      </c>
      <c r="AI5" s="9" t="str">
        <f>IF(AH5=0,"-",IF(AH5=1,SUM(AH$1:AH4)+1,SUM(AH$1:AH4)+1 &amp; "-" &amp; SUM(AH$1:AH5)))</f>
        <v>45-56</v>
      </c>
      <c r="AJ5" s="15" t="str">
        <f t="shared" si="1"/>
        <v>!import-table-item --Simple-Melee --Quarterstaff --12</v>
      </c>
      <c r="AK5" s="6" t="s">
        <v>967</v>
      </c>
      <c r="AL5" s="6"/>
      <c r="AM5" s="6">
        <v>1</v>
      </c>
      <c r="AN5" s="9">
        <f>IF(AM5=0,"-",IF(AM5=1,SUM(AM$1:AM4)+1,SUM(AM$1:AM4)+1 &amp; "-" &amp; SUM(AM$1:AM5)))</f>
        <v>12</v>
      </c>
      <c r="AO5" s="15" t="str">
        <f>"!import-table-item --" &amp; AK$1 &amp; " --" &amp; AK5 &amp; " --" &amp; AM5</f>
        <v>!import-table-item --Simple-Ranged --Sling --1</v>
      </c>
      <c r="AP5" s="6" t="s">
        <v>972</v>
      </c>
      <c r="AQ5" s="6"/>
      <c r="AR5" s="6">
        <v>8</v>
      </c>
      <c r="AS5" s="9" t="str">
        <f>IF(AR5=0,"-",IF(AR5=1,SUM(AR$1:AR4)+1,SUM(AR$1:AR4)+1 &amp; "-" &amp; SUM(AR$1:AR5)))</f>
        <v>33-40</v>
      </c>
      <c r="AT5" s="15" t="str">
        <f t="shared" si="2"/>
        <v>!import-table-item --Martial-Melee --Greatsword --8</v>
      </c>
      <c r="AU5" s="6" t="s">
        <v>985</v>
      </c>
      <c r="AV5" s="6"/>
      <c r="AW5" s="6">
        <v>1</v>
      </c>
      <c r="AX5" s="9">
        <f>IF(AW5=0,"-",IF(AW5=1,SUM(AW$1:AW4)+1,SUM(AW$1:AW4)+1 &amp; "-" &amp; SUM(AW$1:AW5)))</f>
        <v>19</v>
      </c>
      <c r="AY5" s="15" t="str">
        <f>"!import-table-item --" &amp; AU$1 &amp; " --" &amp; AU5 &amp; " --" &amp; AW5</f>
        <v>!import-table-item --Martial-Ranged --Blowgun --1</v>
      </c>
      <c r="AZ5" s="6" t="s">
        <v>1077</v>
      </c>
      <c r="BA5" s="6"/>
      <c r="BB5" s="6">
        <v>1</v>
      </c>
      <c r="BC5" s="9">
        <f>IF(BB5=0,"-",IF(BB5=1,SUM(BB$1:BB4)+1,SUM(BB$1:BB4)+1 &amp; "-" &amp; SUM(BB$1:BB5)))</f>
        <v>20</v>
      </c>
      <c r="BD5" s="15" t="str">
        <f>"!import-table-item --" &amp; AZ$1 &amp; " --" &amp; AZ5 &amp; " --" &amp; BB5</f>
        <v>!import-table-item --Ammunition --Needles --1</v>
      </c>
      <c r="BE5" s="6" t="s">
        <v>1097</v>
      </c>
      <c r="BF5" s="6" t="s">
        <v>1398</v>
      </c>
      <c r="BG5" s="6">
        <v>1</v>
      </c>
      <c r="BH5" s="9">
        <f>IF(BG5=0,"-",IF(BG5=1,SUM(BG$1:BG4)+1,SUM(BG$1:BG4)+1 &amp; "-" &amp; SUM(BG$1:BG5)))</f>
        <v>10</v>
      </c>
      <c r="BI5" s="15" t="str">
        <f t="shared" si="3"/>
        <v>!import-table-item --Swords --Double-Bladed Scimitar --1</v>
      </c>
      <c r="BJ5" s="6"/>
      <c r="BK5" s="6"/>
      <c r="BL5" s="6"/>
      <c r="BM5" s="9"/>
      <c r="BN5" s="15"/>
      <c r="BO5" s="6" t="s">
        <v>964</v>
      </c>
      <c r="BP5" s="6"/>
      <c r="BQ5" s="6">
        <v>2</v>
      </c>
      <c r="BR5" s="9" t="str">
        <f>IF(BQ5=0,"-",IF(BQ5=1,SUM(BQ$1:BQ4)+1,SUM(BQ$1:BQ4)+1 &amp; "-" &amp; SUM(BQ$1:BQ5)))</f>
        <v>10-11</v>
      </c>
      <c r="BS5" s="15" t="str">
        <f>"!import-table-item --" &amp; BO$1 &amp; " --" &amp; BO5 &amp; " --" &amp; BQ5</f>
        <v>!import-table-item --Bows --Light Crossbow --2</v>
      </c>
      <c r="BT5" s="6"/>
      <c r="BU5" s="6"/>
      <c r="BV5" s="6"/>
      <c r="BW5" s="9"/>
      <c r="BX5" s="15"/>
      <c r="BZ5" s="6"/>
      <c r="CB5" s="6"/>
      <c r="CD5" s="6" t="s">
        <v>409</v>
      </c>
      <c r="CE5" s="6" t="s">
        <v>1686</v>
      </c>
      <c r="CF5" s="6">
        <v>2</v>
      </c>
      <c r="CG5" s="9" t="str">
        <f>IF(CF5=0,"-",IF(CF5=1,SUM(CF$1:CF4)+1,SUM(CF$1:CF4)+1 &amp; "-" &amp; SUM(CF$1:CF5)))</f>
        <v>8-9</v>
      </c>
      <c r="CH5" s="15" t="str">
        <f>"!import-table-item --" &amp; CD$1 &amp; " --" &amp; CD5 &amp; " --" &amp; CF5</f>
        <v>!import-table-item --MM-Breath --Lightning --2</v>
      </c>
      <c r="CI5" s="6" t="s">
        <v>413</v>
      </c>
      <c r="CJ5" s="6" t="s">
        <v>1403</v>
      </c>
      <c r="CK5" s="6">
        <v>2</v>
      </c>
      <c r="CL5" s="6" t="str">
        <f>IF(CK5=0,"-",IF(CK5=1,SUM(CK$1:CK4)+1,SUM(CK$1:CK4)+1 &amp; "-" &amp; SUM(CK$1:CK5)))</f>
        <v>7-8</v>
      </c>
      <c r="CM5" s="15" t="str">
        <f>"!import-table-item --" &amp; CI$1 &amp; " --" &amp; CI5 &amp; " --" &amp; CK5</f>
        <v>!import-table-item --FTD-Breath --Radiant --2</v>
      </c>
      <c r="CQ5" s="9"/>
      <c r="CS5" s="6" t="s">
        <v>1785</v>
      </c>
      <c r="CT5" s="6" t="s">
        <v>1686</v>
      </c>
      <c r="CU5" s="6">
        <v>2</v>
      </c>
      <c r="CV5" s="9" t="str">
        <f>IF(CU5=0,"-",IF(CU5=1,SUM(CU$1:CU4)+1,SUM(CU$1:CU4)+1 &amp; "-" &amp; SUM(CU$1:CU5)))</f>
        <v>7-8</v>
      </c>
      <c r="CW5" s="15" t="str">
        <f t="shared" si="4"/>
        <v>!import-table-item --All-Dragons --Black --2</v>
      </c>
      <c r="CX5" s="6" t="s">
        <v>408</v>
      </c>
      <c r="CY5" s="6"/>
      <c r="CZ5" s="6">
        <v>1</v>
      </c>
      <c r="DA5" s="9">
        <f>IF(CZ5=0,"-",IF(CZ5=1,SUM(CZ$1:CZ4)+1,SUM(CZ$1:CZ4)+1 &amp; "-" &amp; SUM(CZ$1:CZ5)))</f>
        <v>4</v>
      </c>
      <c r="DB5" s="15" t="str">
        <f t="shared" si="5"/>
        <v>!import-table-item --Damage-Type --Force --1</v>
      </c>
      <c r="DC5" s="11" t="s">
        <v>1994</v>
      </c>
      <c r="DE5" s="6">
        <v>5</v>
      </c>
      <c r="DF5" s="9" t="str">
        <f>IF(DE5=0,"-",IF(DE5=1,SUM(DE$1:DE4)+1,SUM(DE$1:DE4)+1 &amp; "-" &amp; SUM(DE$1:DE5)))</f>
        <v>16-20</v>
      </c>
      <c r="DG5" s="15" t="str">
        <f t="shared" si="6"/>
        <v>!import-table-item --Tools --Herbalism Kit --5</v>
      </c>
    </row>
    <row r="6" spans="1:111" x14ac:dyDescent="0.25">
      <c r="A6" s="25" t="s">
        <v>1768</v>
      </c>
      <c r="B6" s="6"/>
      <c r="C6" s="6"/>
      <c r="D6" s="6"/>
      <c r="E6" s="9"/>
      <c r="F6" s="15"/>
      <c r="G6" s="6"/>
      <c r="H6" s="6"/>
      <c r="I6" s="6"/>
      <c r="J6" s="9"/>
      <c r="K6" s="15"/>
      <c r="L6" s="6" t="s">
        <v>1360</v>
      </c>
      <c r="M6" s="6"/>
      <c r="N6" s="6">
        <v>1</v>
      </c>
      <c r="O6" s="9">
        <f>IF(N6=0,"-",IF(N6=1,SUM(N$1:N5)+1,SUM(N$1:N5)+1 &amp; "-" &amp; SUM(N$1:N6)))</f>
        <v>10</v>
      </c>
      <c r="P6" s="15" t="str">
        <f>"!import-table-item --" &amp; L$1 &amp; " --" &amp; L6 &amp; " --" &amp; N6</f>
        <v>!import-table-item --Medium-Armor --Half Plate Armor --1</v>
      </c>
      <c r="Q6" s="6"/>
      <c r="R6" s="6"/>
      <c r="S6" s="6"/>
      <c r="T6" s="9"/>
      <c r="U6" s="15"/>
      <c r="V6" s="6" t="s">
        <v>1063</v>
      </c>
      <c r="W6" s="6"/>
      <c r="X6" s="6">
        <v>1</v>
      </c>
      <c r="Y6" s="9">
        <f>IF(X6=0,"-",IF(X6=1,SUM(X$1:X5)+1,SUM(X$1:X5)+1 &amp; "-" &amp; SUM(X$1:X6)))</f>
        <v>11</v>
      </c>
      <c r="Z6" s="15" t="str">
        <f t="shared" si="0"/>
        <v>!import-table-item --Metal-Armor --Ring Mail --1</v>
      </c>
      <c r="AA6" s="6"/>
      <c r="AB6" s="6"/>
      <c r="AC6" s="6"/>
      <c r="AD6" s="9"/>
      <c r="AE6" s="15"/>
      <c r="AF6" s="6" t="s">
        <v>963</v>
      </c>
      <c r="AG6" s="6"/>
      <c r="AH6" s="6">
        <v>12</v>
      </c>
      <c r="AI6" s="9" t="str">
        <f>IF(AH6=0,"-",IF(AH6=1,SUM(AH$1:AH5)+1,SUM(AH$1:AH5)+1 &amp; "-" &amp; SUM(AH$1:AH6)))</f>
        <v>57-68</v>
      </c>
      <c r="AJ6" s="15" t="str">
        <f t="shared" si="1"/>
        <v>!import-table-item --Simple-Melee --Spear --12</v>
      </c>
      <c r="AK6" s="6"/>
      <c r="AL6" s="6"/>
      <c r="AM6" s="6"/>
      <c r="AN6" s="9"/>
      <c r="AO6" s="15"/>
      <c r="AP6" s="6" t="s">
        <v>971</v>
      </c>
      <c r="AQ6" s="6"/>
      <c r="AR6" s="6">
        <v>6</v>
      </c>
      <c r="AS6" s="9" t="str">
        <f>IF(AR6=0,"-",IF(AR6=1,SUM(AR$1:AR5)+1,SUM(AR$1:AR5)+1 &amp; "-" &amp; SUM(AR$1:AR6)))</f>
        <v>41-46</v>
      </c>
      <c r="AT6" s="15" t="str">
        <f t="shared" si="2"/>
        <v>!import-table-item --Martial-Melee --Greataxe --6</v>
      </c>
      <c r="AU6" s="6" t="s">
        <v>989</v>
      </c>
      <c r="AV6" s="6"/>
      <c r="AW6" s="6">
        <v>1</v>
      </c>
      <c r="AX6" s="9">
        <f>IF(AW6=0,"-",IF(AW6=1,SUM(AW$1:AW5)+1,SUM(AW$1:AW5)+1 &amp; "-" &amp; SUM(AW$1:AW6)))</f>
        <v>20</v>
      </c>
      <c r="AY6" s="15" t="str">
        <f>"!import-table-item --" &amp; AU$1 &amp; " --" &amp; AU6 &amp; " --" &amp; AW6</f>
        <v>!import-table-item --Martial-Ranged --Net --1</v>
      </c>
      <c r="AZ6" s="6"/>
      <c r="BA6" s="6"/>
      <c r="BB6" s="6"/>
      <c r="BC6" s="9"/>
      <c r="BD6" s="15"/>
      <c r="BE6" s="6" t="s">
        <v>979</v>
      </c>
      <c r="BF6" s="6"/>
      <c r="BG6" s="6">
        <v>1</v>
      </c>
      <c r="BH6" s="9">
        <f>IF(BG6=0,"-",IF(BG6=1,SUM(BG$1:BG5)+1,SUM(BG$1:BG5)+1 &amp; "-" &amp; SUM(BG$1:BG6)))</f>
        <v>11</v>
      </c>
      <c r="BI6" s="15" t="str">
        <f t="shared" si="3"/>
        <v>!import-table-item --Swords --Rapier --1</v>
      </c>
      <c r="BJ6" s="6"/>
      <c r="BK6" s="6"/>
      <c r="BL6" s="6"/>
      <c r="BM6" s="9"/>
      <c r="BN6" s="15"/>
      <c r="BO6" s="6" t="s">
        <v>986</v>
      </c>
      <c r="BP6" s="6"/>
      <c r="BQ6" s="6">
        <v>1</v>
      </c>
      <c r="BR6" s="9">
        <f>IF(BQ6=0,"-",IF(BQ6=1,SUM(BQ$1:BQ5)+1,SUM(BQ$1:BQ5)+1 &amp; "-" &amp; SUM(BQ$1:BQ6)))</f>
        <v>12</v>
      </c>
      <c r="BS6" s="15" t="str">
        <f>"!import-table-item --" &amp; BO$1 &amp; " --" &amp; BO6 &amp; " --" &amp; BQ6</f>
        <v>!import-table-item --Bows --Hand Crossbow --1</v>
      </c>
      <c r="BT6" s="6"/>
      <c r="BU6" s="6"/>
      <c r="BV6" s="6"/>
      <c r="BW6" s="9"/>
      <c r="BX6" s="15"/>
      <c r="BZ6" s="6"/>
      <c r="CB6" s="6"/>
      <c r="CD6" s="6" t="s">
        <v>411</v>
      </c>
      <c r="CE6" s="6" t="s">
        <v>1686</v>
      </c>
      <c r="CF6" s="6">
        <v>1</v>
      </c>
      <c r="CG6" s="9">
        <f>IF(CF6=0,"-",IF(CF6=1,SUM(CF$1:CF5)+1,SUM(CF$1:CF5)+1 &amp; "-" &amp; SUM(CF$1:CF6)))</f>
        <v>10</v>
      </c>
      <c r="CH6" s="15" t="str">
        <f>"!import-table-item --" &amp; CD$1 &amp; " --" &amp; CD6 &amp; " --" &amp; CF6</f>
        <v>!import-table-item --MM-Breath --Poison --1</v>
      </c>
      <c r="CI6" s="6" t="s">
        <v>414</v>
      </c>
      <c r="CJ6" s="6" t="s">
        <v>1403</v>
      </c>
      <c r="CK6" s="6">
        <v>2</v>
      </c>
      <c r="CL6" s="6" t="str">
        <f>IF(CK6=0,"-",IF(CK6=1,SUM(CK$1:CK5)+1,SUM(CK$1:CK5)+1 &amp; "-" &amp; SUM(CK$1:CK6)))</f>
        <v>9-10</v>
      </c>
      <c r="CM6" s="15" t="str">
        <f>"!import-table-item --" &amp; CI$1 &amp; " --" &amp; CI6 &amp; " --" &amp; CK6</f>
        <v>!import-table-item --FTD-Breath --Thunder --2</v>
      </c>
      <c r="CQ6" s="9"/>
      <c r="CS6" s="6" t="s">
        <v>1538</v>
      </c>
      <c r="CT6" s="6" t="s">
        <v>1686</v>
      </c>
      <c r="CU6" s="6">
        <v>2</v>
      </c>
      <c r="CV6" s="9" t="str">
        <f>IF(CU6=0,"-",IF(CU6=1,SUM(CU$1:CU5)+1,SUM(CU$1:CU5)+1 &amp; "-" &amp; SUM(CU$1:CU6)))</f>
        <v>9-10</v>
      </c>
      <c r="CW6" s="15" t="str">
        <f t="shared" si="4"/>
        <v>!import-table-item --All-Dragons --White --2</v>
      </c>
      <c r="CX6" s="6" t="s">
        <v>409</v>
      </c>
      <c r="CY6" s="6"/>
      <c r="CZ6" s="6">
        <v>1</v>
      </c>
      <c r="DA6" s="9">
        <f>IF(CZ6=0,"-",IF(CZ6=1,SUM(CZ$1:CZ5)+1,SUM(CZ$1:CZ5)+1 &amp; "-" &amp; SUM(CZ$1:CZ6)))</f>
        <v>5</v>
      </c>
      <c r="DB6" s="15" t="str">
        <f t="shared" si="5"/>
        <v>!import-table-item --Damage-Type --Lightning --1</v>
      </c>
      <c r="DC6" s="11" t="s">
        <v>1993</v>
      </c>
      <c r="DE6" s="6">
        <v>5</v>
      </c>
      <c r="DF6" s="9" t="str">
        <f>IF(DE6=0,"-",IF(DE6=1,SUM(DE$1:DE5)+1,SUM(DE$1:DE5)+1 &amp; "-" &amp; SUM(DE$1:DE6)))</f>
        <v>21-25</v>
      </c>
      <c r="DG6" s="15" t="str">
        <f t="shared" si="6"/>
        <v>!import-table-item --Tools --Navigator's Tools --5</v>
      </c>
    </row>
    <row r="7" spans="1:111" x14ac:dyDescent="0.25">
      <c r="A7" s="26" t="s">
        <v>1769</v>
      </c>
      <c r="B7" s="6"/>
      <c r="C7" s="6"/>
      <c r="D7" s="6"/>
      <c r="E7" s="9"/>
      <c r="F7" s="15"/>
      <c r="G7" s="6"/>
      <c r="H7" s="6"/>
      <c r="I7" s="6"/>
      <c r="J7" s="9"/>
      <c r="K7" s="15"/>
      <c r="L7" s="6"/>
      <c r="M7" s="6"/>
      <c r="N7" s="6"/>
      <c r="O7" s="9"/>
      <c r="P7" s="15"/>
      <c r="Q7" s="6"/>
      <c r="R7" s="6"/>
      <c r="S7" s="6"/>
      <c r="T7" s="9"/>
      <c r="U7" s="15"/>
      <c r="V7" s="6" t="s">
        <v>1064</v>
      </c>
      <c r="W7" s="6"/>
      <c r="X7" s="6">
        <v>5</v>
      </c>
      <c r="Y7" s="9" t="str">
        <f>IF(X7=0,"-",IF(X7=1,SUM(X$1:X6)+1,SUM(X$1:X6)+1 &amp; "-" &amp; SUM(X$1:X7)))</f>
        <v>12-16</v>
      </c>
      <c r="Z7" s="15" t="str">
        <f t="shared" si="0"/>
        <v>!import-table-item --Metal-Armor --Chain Mail --5</v>
      </c>
      <c r="AA7" s="6"/>
      <c r="AB7" s="6"/>
      <c r="AC7" s="6"/>
      <c r="AD7" s="9"/>
      <c r="AE7" s="15"/>
      <c r="AF7" s="6" t="s">
        <v>954</v>
      </c>
      <c r="AG7" s="6"/>
      <c r="AH7" s="6">
        <v>8</v>
      </c>
      <c r="AI7" s="9" t="str">
        <f>IF(AH7=0,"-",IF(AH7=1,SUM(AH$1:AH6)+1,SUM(AH$1:AH6)+1 &amp; "-" &amp; SUM(AH$1:AH7)))</f>
        <v>69-76</v>
      </c>
      <c r="AJ7" s="15" t="str">
        <f t="shared" si="1"/>
        <v>!import-table-item --Simple-Melee --Club --8</v>
      </c>
      <c r="AK7" s="6"/>
      <c r="AL7" s="6"/>
      <c r="AM7" s="6"/>
      <c r="AN7" s="9"/>
      <c r="AO7" s="15"/>
      <c r="AP7" s="6" t="s">
        <v>977</v>
      </c>
      <c r="AQ7" s="6"/>
      <c r="AR7" s="6">
        <v>6</v>
      </c>
      <c r="AS7" s="9" t="str">
        <f>IF(AR7=0,"-",IF(AR7=1,SUM(AR$1:AR6)+1,SUM(AR$1:AR6)+1 &amp; "-" &amp; SUM(AR$1:AR7)))</f>
        <v>47-52</v>
      </c>
      <c r="AT7" s="15" t="str">
        <f t="shared" si="2"/>
        <v>!import-table-item --Martial-Melee --Morningstar --6</v>
      </c>
      <c r="AU7" s="6"/>
      <c r="AV7" s="6"/>
      <c r="AW7" s="6"/>
      <c r="AX7" s="9"/>
      <c r="AY7" s="15"/>
      <c r="AZ7" s="6"/>
      <c r="BA7" s="6"/>
      <c r="BB7" s="6"/>
      <c r="BC7" s="9"/>
      <c r="BD7" s="15"/>
      <c r="BE7" s="6" t="s">
        <v>980</v>
      </c>
      <c r="BF7" s="6"/>
      <c r="BG7" s="6">
        <v>1</v>
      </c>
      <c r="BH7" s="9">
        <f>IF(BG7=0,"-",IF(BG7=1,SUM(BG$1:BG6)+1,SUM(BG$1:BG6)+1 &amp; "-" &amp; SUM(BG$1:BG7)))</f>
        <v>12</v>
      </c>
      <c r="BI7" s="15" t="str">
        <f t="shared" si="3"/>
        <v>!import-table-item --Swords --Scimitar --1</v>
      </c>
      <c r="BJ7" s="6"/>
      <c r="BK7" s="6"/>
      <c r="BL7" s="6"/>
      <c r="BM7" s="9"/>
      <c r="BN7" s="15"/>
      <c r="BO7" s="6"/>
      <c r="BP7" s="6"/>
      <c r="BQ7" s="6"/>
      <c r="BR7" s="9"/>
      <c r="BS7" s="15"/>
      <c r="BT7" s="6"/>
      <c r="BU7" s="6"/>
      <c r="BV7" s="6"/>
      <c r="BW7" s="9"/>
      <c r="BX7" s="15"/>
      <c r="BZ7" s="6"/>
      <c r="CB7" s="6"/>
      <c r="CE7" s="6"/>
      <c r="CG7" s="9"/>
      <c r="CJ7" s="6"/>
      <c r="CL7" s="6"/>
      <c r="CQ7" s="9"/>
      <c r="CS7" s="6" t="s">
        <v>1535</v>
      </c>
      <c r="CT7" s="6" t="s">
        <v>1686</v>
      </c>
      <c r="CU7" s="6">
        <v>1</v>
      </c>
      <c r="CV7" s="9">
        <f>IF(CU7=0,"-",IF(CU7=1,SUM(CU$1:CU6)+1,SUM(CU$1:CU6)+1 &amp; "-" &amp; SUM(CU$1:CU7)))</f>
        <v>11</v>
      </c>
      <c r="CW7" s="15" t="str">
        <f t="shared" si="4"/>
        <v>!import-table-item --All-Dragons --Gold --1</v>
      </c>
      <c r="CX7" s="6" t="s">
        <v>410</v>
      </c>
      <c r="CY7" s="6"/>
      <c r="CZ7" s="6">
        <v>1</v>
      </c>
      <c r="DA7" s="9">
        <f>IF(CZ7=0,"-",IF(CZ7=1,SUM(CZ$1:CZ6)+1,SUM(CZ$1:CZ6)+1 &amp; "-" &amp; SUM(CZ$1:CZ7)))</f>
        <v>6</v>
      </c>
      <c r="DB7" s="15" t="str">
        <f t="shared" si="5"/>
        <v>!import-table-item --Damage-Type --Necrotic --1</v>
      </c>
      <c r="DC7" s="11" t="s">
        <v>1992</v>
      </c>
      <c r="DE7" s="6">
        <v>5</v>
      </c>
      <c r="DF7" s="9" t="str">
        <f>IF(DE7=0,"-",IF(DE7=1,SUM(DE$1:DE6)+1,SUM(DE$1:DE6)+1 &amp; "-" &amp; SUM(DE$1:DE7)))</f>
        <v>26-30</v>
      </c>
      <c r="DG7" s="15" t="str">
        <f t="shared" si="6"/>
        <v>!import-table-item --Tools --Poisoner's Kit --5</v>
      </c>
    </row>
    <row r="8" spans="1:111" x14ac:dyDescent="0.25">
      <c r="A8" s="26" t="s">
        <v>1770</v>
      </c>
      <c r="B8" s="6"/>
      <c r="C8" s="6"/>
      <c r="D8" s="6"/>
      <c r="E8" s="9"/>
      <c r="F8" s="15"/>
      <c r="G8" s="6"/>
      <c r="H8" s="6"/>
      <c r="I8" s="6"/>
      <c r="J8" s="9"/>
      <c r="K8" s="15"/>
      <c r="L8" s="6"/>
      <c r="M8" s="6"/>
      <c r="N8" s="6"/>
      <c r="O8" s="9"/>
      <c r="P8" s="15"/>
      <c r="Q8" s="6"/>
      <c r="R8" s="6"/>
      <c r="S8" s="6"/>
      <c r="T8" s="9"/>
      <c r="U8" s="15"/>
      <c r="V8" s="6" t="s">
        <v>1357</v>
      </c>
      <c r="W8" s="6"/>
      <c r="X8" s="6">
        <v>3</v>
      </c>
      <c r="Y8" s="9" t="str">
        <f>IF(X8=0,"-",IF(X8=1,SUM(X$1:X7)+1,SUM(X$1:X7)+1 &amp; "-" &amp; SUM(X$1:X8)))</f>
        <v>17-19</v>
      </c>
      <c r="Z8" s="15" t="str">
        <f t="shared" si="0"/>
        <v>!import-table-item --Metal-Armor --Splint Armor --3</v>
      </c>
      <c r="AA8" s="6"/>
      <c r="AB8" s="6"/>
      <c r="AC8" s="6"/>
      <c r="AD8" s="9"/>
      <c r="AE8" s="15"/>
      <c r="AF8" s="6" t="s">
        <v>959</v>
      </c>
      <c r="AG8" s="6"/>
      <c r="AH8" s="6">
        <v>8</v>
      </c>
      <c r="AI8" s="9" t="str">
        <f>IF(AH8=0,"-",IF(AH8=1,SUM(AH$1:AH7)+1,SUM(AH$1:AH7)+1 &amp; "-" &amp; SUM(AH$1:AH8)))</f>
        <v>77-84</v>
      </c>
      <c r="AJ8" s="15" t="str">
        <f t="shared" si="1"/>
        <v>!import-table-item --Simple-Melee --Light Hammer --8</v>
      </c>
      <c r="AK8" s="6"/>
      <c r="AL8" s="6"/>
      <c r="AM8" s="6"/>
      <c r="AN8" s="9"/>
      <c r="AO8" s="15"/>
      <c r="AP8" s="6" t="s">
        <v>984</v>
      </c>
      <c r="AQ8" s="6"/>
      <c r="AR8" s="6">
        <v>6</v>
      </c>
      <c r="AS8" s="9" t="str">
        <f>IF(AR8=0,"-",IF(AR8=1,SUM(AR$1:AR7)+1,SUM(AR$1:AR7)+1 &amp; "-" &amp; SUM(AR$1:AR8)))</f>
        <v>53-58</v>
      </c>
      <c r="AT8" s="15" t="str">
        <f t="shared" si="2"/>
        <v>!import-table-item --Martial-Melee --Warhammer --6</v>
      </c>
      <c r="AU8" s="6"/>
      <c r="AV8" s="6"/>
      <c r="AW8" s="6"/>
      <c r="AX8" s="9"/>
      <c r="AY8" s="15"/>
      <c r="AZ8" s="6"/>
      <c r="BA8" s="6"/>
      <c r="BB8" s="6"/>
      <c r="BC8" s="9"/>
      <c r="BD8" s="15"/>
      <c r="BE8" s="6"/>
      <c r="BF8" s="6"/>
      <c r="BG8" s="6"/>
      <c r="BH8" s="9"/>
      <c r="BI8" s="15"/>
      <c r="BJ8" s="6"/>
      <c r="BK8" s="6"/>
      <c r="BL8" s="6"/>
      <c r="BM8" s="9"/>
      <c r="BN8" s="15"/>
      <c r="BO8" s="6"/>
      <c r="BP8" s="6"/>
      <c r="BQ8" s="6"/>
      <c r="BR8" s="9"/>
      <c r="BS8" s="15"/>
      <c r="BT8" s="6"/>
      <c r="BU8" s="6"/>
      <c r="BV8" s="6"/>
      <c r="BW8" s="9"/>
      <c r="BX8" s="15"/>
      <c r="BZ8" s="6"/>
      <c r="CB8" s="6"/>
      <c r="CE8" s="6"/>
      <c r="CG8" s="9"/>
      <c r="CJ8" s="6"/>
      <c r="CL8" s="6"/>
      <c r="CQ8" s="9"/>
      <c r="CS8" s="6" t="s">
        <v>402</v>
      </c>
      <c r="CT8" s="6" t="s">
        <v>1686</v>
      </c>
      <c r="CU8" s="6">
        <v>1</v>
      </c>
      <c r="CV8" s="9">
        <f>IF(CU8=0,"-",IF(CU8=1,SUM(CU$1:CU7)+1,SUM(CU$1:CU7)+1 &amp; "-" &amp; SUM(CU$1:CU8)))</f>
        <v>12</v>
      </c>
      <c r="CW8" s="15" t="str">
        <f t="shared" si="4"/>
        <v>!import-table-item --All-Dragons --Silver --1</v>
      </c>
      <c r="CX8" s="6" t="s">
        <v>411</v>
      </c>
      <c r="CY8" s="6"/>
      <c r="CZ8" s="6">
        <v>1</v>
      </c>
      <c r="DA8" s="9">
        <f>IF(CZ8=0,"-",IF(CZ8=1,SUM(CZ$1:CZ7)+1,SUM(CZ$1:CZ7)+1 &amp; "-" &amp; SUM(CZ$1:CZ8)))</f>
        <v>7</v>
      </c>
      <c r="DB8" s="15" t="str">
        <f t="shared" si="5"/>
        <v>!import-table-item --Damage-Type --Poison --1</v>
      </c>
      <c r="DC8" s="11" t="s">
        <v>2000</v>
      </c>
      <c r="DE8" s="6">
        <v>5</v>
      </c>
      <c r="DF8" s="9" t="str">
        <f>IF(DE8=0,"-",IF(DE8=1,SUM(DE$1:DE7)+1,SUM(DE$1:DE7)+1 &amp; "-" &amp; SUM(DE$1:DE8)))</f>
        <v>31-35</v>
      </c>
      <c r="DG8" s="15" t="str">
        <f t="shared" si="6"/>
        <v>!import-table-item --Tools --Smith's Tools --5</v>
      </c>
    </row>
    <row r="9" spans="1:111" x14ac:dyDescent="0.25">
      <c r="A9" s="26" t="s">
        <v>1771</v>
      </c>
      <c r="B9" s="6"/>
      <c r="C9" s="6"/>
      <c r="D9" s="6"/>
      <c r="E9" s="9"/>
      <c r="F9" s="15"/>
      <c r="G9" s="6"/>
      <c r="H9" s="6"/>
      <c r="I9" s="6"/>
      <c r="J9" s="9"/>
      <c r="K9" s="15"/>
      <c r="L9" s="6"/>
      <c r="M9" s="6"/>
      <c r="N9" s="6"/>
      <c r="O9" s="9"/>
      <c r="P9" s="15"/>
      <c r="Q9" s="6"/>
      <c r="R9" s="6"/>
      <c r="S9" s="6"/>
      <c r="T9" s="9"/>
      <c r="U9" s="15"/>
      <c r="V9" s="6" t="s">
        <v>1358</v>
      </c>
      <c r="W9" s="6"/>
      <c r="X9" s="6">
        <v>1</v>
      </c>
      <c r="Y9" s="9">
        <f>IF(X9=0,"-",IF(X9=1,SUM(X$1:X8)+1,SUM(X$1:X8)+1 &amp; "-" &amp; SUM(X$1:X9)))</f>
        <v>20</v>
      </c>
      <c r="Z9" s="15" t="str">
        <f t="shared" si="0"/>
        <v>!import-table-item --Metal-Armor --Plate Armor --1</v>
      </c>
      <c r="AA9" s="6"/>
      <c r="AB9" s="6"/>
      <c r="AC9" s="6"/>
      <c r="AD9" s="9"/>
      <c r="AE9" s="15"/>
      <c r="AF9" s="6" t="s">
        <v>960</v>
      </c>
      <c r="AG9" s="6"/>
      <c r="AH9" s="6">
        <v>8</v>
      </c>
      <c r="AI9" s="9" t="str">
        <f>IF(AH9=0,"-",IF(AH9=1,SUM(AH$1:AH8)+1,SUM(AH$1:AH8)+1 &amp; "-" &amp; SUM(AH$1:AH9)))</f>
        <v>85-92</v>
      </c>
      <c r="AJ9" s="15" t="str">
        <f t="shared" si="1"/>
        <v>!import-table-item --Simple-Melee --Mace --8</v>
      </c>
      <c r="AK9" s="6"/>
      <c r="AL9" s="6"/>
      <c r="AM9" s="6"/>
      <c r="AN9" s="9"/>
      <c r="AO9" s="15"/>
      <c r="AP9" s="6" t="s">
        <v>1097</v>
      </c>
      <c r="AQ9" s="6" t="s">
        <v>1398</v>
      </c>
      <c r="AR9" s="6">
        <v>4</v>
      </c>
      <c r="AS9" s="9" t="str">
        <f>IF(AR9=0,"-",IF(AR9=1,SUM(AR$1:AR8)+1,SUM(AR$1:AR8)+1 &amp; "-" &amp; SUM(AR$1:AR9)))</f>
        <v>59-62</v>
      </c>
      <c r="AT9" s="15" t="str">
        <f t="shared" si="2"/>
        <v>!import-table-item --Martial-Melee --Double-Bladed Scimitar --4</v>
      </c>
      <c r="AU9" s="6"/>
      <c r="AV9" s="6"/>
      <c r="AW9" s="6"/>
      <c r="AX9" s="9"/>
      <c r="AY9" s="15"/>
      <c r="AZ9" s="6"/>
      <c r="BA9" s="6"/>
      <c r="BB9" s="6"/>
      <c r="BC9" s="9"/>
      <c r="BD9" s="15"/>
      <c r="BE9" s="6"/>
      <c r="BF9" s="6"/>
      <c r="BG9" s="6"/>
      <c r="BH9" s="9"/>
      <c r="BI9" s="15"/>
      <c r="BJ9" s="6"/>
      <c r="BK9" s="6"/>
      <c r="BL9" s="6"/>
      <c r="BM9" s="9"/>
      <c r="BN9" s="15"/>
      <c r="BO9" s="6"/>
      <c r="BP9" s="6"/>
      <c r="BQ9" s="6"/>
      <c r="BR9" s="9"/>
      <c r="BS9" s="15"/>
      <c r="BT9" s="6"/>
      <c r="BU9" s="6"/>
      <c r="BV9" s="6"/>
      <c r="BW9" s="9"/>
      <c r="BX9" s="15"/>
      <c r="BZ9" s="6"/>
      <c r="CB9" s="6"/>
      <c r="CE9" s="6"/>
      <c r="CG9" s="9"/>
      <c r="CJ9" s="6"/>
      <c r="CL9" s="6"/>
      <c r="CQ9" s="9"/>
      <c r="CS9" s="6" t="s">
        <v>403</v>
      </c>
      <c r="CT9" s="6" t="s">
        <v>1686</v>
      </c>
      <c r="CU9" s="6">
        <v>1</v>
      </c>
      <c r="CV9" s="9">
        <f>IF(CU9=0,"-",IF(CU9=1,SUM(CU$1:CU8)+1,SUM(CU$1:CU8)+1 &amp; "-" &amp; SUM(CU$1:CU9)))</f>
        <v>13</v>
      </c>
      <c r="CW9" s="15" t="str">
        <f t="shared" si="4"/>
        <v>!import-table-item --All-Dragons --Brass --1</v>
      </c>
      <c r="CX9" s="6" t="s">
        <v>412</v>
      </c>
      <c r="CY9" s="6"/>
      <c r="CZ9" s="6">
        <v>1</v>
      </c>
      <c r="DA9" s="9">
        <f>IF(CZ9=0,"-",IF(CZ9=1,SUM(CZ$1:CZ8)+1,SUM(CZ$1:CZ8)+1 &amp; "-" &amp; SUM(CZ$1:CZ9)))</f>
        <v>8</v>
      </c>
      <c r="DB9" s="15" t="str">
        <f t="shared" si="5"/>
        <v>!import-table-item --Damage-Type --Psychic --1</v>
      </c>
      <c r="DC9" s="11" t="s">
        <v>2015</v>
      </c>
      <c r="DE9" s="6">
        <v>5</v>
      </c>
      <c r="DF9" s="9" t="str">
        <f>IF(DE9=0,"-",IF(DE9=1,SUM(DE$1:DE8)+1,SUM(DE$1:DE8)+1 &amp; "-" &amp; SUM(DE$1:DE9)))</f>
        <v>36-40</v>
      </c>
      <c r="DG9" s="15" t="str">
        <f t="shared" si="6"/>
        <v>!import-table-item --Tools --Thieves' Tools --5</v>
      </c>
    </row>
    <row r="10" spans="1:111" x14ac:dyDescent="0.25">
      <c r="A10" s="26" t="s">
        <v>1772</v>
      </c>
      <c r="B10" s="6"/>
      <c r="C10" s="6"/>
      <c r="D10" s="6"/>
      <c r="E10" s="9"/>
      <c r="F10" s="15"/>
      <c r="G10" s="6"/>
      <c r="H10" s="6"/>
      <c r="I10" s="6"/>
      <c r="J10" s="9"/>
      <c r="K10" s="15"/>
      <c r="L10" s="6"/>
      <c r="M10" s="6"/>
      <c r="N10" s="6"/>
      <c r="O10" s="9"/>
      <c r="P10" s="15"/>
      <c r="Q10" s="6"/>
      <c r="R10" s="6"/>
      <c r="S10" s="6"/>
      <c r="T10" s="9"/>
      <c r="U10" s="15"/>
      <c r="V10" s="6"/>
      <c r="W10" s="6"/>
      <c r="X10" s="6"/>
      <c r="Y10" s="9"/>
      <c r="Z10" s="15"/>
      <c r="AA10" s="6"/>
      <c r="AB10" s="6"/>
      <c r="AC10" s="6"/>
      <c r="AD10" s="9"/>
      <c r="AE10" s="15"/>
      <c r="AF10" s="6" t="s">
        <v>956</v>
      </c>
      <c r="AG10" s="6"/>
      <c r="AH10" s="6">
        <v>4</v>
      </c>
      <c r="AI10" s="9" t="str">
        <f>IF(AH10=0,"-",IF(AH10=1,SUM(AH$1:AH9)+1,SUM(AH$1:AH9)+1 &amp; "-" &amp; SUM(AH$1:AH10)))</f>
        <v>93-96</v>
      </c>
      <c r="AJ10" s="15" t="str">
        <f t="shared" si="1"/>
        <v>!import-table-item --Simple-Melee --Greatclub --4</v>
      </c>
      <c r="AK10" s="6"/>
      <c r="AL10" s="6"/>
      <c r="AM10" s="6"/>
      <c r="AN10" s="9"/>
      <c r="AO10" s="15"/>
      <c r="AP10" s="6" t="s">
        <v>969</v>
      </c>
      <c r="AQ10" s="6"/>
      <c r="AR10" s="6">
        <v>4</v>
      </c>
      <c r="AS10" s="9" t="str">
        <f>IF(AR10=0,"-",IF(AR10=1,SUM(AR$1:AR9)+1,SUM(AR$1:AR9)+1 &amp; "-" &amp; SUM(AR$1:AR10)))</f>
        <v>63-66</v>
      </c>
      <c r="AT10" s="15" t="str">
        <f t="shared" si="2"/>
        <v>!import-table-item --Martial-Melee --Flail --4</v>
      </c>
      <c r="AU10" s="6"/>
      <c r="AV10" s="6"/>
      <c r="AW10" s="6"/>
      <c r="AX10" s="9"/>
      <c r="AY10" s="15"/>
      <c r="AZ10" s="6"/>
      <c r="BA10" s="6"/>
      <c r="BB10" s="6"/>
      <c r="BC10" s="9"/>
      <c r="BD10" s="15"/>
      <c r="BE10" s="6"/>
      <c r="BF10" s="6"/>
      <c r="BG10" s="6"/>
      <c r="BH10" s="9"/>
      <c r="BI10" s="15"/>
      <c r="BJ10" s="6"/>
      <c r="BK10" s="6"/>
      <c r="BL10" s="6"/>
      <c r="BM10" s="9"/>
      <c r="BN10" s="15"/>
      <c r="BO10" s="6"/>
      <c r="BP10" s="6"/>
      <c r="BQ10" s="6"/>
      <c r="BR10" s="9"/>
      <c r="BS10" s="15"/>
      <c r="BT10" s="6"/>
      <c r="BU10" s="6"/>
      <c r="BV10" s="6"/>
      <c r="BW10" s="9"/>
      <c r="BX10" s="15"/>
      <c r="BZ10" s="6"/>
      <c r="CB10" s="6"/>
      <c r="CE10" s="6"/>
      <c r="CG10" s="9"/>
      <c r="CJ10" s="6"/>
      <c r="CL10" s="6"/>
      <c r="CQ10" s="9"/>
      <c r="CS10" s="6" t="s">
        <v>1533</v>
      </c>
      <c r="CT10" s="6" t="s">
        <v>1686</v>
      </c>
      <c r="CU10" s="6">
        <v>1</v>
      </c>
      <c r="CV10" s="9">
        <f>IF(CU10=0,"-",IF(CU10=1,SUM(CU$1:CU9)+1,SUM(CU$1:CU9)+1 &amp; "-" &amp; SUM(CU$1:CU10)))</f>
        <v>14</v>
      </c>
      <c r="CW10" s="15" t="str">
        <f t="shared" si="4"/>
        <v>!import-table-item --All-Dragons --Bronze --1</v>
      </c>
      <c r="CX10" s="6" t="s">
        <v>413</v>
      </c>
      <c r="CY10" s="6"/>
      <c r="CZ10" s="6">
        <v>1</v>
      </c>
      <c r="DA10" s="9">
        <f>IF(CZ10=0,"-",IF(CZ10=1,SUM(CZ$1:CZ9)+1,SUM(CZ$1:CZ9)+1 &amp; "-" &amp; SUM(CZ$1:CZ10)))</f>
        <v>9</v>
      </c>
      <c r="DB10" s="15" t="str">
        <f t="shared" si="5"/>
        <v>!import-table-item --Damage-Type --Radiant --1</v>
      </c>
      <c r="DC10" s="11" t="s">
        <v>2013</v>
      </c>
      <c r="DE10" s="6">
        <v>4</v>
      </c>
      <c r="DF10" s="9" t="str">
        <f>IF(DE10=0,"-",IF(DE10=1,SUM(DE$1:DE9)+1,SUM(DE$1:DE9)+1 &amp; "-" &amp; SUM(DE$1:DE10)))</f>
        <v>41-44</v>
      </c>
      <c r="DG10" s="15" t="str">
        <f t="shared" si="6"/>
        <v>!import-table-item --Tools --Alchemist's Supplies --4</v>
      </c>
    </row>
    <row r="11" spans="1:111" x14ac:dyDescent="0.25">
      <c r="A11" s="26" t="s">
        <v>1773</v>
      </c>
      <c r="B11" s="6"/>
      <c r="C11" s="6"/>
      <c r="D11" s="6"/>
      <c r="E11" s="9"/>
      <c r="F11" s="15"/>
      <c r="G11" s="6"/>
      <c r="H11" s="6"/>
      <c r="I11" s="6"/>
      <c r="J11" s="9"/>
      <c r="K11" s="15"/>
      <c r="L11" s="6"/>
      <c r="M11" s="6"/>
      <c r="N11" s="6"/>
      <c r="O11" s="9"/>
      <c r="P11" s="15"/>
      <c r="Q11" s="6"/>
      <c r="R11" s="6"/>
      <c r="S11" s="6"/>
      <c r="T11" s="9"/>
      <c r="U11" s="15"/>
      <c r="V11" s="6"/>
      <c r="W11" s="6"/>
      <c r="X11" s="6"/>
      <c r="Y11" s="9"/>
      <c r="Z11" s="15"/>
      <c r="AA11" s="6"/>
      <c r="AB11" s="6"/>
      <c r="AC11" s="6"/>
      <c r="AD11" s="9"/>
      <c r="AE11" s="15"/>
      <c r="AF11" s="6" t="s">
        <v>962</v>
      </c>
      <c r="AG11" s="6"/>
      <c r="AH11" s="6">
        <v>4</v>
      </c>
      <c r="AI11" s="9" t="str">
        <f>IF(AH11=0,"-",IF(AH11=1,SUM(AH$1:AH10)+1,SUM(AH$1:AH10)+1 &amp; "-" &amp; SUM(AH$1:AH11)))</f>
        <v>97-100</v>
      </c>
      <c r="AJ11" s="15" t="str">
        <f t="shared" si="1"/>
        <v>!import-table-item --Simple-Melee --Sickle --4</v>
      </c>
      <c r="AK11" s="6"/>
      <c r="AL11" s="6"/>
      <c r="AM11" s="6"/>
      <c r="AN11" s="9"/>
      <c r="AO11" s="15"/>
      <c r="AP11" s="6" t="s">
        <v>970</v>
      </c>
      <c r="AQ11" s="6"/>
      <c r="AR11" s="6">
        <v>4</v>
      </c>
      <c r="AS11" s="9" t="str">
        <f>IF(AR11=0,"-",IF(AR11=1,SUM(AR$1:AR10)+1,SUM(AR$1:AR10)+1 &amp; "-" &amp; SUM(AR$1:AR11)))</f>
        <v>67-70</v>
      </c>
      <c r="AT11" s="15" t="str">
        <f t="shared" si="2"/>
        <v>!import-table-item --Martial-Melee --Glaive --4</v>
      </c>
      <c r="AU11" s="6"/>
      <c r="AV11" s="6"/>
      <c r="AW11" s="6"/>
      <c r="AX11" s="9"/>
      <c r="AY11" s="15"/>
      <c r="AZ11" s="6"/>
      <c r="BA11" s="6"/>
      <c r="BB11" s="6"/>
      <c r="BC11" s="9"/>
      <c r="BD11" s="15"/>
      <c r="BE11" s="6"/>
      <c r="BF11" s="6"/>
      <c r="BG11" s="6"/>
      <c r="BH11" s="9"/>
      <c r="BI11" s="15"/>
      <c r="BJ11" s="6"/>
      <c r="BK11" s="6"/>
      <c r="BL11" s="6"/>
      <c r="BM11" s="9"/>
      <c r="BN11" s="15"/>
      <c r="BO11" s="6"/>
      <c r="BP11" s="6"/>
      <c r="BQ11" s="6"/>
      <c r="BR11" s="9"/>
      <c r="BS11" s="15"/>
      <c r="BT11" s="6"/>
      <c r="BU11" s="6"/>
      <c r="BV11" s="6"/>
      <c r="BW11" s="9"/>
      <c r="BX11" s="15"/>
      <c r="BZ11" s="6"/>
      <c r="CB11" s="6"/>
      <c r="CE11" s="6"/>
      <c r="CG11" s="9"/>
      <c r="CJ11" s="6"/>
      <c r="CL11" s="6"/>
      <c r="CQ11" s="9"/>
      <c r="CS11" s="6" t="s">
        <v>1534</v>
      </c>
      <c r="CT11" s="6" t="s">
        <v>1686</v>
      </c>
      <c r="CU11" s="6">
        <v>1</v>
      </c>
      <c r="CV11" s="9">
        <f>IF(CU11=0,"-",IF(CU11=1,SUM(CU$1:CU10)+1,SUM(CU$1:CU10)+1 &amp; "-" &amp; SUM(CU$1:CU11)))</f>
        <v>15</v>
      </c>
      <c r="CW11" s="15" t="str">
        <f t="shared" si="4"/>
        <v>!import-table-item --All-Dragons --Copper --1</v>
      </c>
      <c r="CX11" s="6" t="s">
        <v>414</v>
      </c>
      <c r="CY11" s="6"/>
      <c r="CZ11" s="6">
        <v>1</v>
      </c>
      <c r="DA11" s="9">
        <f>IF(CZ11=0,"-",IF(CZ11=1,SUM(CZ$1:CZ10)+1,SUM(CZ$1:CZ10)+1 &amp; "-" &amp; SUM(CZ$1:CZ11)))</f>
        <v>10</v>
      </c>
      <c r="DB11" s="15" t="str">
        <f t="shared" si="5"/>
        <v>!import-table-item --Damage-Type --Thunder --1</v>
      </c>
      <c r="DC11" s="11" t="s">
        <v>2012</v>
      </c>
      <c r="DE11" s="6">
        <v>4</v>
      </c>
      <c r="DF11" s="9" t="str">
        <f>IF(DE11=0,"-",IF(DE11=1,SUM(DE$1:DE10)+1,SUM(DE$1:DE10)+1 &amp; "-" &amp; SUM(DE$1:DE11)))</f>
        <v>45-48</v>
      </c>
      <c r="DG11" s="15" t="str">
        <f t="shared" si="6"/>
        <v>!import-table-item --Tools --Brewer's Supplies --4</v>
      </c>
    </row>
    <row r="12" spans="1:111" x14ac:dyDescent="0.25">
      <c r="A12" s="25" t="s">
        <v>1774</v>
      </c>
      <c r="B12" s="6"/>
      <c r="C12" s="6"/>
      <c r="D12" s="6"/>
      <c r="E12" s="9"/>
      <c r="F12" s="15"/>
      <c r="G12" s="6"/>
      <c r="H12" s="6"/>
      <c r="I12" s="6"/>
      <c r="J12" s="9"/>
      <c r="K12" s="15"/>
      <c r="L12" s="6"/>
      <c r="M12" s="6"/>
      <c r="N12" s="6"/>
      <c r="O12" s="9"/>
      <c r="P12" s="15"/>
      <c r="Q12" s="6"/>
      <c r="R12" s="6"/>
      <c r="S12" s="6"/>
      <c r="T12" s="9"/>
      <c r="U12" s="15"/>
      <c r="V12" s="6"/>
      <c r="W12" s="6"/>
      <c r="X12" s="6"/>
      <c r="Y12" s="9"/>
      <c r="Z12" s="15"/>
      <c r="AA12" s="6"/>
      <c r="AB12" s="6"/>
      <c r="AC12" s="6"/>
      <c r="AD12" s="9"/>
      <c r="AE12" s="15"/>
      <c r="AF12" s="6"/>
      <c r="AG12" s="6"/>
      <c r="AH12" s="6"/>
      <c r="AI12" s="9"/>
      <c r="AJ12" s="15"/>
      <c r="AK12" s="6"/>
      <c r="AL12" s="6"/>
      <c r="AM12" s="6"/>
      <c r="AN12" s="9"/>
      <c r="AO12" s="15"/>
      <c r="AP12" s="6" t="s">
        <v>973</v>
      </c>
      <c r="AQ12" s="6"/>
      <c r="AR12" s="6">
        <v>4</v>
      </c>
      <c r="AS12" s="9" t="str">
        <f>IF(AR12=0,"-",IF(AR12=1,SUM(AR$1:AR11)+1,SUM(AR$1:AR11)+1 &amp; "-" &amp; SUM(AR$1:AR12)))</f>
        <v>71-74</v>
      </c>
      <c r="AT12" s="15" t="str">
        <f t="shared" si="2"/>
        <v>!import-table-item --Martial-Melee --Halberd --4</v>
      </c>
      <c r="AU12" s="6"/>
      <c r="AV12" s="6"/>
      <c r="AW12" s="6"/>
      <c r="AX12" s="9"/>
      <c r="AY12" s="15"/>
      <c r="AZ12" s="6"/>
      <c r="BA12" s="6"/>
      <c r="BB12" s="6"/>
      <c r="BC12" s="9"/>
      <c r="BD12" s="15"/>
      <c r="BE12" s="6"/>
      <c r="BF12" s="6"/>
      <c r="BG12" s="6"/>
      <c r="BH12" s="9"/>
      <c r="BI12" s="15"/>
      <c r="BJ12" s="6"/>
      <c r="BK12" s="6"/>
      <c r="BL12" s="6"/>
      <c r="BM12" s="9"/>
      <c r="BN12" s="15"/>
      <c r="BO12" s="6"/>
      <c r="BP12" s="6"/>
      <c r="BQ12" s="6"/>
      <c r="BR12" s="9"/>
      <c r="BS12" s="15"/>
      <c r="BT12" s="6"/>
      <c r="BU12" s="6"/>
      <c r="BV12" s="6"/>
      <c r="BW12" s="9"/>
      <c r="BX12" s="15"/>
      <c r="BZ12" s="6"/>
      <c r="CB12" s="6"/>
      <c r="CE12" s="6"/>
      <c r="CG12" s="9"/>
      <c r="CJ12" s="6"/>
      <c r="CL12" s="6"/>
      <c r="CQ12" s="9"/>
      <c r="CS12" s="6" t="s">
        <v>1500</v>
      </c>
      <c r="CT12" s="6" t="s">
        <v>1403</v>
      </c>
      <c r="CU12" s="6">
        <v>1</v>
      </c>
      <c r="CV12" s="9">
        <f>IF(CU12=0,"-",IF(CU12=1,SUM(CU$1:CU11)+1,SUM(CU$1:CU11)+1 &amp; "-" &amp; SUM(CU$1:CU12)))</f>
        <v>16</v>
      </c>
      <c r="CW12" s="15" t="str">
        <f t="shared" si="4"/>
        <v>!import-table-item --All-Dragons --Amethyst --1</v>
      </c>
      <c r="CX12" s="6"/>
      <c r="CY12" s="6"/>
      <c r="CZ12" s="6"/>
      <c r="DA12" s="9"/>
      <c r="DB12" s="15"/>
      <c r="DC12" s="11" t="s">
        <v>2011</v>
      </c>
      <c r="DE12" s="6">
        <v>4</v>
      </c>
      <c r="DF12" s="9" t="str">
        <f>IF(DE12=0,"-",IF(DE12=1,SUM(DE$1:DE11)+1,SUM(DE$1:DE11)+1 &amp; "-" &amp; SUM(DE$1:DE12)))</f>
        <v>49-52</v>
      </c>
      <c r="DG12" s="15" t="str">
        <f t="shared" si="6"/>
        <v>!import-table-item --Tools --Calligrapher's Supplies --4</v>
      </c>
    </row>
    <row r="13" spans="1:111" x14ac:dyDescent="0.25">
      <c r="A13" s="25" t="s">
        <v>1775</v>
      </c>
      <c r="B13" s="6"/>
      <c r="C13" s="6"/>
      <c r="D13" s="6"/>
      <c r="E13" s="9"/>
      <c r="F13" s="15"/>
      <c r="G13" s="6"/>
      <c r="H13" s="6"/>
      <c r="I13" s="6"/>
      <c r="J13" s="9"/>
      <c r="K13" s="15"/>
      <c r="L13" s="6"/>
      <c r="M13" s="6"/>
      <c r="N13" s="6"/>
      <c r="O13" s="9"/>
      <c r="P13" s="15"/>
      <c r="Q13" s="6"/>
      <c r="R13" s="6"/>
      <c r="S13" s="6"/>
      <c r="T13" s="9"/>
      <c r="U13" s="15"/>
      <c r="V13" s="6"/>
      <c r="W13" s="6"/>
      <c r="X13" s="6"/>
      <c r="Y13" s="9"/>
      <c r="Z13" s="15"/>
      <c r="AA13" s="6"/>
      <c r="AB13" s="6"/>
      <c r="AC13" s="6"/>
      <c r="AD13" s="9"/>
      <c r="AE13" s="15"/>
      <c r="AF13" s="6"/>
      <c r="AG13" s="6"/>
      <c r="AH13" s="6"/>
      <c r="AI13" s="9"/>
      <c r="AJ13" s="15"/>
      <c r="AK13" s="6"/>
      <c r="AL13" s="6"/>
      <c r="AM13" s="6"/>
      <c r="AN13" s="9"/>
      <c r="AO13" s="15"/>
      <c r="AP13" s="6" t="s">
        <v>976</v>
      </c>
      <c r="AQ13" s="6"/>
      <c r="AR13" s="6">
        <v>4</v>
      </c>
      <c r="AS13" s="9" t="str">
        <f>IF(AR13=0,"-",IF(AR13=1,SUM(AR$1:AR12)+1,SUM(AR$1:AR12)+1 &amp; "-" &amp; SUM(AR$1:AR13)))</f>
        <v>75-78</v>
      </c>
      <c r="AT13" s="15" t="str">
        <f t="shared" si="2"/>
        <v>!import-table-item --Martial-Melee --Maul --4</v>
      </c>
      <c r="AU13" s="6"/>
      <c r="AV13" s="6"/>
      <c r="AW13" s="6"/>
      <c r="AX13" s="9"/>
      <c r="AY13" s="15"/>
      <c r="AZ13" s="6"/>
      <c r="BA13" s="6"/>
      <c r="BB13" s="6"/>
      <c r="BC13" s="9"/>
      <c r="BD13" s="15"/>
      <c r="BE13" s="6"/>
      <c r="BF13" s="6"/>
      <c r="BG13" s="6"/>
      <c r="BH13" s="9"/>
      <c r="BI13" s="15"/>
      <c r="BJ13" s="6"/>
      <c r="BK13" s="6"/>
      <c r="BL13" s="6"/>
      <c r="BM13" s="9"/>
      <c r="BN13" s="15"/>
      <c r="BO13" s="6"/>
      <c r="BP13" s="6"/>
      <c r="BQ13" s="6"/>
      <c r="BR13" s="9"/>
      <c r="BS13" s="15"/>
      <c r="BT13" s="6"/>
      <c r="BU13" s="6"/>
      <c r="BV13" s="6"/>
      <c r="BW13" s="9"/>
      <c r="BX13" s="15"/>
      <c r="BZ13" s="6"/>
      <c r="CE13" s="6"/>
      <c r="CG13" s="9"/>
      <c r="CJ13" s="6"/>
      <c r="CL13" s="6"/>
      <c r="CQ13" s="9"/>
      <c r="CS13" s="6" t="s">
        <v>1209</v>
      </c>
      <c r="CT13" s="6" t="s">
        <v>1403</v>
      </c>
      <c r="CU13" s="6">
        <v>1</v>
      </c>
      <c r="CV13" s="9">
        <f>IF(CU13=0,"-",IF(CU13=1,SUM(CU$1:CU12)+1,SUM(CU$1:CU12)+1 &amp; "-" &amp; SUM(CU$1:CU13)))</f>
        <v>17</v>
      </c>
      <c r="CW13" s="15" t="str">
        <f t="shared" si="4"/>
        <v>!import-table-item --All-Dragons --Crystal --1</v>
      </c>
      <c r="CX13" s="6"/>
      <c r="CY13" s="6"/>
      <c r="CZ13" s="6"/>
      <c r="DA13" s="9"/>
      <c r="DB13" s="15"/>
      <c r="DC13" s="11" t="s">
        <v>2010</v>
      </c>
      <c r="DE13" s="6">
        <v>4</v>
      </c>
      <c r="DF13" s="9" t="str">
        <f>IF(DE13=0,"-",IF(DE13=1,SUM(DE$1:DE12)+1,SUM(DE$1:DE12)+1 &amp; "-" &amp; SUM(DE$1:DE13)))</f>
        <v>53-56</v>
      </c>
      <c r="DG13" s="15" t="str">
        <f t="shared" si="6"/>
        <v>!import-table-item --Tools --Carpenter's Tools --4</v>
      </c>
    </row>
    <row r="14" spans="1:111" x14ac:dyDescent="0.25">
      <c r="A14" s="25" t="s">
        <v>1776</v>
      </c>
      <c r="B14" s="6"/>
      <c r="C14" s="6"/>
      <c r="D14" s="6"/>
      <c r="E14" s="9"/>
      <c r="F14" s="15"/>
      <c r="G14" s="6"/>
      <c r="H14" s="6"/>
      <c r="I14" s="6"/>
      <c r="J14" s="9"/>
      <c r="K14" s="15"/>
      <c r="L14" s="6"/>
      <c r="M14" s="6"/>
      <c r="N14" s="6"/>
      <c r="O14" s="9"/>
      <c r="P14" s="15"/>
      <c r="Q14" s="6"/>
      <c r="R14" s="6"/>
      <c r="S14" s="6"/>
      <c r="T14" s="9"/>
      <c r="U14" s="15"/>
      <c r="V14" s="6"/>
      <c r="W14" s="6"/>
      <c r="X14" s="6"/>
      <c r="Y14" s="9"/>
      <c r="Z14" s="15"/>
      <c r="AA14" s="6"/>
      <c r="AB14" s="6"/>
      <c r="AC14" s="6"/>
      <c r="AD14" s="9"/>
      <c r="AE14" s="15"/>
      <c r="AF14" s="6"/>
      <c r="AG14" s="6"/>
      <c r="AH14" s="6"/>
      <c r="AI14" s="9"/>
      <c r="AJ14" s="15"/>
      <c r="AK14" s="6"/>
      <c r="AL14" s="6"/>
      <c r="AM14" s="6"/>
      <c r="AN14" s="9"/>
      <c r="AO14" s="15"/>
      <c r="AP14" s="6" t="s">
        <v>978</v>
      </c>
      <c r="AQ14" s="6"/>
      <c r="AR14" s="6">
        <v>4</v>
      </c>
      <c r="AS14" s="9" t="str">
        <f>IF(AR14=0,"-",IF(AR14=1,SUM(AR$1:AR13)+1,SUM(AR$1:AR13)+1 &amp; "-" &amp; SUM(AR$1:AR14)))</f>
        <v>79-82</v>
      </c>
      <c r="AT14" s="15" t="str">
        <f t="shared" si="2"/>
        <v>!import-table-item --Martial-Melee --Pike --4</v>
      </c>
      <c r="AU14" s="6"/>
      <c r="AV14" s="6"/>
      <c r="AW14" s="6"/>
      <c r="AX14" s="9"/>
      <c r="AY14" s="15"/>
      <c r="AZ14" s="6"/>
      <c r="BA14" s="6"/>
      <c r="BB14" s="6"/>
      <c r="BC14" s="9"/>
      <c r="BD14" s="15"/>
      <c r="BE14" s="6"/>
      <c r="BF14" s="6"/>
      <c r="BG14" s="6"/>
      <c r="BH14" s="9"/>
      <c r="BI14" s="15"/>
      <c r="BJ14" s="6"/>
      <c r="BK14" s="6"/>
      <c r="BL14" s="6"/>
      <c r="BM14" s="9"/>
      <c r="BN14" s="15"/>
      <c r="BO14" s="6"/>
      <c r="BP14" s="6"/>
      <c r="BQ14" s="6"/>
      <c r="BR14" s="9"/>
      <c r="BS14" s="15"/>
      <c r="BT14" s="6"/>
      <c r="BU14" s="6"/>
      <c r="BV14" s="6"/>
      <c r="BW14" s="9"/>
      <c r="BX14" s="15"/>
      <c r="BZ14" s="6"/>
      <c r="CE14" s="6"/>
      <c r="CG14" s="9"/>
      <c r="CJ14" s="6"/>
      <c r="CL14" s="6"/>
      <c r="CQ14" s="9"/>
      <c r="CS14" s="6" t="s">
        <v>1490</v>
      </c>
      <c r="CT14" s="6" t="s">
        <v>1403</v>
      </c>
      <c r="CU14" s="6">
        <v>1</v>
      </c>
      <c r="CV14" s="9">
        <f>IF(CU14=0,"-",IF(CU14=1,SUM(CU$1:CU13)+1,SUM(CU$1:CU13)+1 &amp; "-" &amp; SUM(CU$1:CU14)))</f>
        <v>18</v>
      </c>
      <c r="CW14" s="15" t="str">
        <f t="shared" si="4"/>
        <v>!import-table-item --All-Dragons --Emerald --1</v>
      </c>
      <c r="CX14" s="6"/>
      <c r="CY14" s="6"/>
      <c r="CZ14" s="6"/>
      <c r="DA14" s="9"/>
      <c r="DB14" s="15"/>
      <c r="DC14" s="11" t="s">
        <v>2009</v>
      </c>
      <c r="DE14" s="6">
        <v>4</v>
      </c>
      <c r="DF14" s="9" t="str">
        <f>IF(DE14=0,"-",IF(DE14=1,SUM(DE$1:DE13)+1,SUM(DE$1:DE13)+1 &amp; "-" &amp; SUM(DE$1:DE14)))</f>
        <v>57-60</v>
      </c>
      <c r="DG14" s="15" t="str">
        <f t="shared" si="6"/>
        <v>!import-table-item --Tools --Cartographer's Tools --4</v>
      </c>
    </row>
    <row r="15" spans="1:111" x14ac:dyDescent="0.25">
      <c r="A15" s="26" t="s">
        <v>1777</v>
      </c>
      <c r="B15" s="6"/>
      <c r="C15" s="6"/>
      <c r="D15" s="6"/>
      <c r="E15" s="9"/>
      <c r="F15" s="15"/>
      <c r="G15" s="6"/>
      <c r="H15" s="6"/>
      <c r="I15" s="6"/>
      <c r="J15" s="9"/>
      <c r="K15" s="15"/>
      <c r="L15" s="6"/>
      <c r="M15" s="6"/>
      <c r="N15" s="6"/>
      <c r="O15" s="9"/>
      <c r="P15" s="15"/>
      <c r="Q15" s="6"/>
      <c r="R15" s="6"/>
      <c r="S15" s="6"/>
      <c r="T15" s="9"/>
      <c r="U15" s="15"/>
      <c r="V15" s="6"/>
      <c r="W15" s="6"/>
      <c r="X15" s="6"/>
      <c r="Y15" s="9"/>
      <c r="Z15" s="15"/>
      <c r="AA15" s="6"/>
      <c r="AB15" s="6"/>
      <c r="AC15" s="6"/>
      <c r="AD15" s="9"/>
      <c r="AE15" s="15"/>
      <c r="AF15" s="6"/>
      <c r="AG15" s="6"/>
      <c r="AH15" s="6"/>
      <c r="AI15" s="9"/>
      <c r="AJ15" s="15"/>
      <c r="AK15" s="6"/>
      <c r="AL15" s="6"/>
      <c r="AM15" s="6"/>
      <c r="AN15" s="9"/>
      <c r="AO15" s="15"/>
      <c r="AP15" s="6" t="s">
        <v>979</v>
      </c>
      <c r="AQ15" s="6"/>
      <c r="AR15" s="6">
        <v>4</v>
      </c>
      <c r="AS15" s="9" t="str">
        <f>IF(AR15=0,"-",IF(AR15=1,SUM(AR$1:AR14)+1,SUM(AR$1:AR14)+1 &amp; "-" &amp; SUM(AR$1:AR15)))</f>
        <v>83-86</v>
      </c>
      <c r="AT15" s="15" t="str">
        <f t="shared" si="2"/>
        <v>!import-table-item --Martial-Melee --Rapier --4</v>
      </c>
      <c r="AU15" s="6"/>
      <c r="AV15" s="6"/>
      <c r="AW15" s="6"/>
      <c r="AX15" s="9"/>
      <c r="AY15" s="15"/>
      <c r="AZ15" s="6"/>
      <c r="BA15" s="6"/>
      <c r="BB15" s="6"/>
      <c r="BC15" s="9"/>
      <c r="BD15" s="15"/>
      <c r="BE15" s="6"/>
      <c r="BF15" s="6"/>
      <c r="BG15" s="6"/>
      <c r="BH15" s="9"/>
      <c r="BI15" s="15"/>
      <c r="BJ15" s="6"/>
      <c r="BK15" s="6"/>
      <c r="BL15" s="6"/>
      <c r="BM15" s="9"/>
      <c r="BN15" s="15"/>
      <c r="BO15" s="6"/>
      <c r="BP15" s="6"/>
      <c r="BQ15" s="6"/>
      <c r="BR15" s="9"/>
      <c r="BS15" s="15"/>
      <c r="BT15" s="6"/>
      <c r="BU15" s="6"/>
      <c r="BV15" s="6"/>
      <c r="BW15" s="9"/>
      <c r="BX15" s="15"/>
      <c r="BZ15" s="6"/>
      <c r="CE15" s="6"/>
      <c r="CG15" s="9"/>
      <c r="CJ15" s="6"/>
      <c r="CL15" s="6"/>
      <c r="CQ15" s="9"/>
      <c r="CS15" s="6" t="s">
        <v>1501</v>
      </c>
      <c r="CT15" s="6" t="s">
        <v>1403</v>
      </c>
      <c r="CU15" s="6">
        <v>1</v>
      </c>
      <c r="CV15" s="9">
        <f>IF(CU15=0,"-",IF(CU15=1,SUM(CU$1:CU14)+1,SUM(CU$1:CU14)+1 &amp; "-" &amp; SUM(CU$1:CU15)))</f>
        <v>19</v>
      </c>
      <c r="CW15" s="15" t="str">
        <f t="shared" si="4"/>
        <v>!import-table-item --All-Dragons --Sapphire --1</v>
      </c>
      <c r="CX15" s="6"/>
      <c r="CY15" s="6"/>
      <c r="CZ15" s="6"/>
      <c r="DA15" s="9"/>
      <c r="DB15" s="15"/>
      <c r="DC15" s="11" t="s">
        <v>2008</v>
      </c>
      <c r="DE15" s="6">
        <v>4</v>
      </c>
      <c r="DF15" s="9" t="str">
        <f>IF(DE15=0,"-",IF(DE15=1,SUM(DE$1:DE14)+1,SUM(DE$1:DE14)+1 &amp; "-" &amp; SUM(DE$1:DE15)))</f>
        <v>61-64</v>
      </c>
      <c r="DG15" s="15" t="str">
        <f t="shared" si="6"/>
        <v>!import-table-item --Tools --Cobbler's Tools --4</v>
      </c>
    </row>
    <row r="16" spans="1:111" x14ac:dyDescent="0.25">
      <c r="A16" s="25" t="s">
        <v>1778</v>
      </c>
      <c r="B16" s="6"/>
      <c r="C16" s="6"/>
      <c r="D16" s="6"/>
      <c r="E16" s="9"/>
      <c r="F16" s="15"/>
      <c r="G16" s="6"/>
      <c r="H16" s="6"/>
      <c r="I16" s="6"/>
      <c r="J16" s="9"/>
      <c r="K16" s="15"/>
      <c r="L16" s="6"/>
      <c r="M16" s="6"/>
      <c r="N16" s="6"/>
      <c r="O16" s="9"/>
      <c r="P16" s="15"/>
      <c r="Q16" s="6"/>
      <c r="R16" s="6"/>
      <c r="S16" s="6"/>
      <c r="T16" s="9"/>
      <c r="U16" s="15"/>
      <c r="V16" s="6"/>
      <c r="W16" s="6"/>
      <c r="X16" s="6"/>
      <c r="Y16" s="9"/>
      <c r="Z16" s="15"/>
      <c r="AA16" s="6"/>
      <c r="AB16" s="6"/>
      <c r="AC16" s="6"/>
      <c r="AD16" s="9"/>
      <c r="AE16" s="15"/>
      <c r="AF16" s="6"/>
      <c r="AG16" s="6"/>
      <c r="AH16" s="6"/>
      <c r="AI16" s="9"/>
      <c r="AJ16" s="15"/>
      <c r="AK16" s="6"/>
      <c r="AL16" s="6"/>
      <c r="AM16" s="6"/>
      <c r="AN16" s="9"/>
      <c r="AO16" s="15"/>
      <c r="AP16" s="6" t="s">
        <v>980</v>
      </c>
      <c r="AQ16" s="6"/>
      <c r="AR16" s="6">
        <v>4</v>
      </c>
      <c r="AS16" s="9" t="str">
        <f>IF(AR16=0,"-",IF(AR16=1,SUM(AR$1:AR15)+1,SUM(AR$1:AR15)+1 &amp; "-" &amp; SUM(AR$1:AR16)))</f>
        <v>87-90</v>
      </c>
      <c r="AT16" s="15" t="str">
        <f t="shared" si="2"/>
        <v>!import-table-item --Martial-Melee --Scimitar --4</v>
      </c>
      <c r="AU16" s="6"/>
      <c r="AV16" s="6"/>
      <c r="AW16" s="6"/>
      <c r="AX16" s="9"/>
      <c r="AY16" s="15"/>
      <c r="AZ16" s="6"/>
      <c r="BA16" s="6"/>
      <c r="BB16" s="6"/>
      <c r="BC16" s="9"/>
      <c r="BD16" s="15"/>
      <c r="BE16" s="6"/>
      <c r="BF16" s="6"/>
      <c r="BG16" s="6"/>
      <c r="BH16" s="9"/>
      <c r="BI16" s="15"/>
      <c r="BJ16" s="6"/>
      <c r="BK16" s="6"/>
      <c r="BL16" s="6"/>
      <c r="BM16" s="9"/>
      <c r="BN16" s="15"/>
      <c r="BO16" s="6"/>
      <c r="BP16" s="6"/>
      <c r="BQ16" s="6"/>
      <c r="BR16" s="9"/>
      <c r="BS16" s="15"/>
      <c r="BT16" s="6"/>
      <c r="BU16" s="6"/>
      <c r="BV16" s="6"/>
      <c r="BW16" s="9"/>
      <c r="BX16" s="15"/>
      <c r="BZ16" s="6"/>
      <c r="CE16" s="6"/>
      <c r="CG16" s="10"/>
      <c r="CJ16" s="6"/>
      <c r="CQ16" s="9"/>
      <c r="CS16" s="6" t="s">
        <v>1502</v>
      </c>
      <c r="CT16" s="6" t="s">
        <v>1403</v>
      </c>
      <c r="CU16" s="6">
        <v>1</v>
      </c>
      <c r="CV16" s="9">
        <f>IF(CU16=0,"-",IF(CU16=1,SUM(CU$1:CU15)+1,SUM(CU$1:CU15)+1 &amp; "-" &amp; SUM(CU$1:CU16)))</f>
        <v>20</v>
      </c>
      <c r="CW16" s="15" t="str">
        <f t="shared" si="4"/>
        <v>!import-table-item --All-Dragons --Topaz --1</v>
      </c>
      <c r="CX16" s="6"/>
      <c r="CY16" s="6"/>
      <c r="CZ16" s="6"/>
      <c r="DA16" s="9"/>
      <c r="DB16" s="15"/>
      <c r="DC16" s="11" t="s">
        <v>2006</v>
      </c>
      <c r="DE16" s="6">
        <v>4</v>
      </c>
      <c r="DF16" s="9" t="str">
        <f>IF(DE16=0,"-",IF(DE16=1,SUM(DE$1:DE15)+1,SUM(DE$1:DE15)+1 &amp; "-" &amp; SUM(DE$1:DE16)))</f>
        <v>65-68</v>
      </c>
      <c r="DG16" s="15" t="str">
        <f t="shared" si="6"/>
        <v>!import-table-item --Tools --Glassblower's Tools --4</v>
      </c>
    </row>
    <row r="17" spans="1:111" x14ac:dyDescent="0.25">
      <c r="A17" s="26" t="s">
        <v>1779</v>
      </c>
      <c r="B17" s="6"/>
      <c r="C17" s="6"/>
      <c r="D17" s="6"/>
      <c r="E17" s="9"/>
      <c r="F17" s="15"/>
      <c r="G17" s="6"/>
      <c r="H17" s="6"/>
      <c r="I17" s="6"/>
      <c r="J17" s="9"/>
      <c r="K17" s="15"/>
      <c r="L17" s="6"/>
      <c r="M17" s="6"/>
      <c r="N17" s="6"/>
      <c r="O17" s="9"/>
      <c r="P17" s="15"/>
      <c r="Q17" s="6"/>
      <c r="R17" s="6"/>
      <c r="S17" s="6"/>
      <c r="T17" s="9"/>
      <c r="U17" s="15"/>
      <c r="V17" s="6"/>
      <c r="W17" s="6"/>
      <c r="X17" s="6"/>
      <c r="Y17" s="9"/>
      <c r="Z17" s="15"/>
      <c r="AA17" s="6"/>
      <c r="AB17" s="6"/>
      <c r="AC17" s="6"/>
      <c r="AD17" s="9"/>
      <c r="AE17" s="15"/>
      <c r="AF17" s="6"/>
      <c r="AG17" s="6"/>
      <c r="AH17" s="6"/>
      <c r="AI17" s="9"/>
      <c r="AJ17" s="15"/>
      <c r="AK17" s="6"/>
      <c r="AL17" s="6"/>
      <c r="AM17" s="6"/>
      <c r="AN17" s="9"/>
      <c r="AO17" s="15"/>
      <c r="AP17" s="6" t="s">
        <v>444</v>
      </c>
      <c r="AQ17" s="6"/>
      <c r="AR17" s="6">
        <v>4</v>
      </c>
      <c r="AS17" s="9" t="str">
        <f>IF(AR17=0,"-",IF(AR17=1,SUM(AR$1:AR16)+1,SUM(AR$1:AR16)+1 &amp; "-" &amp; SUM(AR$1:AR17)))</f>
        <v>91-94</v>
      </c>
      <c r="AT17" s="15" t="str">
        <f t="shared" si="2"/>
        <v>!import-table-item --Martial-Melee --Whip --4</v>
      </c>
      <c r="AU17" s="6"/>
      <c r="AV17" s="6"/>
      <c r="AW17" s="6"/>
      <c r="AX17" s="9"/>
      <c r="AY17" s="15"/>
      <c r="AZ17" s="6"/>
      <c r="BA17" s="6"/>
      <c r="BB17" s="6"/>
      <c r="BC17" s="9"/>
      <c r="BD17" s="15"/>
      <c r="BE17" s="6"/>
      <c r="BF17" s="6"/>
      <c r="BG17" s="6"/>
      <c r="BH17" s="9"/>
      <c r="BI17" s="15"/>
      <c r="BJ17" s="6"/>
      <c r="BK17" s="6"/>
      <c r="BL17" s="6"/>
      <c r="BM17" s="9"/>
      <c r="BN17" s="15"/>
      <c r="BO17" s="6"/>
      <c r="BP17" s="6"/>
      <c r="BQ17" s="6"/>
      <c r="BR17" s="9"/>
      <c r="BS17" s="15"/>
      <c r="BT17" s="6"/>
      <c r="BU17" s="6"/>
      <c r="BV17" s="6"/>
      <c r="BW17" s="9"/>
      <c r="BX17" s="15"/>
      <c r="BZ17" s="6"/>
      <c r="CE17" s="6"/>
      <c r="CG17" s="10"/>
      <c r="CJ17" s="6"/>
      <c r="CQ17" s="9"/>
      <c r="CV17" s="9"/>
      <c r="CX17" s="6"/>
      <c r="CY17" s="6"/>
      <c r="CZ17" s="6"/>
      <c r="DA17" s="9"/>
      <c r="DB17" s="15"/>
      <c r="DC17" s="11" t="s">
        <v>2005</v>
      </c>
      <c r="DE17" s="6">
        <v>4</v>
      </c>
      <c r="DF17" s="9" t="str">
        <f>IF(DE17=0,"-",IF(DE17=1,SUM(DE$1:DE16)+1,SUM(DE$1:DE16)+1 &amp; "-" &amp; SUM(DE$1:DE17)))</f>
        <v>69-72</v>
      </c>
      <c r="DG17" s="15" t="str">
        <f t="shared" si="6"/>
        <v>!import-table-item --Tools --Jeweler's Tools --4</v>
      </c>
    </row>
    <row r="18" spans="1:111" x14ac:dyDescent="0.25">
      <c r="A18" s="26" t="s">
        <v>1780</v>
      </c>
      <c r="B18" s="6"/>
      <c r="C18" s="6"/>
      <c r="D18" s="6"/>
      <c r="E18" s="9"/>
      <c r="F18" s="15"/>
      <c r="G18" s="6"/>
      <c r="H18" s="6"/>
      <c r="I18" s="6"/>
      <c r="J18" s="9"/>
      <c r="K18" s="15"/>
      <c r="L18" s="6"/>
      <c r="M18" s="6"/>
      <c r="N18" s="6"/>
      <c r="O18" s="9"/>
      <c r="P18" s="15"/>
      <c r="Q18" s="6"/>
      <c r="R18" s="6"/>
      <c r="S18" s="6"/>
      <c r="T18" s="9"/>
      <c r="U18" s="15"/>
      <c r="V18" s="6"/>
      <c r="W18" s="6"/>
      <c r="X18" s="6"/>
      <c r="Y18" s="9"/>
      <c r="Z18" s="15"/>
      <c r="AA18" s="6"/>
      <c r="AB18" s="6"/>
      <c r="AC18" s="6"/>
      <c r="AD18" s="9"/>
      <c r="AE18" s="15"/>
      <c r="AF18" s="6"/>
      <c r="AG18" s="6"/>
      <c r="AH18" s="6"/>
      <c r="AI18" s="9"/>
      <c r="AJ18" s="15"/>
      <c r="AK18" s="6"/>
      <c r="AL18" s="6"/>
      <c r="AM18" s="6"/>
      <c r="AN18" s="9"/>
      <c r="AO18" s="15"/>
      <c r="AP18" s="6" t="s">
        <v>974</v>
      </c>
      <c r="AQ18" s="6"/>
      <c r="AR18" s="6">
        <v>2</v>
      </c>
      <c r="AS18" s="9" t="str">
        <f>IF(AR18=0,"-",IF(AR18=1,SUM(AR$1:AR17)+1,SUM(AR$1:AR17)+1 &amp; "-" &amp; SUM(AR$1:AR18)))</f>
        <v>95-96</v>
      </c>
      <c r="AT18" s="15" t="str">
        <f t="shared" si="2"/>
        <v>!import-table-item --Martial-Melee --Lance --2</v>
      </c>
      <c r="AU18" s="6"/>
      <c r="AV18" s="6"/>
      <c r="AW18" s="6"/>
      <c r="AX18" s="9"/>
      <c r="AY18" s="15"/>
      <c r="AZ18" s="6"/>
      <c r="BA18" s="6"/>
      <c r="BB18" s="6"/>
      <c r="BC18" s="9"/>
      <c r="BD18" s="15"/>
      <c r="BE18" s="6"/>
      <c r="BF18" s="6"/>
      <c r="BG18" s="6"/>
      <c r="BH18" s="9"/>
      <c r="BI18" s="15"/>
      <c r="BJ18" s="6"/>
      <c r="BK18" s="6"/>
      <c r="BL18" s="6"/>
      <c r="BM18" s="9"/>
      <c r="BN18" s="15"/>
      <c r="BO18" s="6"/>
      <c r="BP18" s="6"/>
      <c r="BQ18" s="6"/>
      <c r="BR18" s="9"/>
      <c r="BS18" s="15"/>
      <c r="BT18" s="6"/>
      <c r="BU18" s="6"/>
      <c r="BV18" s="6"/>
      <c r="BW18" s="9"/>
      <c r="BX18" s="15"/>
      <c r="BZ18" s="6"/>
      <c r="CE18" s="6"/>
      <c r="CG18" s="10"/>
      <c r="CJ18" s="6"/>
      <c r="CQ18" s="9"/>
      <c r="CV18" s="9"/>
      <c r="CX18" s="6"/>
      <c r="CY18" s="6"/>
      <c r="CZ18" s="6"/>
      <c r="DA18" s="9"/>
      <c r="DB18" s="15"/>
      <c r="DC18" s="11" t="s">
        <v>2004</v>
      </c>
      <c r="DE18" s="6">
        <v>4</v>
      </c>
      <c r="DF18" s="9" t="str">
        <f>IF(DE18=0,"-",IF(DE18=1,SUM(DE$1:DE17)+1,SUM(DE$1:DE17)+1 &amp; "-" &amp; SUM(DE$1:DE18)))</f>
        <v>73-76</v>
      </c>
      <c r="DG18" s="15" t="str">
        <f t="shared" si="6"/>
        <v>!import-table-item --Tools --Leatherworker's Tools --4</v>
      </c>
    </row>
    <row r="19" spans="1:111" x14ac:dyDescent="0.25">
      <c r="A19" s="26" t="s">
        <v>1781</v>
      </c>
      <c r="B19" s="6"/>
      <c r="C19" s="6"/>
      <c r="D19" s="6"/>
      <c r="E19" s="9"/>
      <c r="F19" s="15"/>
      <c r="G19" s="6"/>
      <c r="H19" s="6"/>
      <c r="I19" s="6"/>
      <c r="J19" s="9"/>
      <c r="K19" s="15"/>
      <c r="L19" s="6"/>
      <c r="M19" s="6"/>
      <c r="N19" s="6"/>
      <c r="O19" s="9"/>
      <c r="P19" s="15"/>
      <c r="Q19" s="6"/>
      <c r="R19" s="6"/>
      <c r="S19" s="6"/>
      <c r="T19" s="9"/>
      <c r="U19" s="15"/>
      <c r="V19" s="6"/>
      <c r="W19" s="6"/>
      <c r="X19" s="6"/>
      <c r="Y19" s="9"/>
      <c r="Z19" s="15"/>
      <c r="AA19" s="6"/>
      <c r="AB19" s="6"/>
      <c r="AC19" s="6"/>
      <c r="AD19" s="9"/>
      <c r="AE19" s="15"/>
      <c r="AF19" s="6"/>
      <c r="AG19" s="6"/>
      <c r="AH19" s="6"/>
      <c r="AI19" s="9"/>
      <c r="AJ19" s="15"/>
      <c r="AK19" s="6"/>
      <c r="AL19" s="6"/>
      <c r="AM19" s="6"/>
      <c r="AN19" s="9"/>
      <c r="AO19" s="15"/>
      <c r="AP19" s="6" t="s">
        <v>982</v>
      </c>
      <c r="AQ19" s="6"/>
      <c r="AR19" s="6">
        <v>2</v>
      </c>
      <c r="AS19" s="9" t="str">
        <f>IF(AR19=0,"-",IF(AR19=1,SUM(AR$1:AR18)+1,SUM(AR$1:AR18)+1 &amp; "-" &amp; SUM(AR$1:AR19)))</f>
        <v>97-98</v>
      </c>
      <c r="AT19" s="15" t="str">
        <f t="shared" si="2"/>
        <v>!import-table-item --Martial-Melee --Trident --2</v>
      </c>
      <c r="AU19" s="6"/>
      <c r="AV19" s="6"/>
      <c r="AW19" s="6"/>
      <c r="AX19" s="9"/>
      <c r="AY19" s="15"/>
      <c r="AZ19" s="6"/>
      <c r="BA19" s="6"/>
      <c r="BB19" s="6"/>
      <c r="BC19" s="9"/>
      <c r="BD19" s="15"/>
      <c r="BE19" s="6"/>
      <c r="BF19" s="6"/>
      <c r="BG19" s="6"/>
      <c r="BH19" s="9"/>
      <c r="BI19" s="15"/>
      <c r="BJ19" s="6"/>
      <c r="BK19" s="6"/>
      <c r="BL19" s="6"/>
      <c r="BM19" s="9"/>
      <c r="BN19" s="15"/>
      <c r="BO19" s="6"/>
      <c r="BP19" s="6"/>
      <c r="BQ19" s="6"/>
      <c r="BR19" s="9"/>
      <c r="BS19" s="15"/>
      <c r="BT19" s="6"/>
      <c r="BU19" s="6"/>
      <c r="BV19" s="6"/>
      <c r="BW19" s="9"/>
      <c r="BX19" s="15"/>
      <c r="BZ19" s="6"/>
      <c r="CE19" s="6"/>
      <c r="CG19" s="10"/>
      <c r="CJ19" s="6"/>
      <c r="CQ19" s="9"/>
      <c r="CV19" s="9"/>
      <c r="CX19" s="6"/>
      <c r="CY19" s="6"/>
      <c r="CZ19" s="6"/>
      <c r="DA19" s="9"/>
      <c r="DB19" s="15"/>
      <c r="DC19" s="11" t="s">
        <v>2003</v>
      </c>
      <c r="DE19" s="6">
        <v>4</v>
      </c>
      <c r="DF19" s="9" t="str">
        <f>IF(DE19=0,"-",IF(DE19=1,SUM(DE$1:DE18)+1,SUM(DE$1:DE18)+1 &amp; "-" &amp; SUM(DE$1:DE19)))</f>
        <v>77-80</v>
      </c>
      <c r="DG19" s="15" t="str">
        <f t="shared" si="6"/>
        <v>!import-table-item --Tools --Mason's Tools --4</v>
      </c>
    </row>
    <row r="20" spans="1:111" x14ac:dyDescent="0.25">
      <c r="A20" s="26" t="s">
        <v>1782</v>
      </c>
      <c r="B20" s="6"/>
      <c r="C20" s="6"/>
      <c r="D20" s="6"/>
      <c r="E20" s="9"/>
      <c r="F20" s="15"/>
      <c r="G20" s="6"/>
      <c r="H20" s="6"/>
      <c r="I20" s="6"/>
      <c r="J20" s="9"/>
      <c r="K20" s="15"/>
      <c r="L20" s="6"/>
      <c r="M20" s="6"/>
      <c r="N20" s="6"/>
      <c r="O20" s="9"/>
      <c r="P20" s="15"/>
      <c r="Q20" s="6"/>
      <c r="R20" s="6"/>
      <c r="S20" s="6"/>
      <c r="T20" s="9"/>
      <c r="U20" s="15"/>
      <c r="V20" s="6"/>
      <c r="W20" s="6"/>
      <c r="X20" s="6"/>
      <c r="Y20" s="9"/>
      <c r="Z20" s="15"/>
      <c r="AA20" s="6"/>
      <c r="AB20" s="6"/>
      <c r="AC20" s="6"/>
      <c r="AD20" s="9"/>
      <c r="AE20" s="15"/>
      <c r="AF20" s="6"/>
      <c r="AG20" s="6"/>
      <c r="AH20" s="6"/>
      <c r="AI20" s="9"/>
      <c r="AJ20" s="15"/>
      <c r="AK20" s="6"/>
      <c r="AL20" s="6"/>
      <c r="AM20" s="6"/>
      <c r="AN20" s="9"/>
      <c r="AO20" s="15"/>
      <c r="AP20" s="6" t="s">
        <v>983</v>
      </c>
      <c r="AQ20" s="6"/>
      <c r="AR20" s="6">
        <v>2</v>
      </c>
      <c r="AS20" s="9" t="str">
        <f>IF(AR20=0,"-",IF(AR20=1,SUM(AR$1:AR19)+1,SUM(AR$1:AR19)+1 &amp; "-" &amp; SUM(AR$1:AR20)))</f>
        <v>99-100</v>
      </c>
      <c r="AT20" s="15" t="str">
        <f t="shared" si="2"/>
        <v>!import-table-item --Martial-Melee --War Pick --2</v>
      </c>
      <c r="AU20" s="6"/>
      <c r="AV20" s="6"/>
      <c r="AW20" s="6"/>
      <c r="AX20" s="9"/>
      <c r="AY20" s="15"/>
      <c r="AZ20" s="6"/>
      <c r="BA20" s="6"/>
      <c r="BB20" s="6"/>
      <c r="BC20" s="9"/>
      <c r="BD20" s="15"/>
      <c r="BE20" s="6"/>
      <c r="BF20" s="6"/>
      <c r="BG20" s="6"/>
      <c r="BH20" s="9"/>
      <c r="BI20" s="15"/>
      <c r="BJ20" s="6"/>
      <c r="BK20" s="6"/>
      <c r="BL20" s="6"/>
      <c r="BM20" s="9"/>
      <c r="BN20" s="15"/>
      <c r="BO20" s="6"/>
      <c r="BP20" s="6"/>
      <c r="BQ20" s="6"/>
      <c r="BR20" s="9"/>
      <c r="BS20" s="15"/>
      <c r="BT20" s="6"/>
      <c r="BU20" s="6"/>
      <c r="BV20" s="6"/>
      <c r="BW20" s="9"/>
      <c r="BX20" s="15"/>
      <c r="BZ20" s="6"/>
      <c r="CE20" s="6"/>
      <c r="CG20" s="10"/>
      <c r="CJ20" s="6"/>
      <c r="CQ20" s="9"/>
      <c r="CV20" s="9"/>
      <c r="CX20" s="6"/>
      <c r="CY20" s="6"/>
      <c r="CZ20" s="6"/>
      <c r="DA20" s="9"/>
      <c r="DB20" s="15"/>
      <c r="DC20" s="11" t="s">
        <v>2002</v>
      </c>
      <c r="DE20" s="6">
        <v>4</v>
      </c>
      <c r="DF20" s="9" t="str">
        <f>IF(DE20=0,"-",IF(DE20=1,SUM(DE$1:DE19)+1,SUM(DE$1:DE19)+1 &amp; "-" &amp; SUM(DE$1:DE20)))</f>
        <v>81-84</v>
      </c>
      <c r="DG20" s="15" t="str">
        <f t="shared" si="6"/>
        <v>!import-table-item --Tools --Painter's Supplies --4</v>
      </c>
    </row>
    <row r="21" spans="1:111" x14ac:dyDescent="0.25">
      <c r="A21" s="26" t="s">
        <v>1786</v>
      </c>
      <c r="C21" s="6"/>
      <c r="E21" s="9"/>
      <c r="H21" s="6"/>
      <c r="J21" s="9"/>
      <c r="M21" s="6"/>
      <c r="O21" s="9"/>
      <c r="R21" s="6"/>
      <c r="T21" s="9"/>
      <c r="W21" s="6"/>
      <c r="Y21" s="9"/>
      <c r="AB21" s="6"/>
      <c r="AD21" s="9"/>
      <c r="AG21" s="6"/>
      <c r="AH21" s="6"/>
      <c r="AI21" s="9"/>
      <c r="AL21" s="6"/>
      <c r="AN21" s="9"/>
      <c r="AQ21" s="6"/>
      <c r="AS21" s="9"/>
      <c r="AV21" s="6"/>
      <c r="AX21" s="9"/>
      <c r="BA21" s="6"/>
      <c r="BC21" s="9"/>
      <c r="BF21" s="6"/>
      <c r="BH21" s="9"/>
      <c r="BK21" s="6"/>
      <c r="BM21" s="9"/>
      <c r="BP21" s="6"/>
      <c r="BR21" s="9"/>
      <c r="BU21" s="6"/>
      <c r="BW21" s="9"/>
      <c r="BZ21" s="6"/>
      <c r="CE21" s="6"/>
      <c r="CG21" s="10"/>
      <c r="CJ21" s="6"/>
      <c r="CQ21" s="10"/>
      <c r="CV21" s="10"/>
      <c r="CY21" s="6"/>
      <c r="DA21" s="9"/>
      <c r="DC21" s="11" t="s">
        <v>2001</v>
      </c>
      <c r="DE21" s="6">
        <v>4</v>
      </c>
      <c r="DF21" s="9" t="str">
        <f>IF(DE21=0,"-",IF(DE21=1,SUM(DE$1:DE20)+1,SUM(DE$1:DE20)+1 &amp; "-" &amp; SUM(DE$1:DE21)))</f>
        <v>85-88</v>
      </c>
      <c r="DG21" s="15" t="str">
        <f t="shared" si="6"/>
        <v>!import-table-item --Tools --Potter's Tools --4</v>
      </c>
    </row>
    <row r="22" spans="1:111" x14ac:dyDescent="0.25">
      <c r="A22" s="26" t="s">
        <v>1783</v>
      </c>
      <c r="C22" s="6"/>
      <c r="E22" s="9"/>
      <c r="H22" s="6"/>
      <c r="J22" s="9"/>
      <c r="M22" s="6"/>
      <c r="O22" s="9"/>
      <c r="R22" s="6"/>
      <c r="T22" s="9"/>
      <c r="W22" s="6"/>
      <c r="Y22" s="9"/>
      <c r="AB22" s="6"/>
      <c r="AD22" s="9"/>
      <c r="AG22" s="6"/>
      <c r="AH22" s="6"/>
      <c r="AI22" s="9"/>
      <c r="AL22" s="6"/>
      <c r="AN22" s="9"/>
      <c r="AQ22" s="6"/>
      <c r="AS22" s="9"/>
      <c r="AV22" s="6"/>
      <c r="AX22" s="9"/>
      <c r="BA22" s="6"/>
      <c r="BC22" s="9"/>
      <c r="BF22" s="6"/>
      <c r="BH22" s="9"/>
      <c r="BK22" s="6"/>
      <c r="BM22" s="9"/>
      <c r="BP22" s="6"/>
      <c r="BR22" s="9"/>
      <c r="BU22" s="6"/>
      <c r="BW22" s="9"/>
      <c r="BZ22" s="6"/>
      <c r="CE22" s="6"/>
      <c r="CG22" s="10"/>
      <c r="CJ22" s="6"/>
      <c r="CQ22" s="10"/>
      <c r="CV22" s="10"/>
      <c r="CY22" s="6"/>
      <c r="DA22" s="9"/>
      <c r="DC22" s="11" t="s">
        <v>1999</v>
      </c>
      <c r="DE22" s="6">
        <v>4</v>
      </c>
      <c r="DF22" s="9" t="str">
        <f>IF(DE22=0,"-",IF(DE22=1,SUM(DE$1:DE21)+1,SUM(DE$1:DE21)+1 &amp; "-" &amp; SUM(DE$1:DE22)))</f>
        <v>89-92</v>
      </c>
      <c r="DG22" s="15" t="str">
        <f t="shared" si="6"/>
        <v>!import-table-item --Tools --Tinker's Tools --4</v>
      </c>
    </row>
    <row r="23" spans="1:111" x14ac:dyDescent="0.25">
      <c r="C23" s="6"/>
      <c r="E23" s="9"/>
      <c r="H23" s="6"/>
      <c r="J23" s="9"/>
      <c r="M23" s="6"/>
      <c r="O23" s="9"/>
      <c r="R23" s="6"/>
      <c r="T23" s="9"/>
      <c r="W23" s="6"/>
      <c r="Y23" s="9"/>
      <c r="AB23" s="6"/>
      <c r="AD23" s="9"/>
      <c r="AG23" s="6"/>
      <c r="AH23" s="6"/>
      <c r="AI23" s="9"/>
      <c r="AL23" s="6"/>
      <c r="AN23" s="9"/>
      <c r="AQ23" s="6"/>
      <c r="AS23" s="9"/>
      <c r="AV23" s="6"/>
      <c r="AX23" s="9"/>
      <c r="BA23" s="6"/>
      <c r="BC23" s="9"/>
      <c r="BF23" s="6"/>
      <c r="BH23" s="9"/>
      <c r="BK23" s="6"/>
      <c r="BM23" s="9"/>
      <c r="BP23" s="6"/>
      <c r="BR23" s="9"/>
      <c r="BU23" s="6"/>
      <c r="BW23" s="9"/>
      <c r="BZ23" s="6"/>
      <c r="CE23" s="6"/>
      <c r="CG23" s="10"/>
      <c r="CJ23" s="6"/>
      <c r="CQ23" s="10"/>
      <c r="CV23" s="10"/>
      <c r="CY23" s="6"/>
      <c r="DA23" s="9"/>
      <c r="DC23" s="11" t="s">
        <v>1998</v>
      </c>
      <c r="DE23" s="6">
        <v>4</v>
      </c>
      <c r="DF23" s="9" t="str">
        <f>IF(DE23=0,"-",IF(DE23=1,SUM(DE$1:DE22)+1,SUM(DE$1:DE22)+1 &amp; "-" &amp; SUM(DE$1:DE23)))</f>
        <v>93-96</v>
      </c>
      <c r="DG23" s="15" t="str">
        <f t="shared" si="6"/>
        <v>!import-table-item --Tools --Weaver's Tools --4</v>
      </c>
    </row>
    <row r="24" spans="1:111" x14ac:dyDescent="0.25">
      <c r="C24" s="6"/>
      <c r="E24" s="9"/>
      <c r="H24" s="6"/>
      <c r="J24" s="9"/>
      <c r="M24" s="6"/>
      <c r="O24" s="9"/>
      <c r="R24" s="6"/>
      <c r="T24" s="9"/>
      <c r="W24" s="6"/>
      <c r="Y24" s="9"/>
      <c r="AB24" s="6"/>
      <c r="AD24" s="9"/>
      <c r="AG24" s="6"/>
      <c r="AI24" s="9"/>
      <c r="AL24" s="6"/>
      <c r="AN24" s="9"/>
      <c r="AQ24" s="6"/>
      <c r="AS24" s="9"/>
      <c r="AV24" s="6"/>
      <c r="AX24" s="9"/>
      <c r="BA24" s="6"/>
      <c r="BC24" s="9"/>
      <c r="BF24" s="6"/>
      <c r="BH24" s="9"/>
      <c r="BK24" s="6"/>
      <c r="BM24" s="9"/>
      <c r="BP24" s="6"/>
      <c r="BR24" s="9"/>
      <c r="BU24" s="6"/>
      <c r="BW24" s="9"/>
      <c r="BZ24" s="6"/>
      <c r="CE24" s="6"/>
      <c r="CG24" s="10"/>
      <c r="CJ24" s="6"/>
      <c r="CQ24" s="10"/>
      <c r="CV24" s="10"/>
      <c r="CY24" s="6"/>
      <c r="DA24" s="9"/>
      <c r="DC24" s="11" t="s">
        <v>1997</v>
      </c>
      <c r="DE24" s="6">
        <v>4</v>
      </c>
      <c r="DF24" s="9" t="str">
        <f>IF(DE24=0,"-",IF(DE24=1,SUM(DE$1:DE23)+1,SUM(DE$1:DE23)+1 &amp; "-" &amp; SUM(DE$1:DE24)))</f>
        <v>97-100</v>
      </c>
      <c r="DG24" s="15" t="str">
        <f t="shared" si="6"/>
        <v>!import-table-item --Tools --Woodcarver's Tools --4</v>
      </c>
    </row>
    <row r="25" spans="1:111" x14ac:dyDescent="0.25">
      <c r="C25" s="6"/>
      <c r="E25" s="9"/>
      <c r="H25" s="6"/>
      <c r="J25" s="9"/>
      <c r="M25" s="6"/>
      <c r="O25" s="9"/>
      <c r="R25" s="6"/>
      <c r="T25" s="9"/>
      <c r="W25" s="6"/>
      <c r="Y25" s="9"/>
      <c r="AB25" s="6"/>
      <c r="AD25" s="9"/>
      <c r="AG25" s="6"/>
      <c r="AI25" s="9"/>
      <c r="AL25" s="6"/>
      <c r="AN25" s="9"/>
      <c r="AQ25" s="6"/>
      <c r="AS25" s="9"/>
      <c r="AV25" s="6"/>
      <c r="AX25" s="9"/>
      <c r="BA25" s="6"/>
      <c r="BC25" s="9"/>
      <c r="BF25" s="6"/>
      <c r="BH25" s="9"/>
      <c r="BK25" s="6"/>
      <c r="BM25" s="9"/>
      <c r="BP25" s="6"/>
      <c r="BR25" s="9"/>
      <c r="BU25" s="6"/>
      <c r="BW25" s="9"/>
      <c r="BZ25" s="6"/>
      <c r="CE25" s="6"/>
      <c r="CG25" s="10"/>
      <c r="CJ25" s="6"/>
      <c r="CQ25" s="10"/>
      <c r="CV25" s="10"/>
      <c r="CY25" s="6"/>
      <c r="DA25" s="9"/>
      <c r="DF25" s="9"/>
    </row>
    <row r="26" spans="1:111" x14ac:dyDescent="0.25">
      <c r="C26" s="6"/>
      <c r="E26" s="9"/>
      <c r="H26" s="6"/>
      <c r="J26" s="9"/>
      <c r="M26" s="6"/>
      <c r="O26" s="9"/>
      <c r="R26" s="6"/>
      <c r="T26" s="9"/>
      <c r="W26" s="6"/>
      <c r="Y26" s="9"/>
      <c r="AB26" s="6"/>
      <c r="AD26" s="9"/>
      <c r="AG26" s="6"/>
      <c r="AI26" s="9"/>
      <c r="AL26" s="6"/>
      <c r="AN26" s="9"/>
      <c r="AQ26" s="6"/>
      <c r="AS26" s="9"/>
      <c r="AV26" s="6"/>
      <c r="AX26" s="9"/>
      <c r="BA26" s="6"/>
      <c r="BC26" s="9"/>
      <c r="BF26" s="6"/>
      <c r="BH26" s="9"/>
      <c r="BK26" s="6"/>
      <c r="BM26" s="9"/>
      <c r="BP26" s="6"/>
      <c r="BR26" s="9"/>
      <c r="BU26" s="6"/>
      <c r="BW26" s="9"/>
      <c r="BZ26" s="6"/>
      <c r="CE26" s="6"/>
      <c r="CG26" s="10"/>
      <c r="CJ26" s="6"/>
      <c r="CQ26" s="10"/>
      <c r="CV26" s="10"/>
      <c r="CY26" s="6"/>
      <c r="DA26" s="9"/>
      <c r="DF26" s="9"/>
    </row>
    <row r="27" spans="1:111" x14ac:dyDescent="0.25">
      <c r="C27" s="6"/>
      <c r="E27" s="9"/>
      <c r="H27" s="6"/>
      <c r="J27" s="9"/>
      <c r="M27" s="6"/>
      <c r="O27" s="9"/>
      <c r="R27" s="6"/>
      <c r="T27" s="9"/>
      <c r="W27" s="6"/>
      <c r="Y27" s="9"/>
      <c r="AB27" s="6"/>
      <c r="AD27" s="9"/>
      <c r="AG27" s="6"/>
      <c r="AI27" s="9"/>
      <c r="AL27" s="6"/>
      <c r="AN27" s="9"/>
      <c r="AQ27" s="6"/>
      <c r="AS27" s="9"/>
      <c r="AV27" s="6"/>
      <c r="AX27" s="9"/>
      <c r="BA27" s="6"/>
      <c r="BC27" s="9"/>
      <c r="BF27" s="6"/>
      <c r="BH27" s="9"/>
      <c r="BK27" s="6"/>
      <c r="BM27" s="9"/>
      <c r="BP27" s="6"/>
      <c r="BR27" s="9"/>
      <c r="BU27" s="6"/>
      <c r="BW27" s="9"/>
      <c r="BZ27" s="6"/>
      <c r="CE27" s="6"/>
      <c r="CJ27" s="6"/>
      <c r="CY27" s="6"/>
      <c r="DA27" s="9"/>
      <c r="DF27" s="9"/>
    </row>
    <row r="28" spans="1:111" x14ac:dyDescent="0.25">
      <c r="C28" s="6"/>
      <c r="E28" s="9"/>
      <c r="H28" s="6"/>
      <c r="J28" s="9"/>
      <c r="M28" s="6"/>
      <c r="O28" s="9"/>
      <c r="R28" s="6"/>
      <c r="T28" s="9"/>
      <c r="W28" s="6"/>
      <c r="Y28" s="9"/>
      <c r="AB28" s="6"/>
      <c r="AD28" s="9"/>
      <c r="AG28" s="6"/>
      <c r="AI28" s="9"/>
      <c r="AL28" s="6"/>
      <c r="AN28" s="9"/>
      <c r="AQ28" s="6"/>
      <c r="AS28" s="9"/>
      <c r="AV28" s="6"/>
      <c r="AX28" s="9"/>
      <c r="BA28" s="6"/>
      <c r="BC28" s="9"/>
      <c r="BF28" s="6"/>
      <c r="BH28" s="9"/>
      <c r="BK28" s="6"/>
      <c r="BM28" s="9"/>
      <c r="BP28" s="6"/>
      <c r="BR28" s="9"/>
      <c r="BU28" s="6"/>
      <c r="BW28" s="9"/>
      <c r="BZ28" s="6"/>
      <c r="CE28" s="6"/>
      <c r="CJ28" s="6"/>
      <c r="CY28" s="6"/>
      <c r="DA28" s="9"/>
      <c r="DF28" s="9"/>
    </row>
    <row r="29" spans="1:111" x14ac:dyDescent="0.25">
      <c r="C29" s="6"/>
      <c r="E29" s="9"/>
      <c r="H29" s="6"/>
      <c r="J29" s="9"/>
      <c r="M29" s="6"/>
      <c r="O29" s="9"/>
      <c r="R29" s="6"/>
      <c r="T29" s="9"/>
      <c r="W29" s="6"/>
      <c r="Y29" s="9"/>
      <c r="AB29" s="6"/>
      <c r="AD29" s="9"/>
      <c r="AG29" s="6"/>
      <c r="AI29" s="9"/>
      <c r="AL29" s="6"/>
      <c r="AN29" s="9"/>
      <c r="AQ29" s="6"/>
      <c r="AS29" s="9"/>
      <c r="AV29" s="6"/>
      <c r="AX29" s="9"/>
      <c r="BA29" s="6"/>
      <c r="BC29" s="9"/>
      <c r="BF29" s="6"/>
      <c r="BH29" s="9"/>
      <c r="BK29" s="6"/>
      <c r="BM29" s="9"/>
      <c r="BP29" s="6"/>
      <c r="BR29" s="9"/>
      <c r="BU29" s="6"/>
      <c r="BW29" s="9"/>
      <c r="BZ29" s="6"/>
      <c r="CE29" s="6"/>
      <c r="CJ29" s="6"/>
      <c r="CY29" s="6"/>
      <c r="DA29" s="9"/>
      <c r="DF29" s="9"/>
    </row>
    <row r="30" spans="1:111" x14ac:dyDescent="0.25">
      <c r="C30" s="6"/>
      <c r="E30" s="9"/>
      <c r="H30" s="6"/>
      <c r="J30" s="9"/>
      <c r="M30" s="6"/>
      <c r="O30" s="9"/>
      <c r="R30" s="6"/>
      <c r="T30" s="9"/>
      <c r="W30" s="6"/>
      <c r="Y30" s="9"/>
      <c r="AB30" s="6"/>
      <c r="AD30" s="9"/>
      <c r="AG30" s="6"/>
      <c r="AI30" s="9"/>
      <c r="AL30" s="6"/>
      <c r="AN30" s="9"/>
      <c r="AQ30" s="6"/>
      <c r="AS30" s="9"/>
      <c r="AV30" s="6"/>
      <c r="AX30" s="9"/>
      <c r="BA30" s="6"/>
      <c r="BC30" s="9"/>
      <c r="BF30" s="6"/>
      <c r="BH30" s="9"/>
      <c r="BK30" s="6"/>
      <c r="BM30" s="9"/>
      <c r="BP30" s="6"/>
      <c r="BR30" s="9"/>
      <c r="BU30" s="6"/>
      <c r="BW30" s="9"/>
      <c r="BZ30" s="6"/>
      <c r="CE30" s="6"/>
      <c r="CJ30" s="6"/>
      <c r="CY30" s="6"/>
      <c r="DA30" s="9"/>
      <c r="DF30" s="9"/>
    </row>
    <row r="31" spans="1:111" x14ac:dyDescent="0.25">
      <c r="C31" s="6"/>
      <c r="E31" s="9"/>
      <c r="H31" s="6"/>
      <c r="J31" s="9"/>
      <c r="M31" s="6"/>
      <c r="O31" s="9"/>
      <c r="R31" s="6"/>
      <c r="T31" s="9"/>
      <c r="W31" s="6"/>
      <c r="Y31" s="9"/>
      <c r="AB31" s="6"/>
      <c r="AD31" s="9"/>
      <c r="AG31" s="6"/>
      <c r="AI31" s="9"/>
      <c r="AL31" s="6"/>
      <c r="AN31" s="9"/>
      <c r="AQ31" s="6"/>
      <c r="AS31" s="9"/>
      <c r="AV31" s="6"/>
      <c r="AX31" s="9"/>
      <c r="BA31" s="6"/>
      <c r="BC31" s="9"/>
      <c r="BF31" s="6"/>
      <c r="BH31" s="9"/>
      <c r="BK31" s="6"/>
      <c r="BM31" s="9"/>
      <c r="BP31" s="6"/>
      <c r="BR31" s="9"/>
      <c r="BU31" s="6"/>
      <c r="BW31" s="9"/>
      <c r="BZ31" s="6"/>
      <c r="CE31" s="6"/>
      <c r="CJ31" s="6"/>
      <c r="CY31" s="6"/>
      <c r="DA31" s="9"/>
      <c r="DF31" s="9"/>
    </row>
    <row r="32" spans="1:111" x14ac:dyDescent="0.25">
      <c r="C32" s="6"/>
      <c r="E32" s="9"/>
      <c r="H32" s="6"/>
      <c r="J32" s="9"/>
      <c r="M32" s="6"/>
      <c r="O32" s="9"/>
      <c r="R32" s="6"/>
      <c r="T32" s="9"/>
      <c r="W32" s="6"/>
      <c r="Y32" s="9"/>
      <c r="AB32" s="6"/>
      <c r="AD32" s="9"/>
      <c r="AG32" s="6"/>
      <c r="AI32" s="9"/>
      <c r="AL32" s="6"/>
      <c r="AN32" s="9"/>
      <c r="AQ32" s="6"/>
      <c r="AS32" s="9"/>
      <c r="AV32" s="6"/>
      <c r="AX32" s="9"/>
      <c r="BA32" s="6"/>
      <c r="BC32" s="9"/>
      <c r="BF32" s="6"/>
      <c r="BH32" s="9"/>
      <c r="BK32" s="6"/>
      <c r="BM32" s="9"/>
      <c r="BP32" s="6"/>
      <c r="BR32" s="9"/>
      <c r="BU32" s="6"/>
      <c r="BW32" s="9"/>
      <c r="BZ32" s="6"/>
      <c r="CE32" s="6"/>
      <c r="CJ32" s="6"/>
      <c r="CY32" s="6"/>
      <c r="DA32" s="9"/>
    </row>
    <row r="33" spans="3:105" x14ac:dyDescent="0.25">
      <c r="C33" s="6"/>
      <c r="E33" s="9"/>
      <c r="H33" s="6"/>
      <c r="J33" s="9"/>
      <c r="M33" s="6"/>
      <c r="O33" s="9"/>
      <c r="R33" s="6"/>
      <c r="T33" s="9"/>
      <c r="W33" s="6"/>
      <c r="Y33" s="9"/>
      <c r="AB33" s="6"/>
      <c r="AD33" s="9"/>
      <c r="AG33" s="6"/>
      <c r="AI33" s="9"/>
      <c r="AL33" s="6"/>
      <c r="AN33" s="9"/>
      <c r="AQ33" s="6"/>
      <c r="AS33" s="9"/>
      <c r="AV33" s="6"/>
      <c r="AX33" s="9"/>
      <c r="BA33" s="6"/>
      <c r="BC33" s="9"/>
      <c r="BF33" s="6"/>
      <c r="BH33" s="9"/>
      <c r="BK33" s="6"/>
      <c r="BM33" s="9"/>
      <c r="BP33" s="6"/>
      <c r="BR33" s="9"/>
      <c r="BU33" s="6"/>
      <c r="BW33" s="9"/>
      <c r="BZ33" s="6"/>
      <c r="CE33" s="6"/>
      <c r="CJ33" s="6"/>
      <c r="CY33" s="6"/>
      <c r="DA33" s="9"/>
    </row>
    <row r="34" spans="3:105" x14ac:dyDescent="0.25">
      <c r="C34" s="6"/>
      <c r="E34" s="9"/>
      <c r="H34" s="6"/>
      <c r="J34" s="9"/>
      <c r="M34" s="6"/>
      <c r="O34" s="9"/>
      <c r="R34" s="6"/>
      <c r="T34" s="9"/>
      <c r="W34" s="6"/>
      <c r="Y34" s="9"/>
      <c r="AB34" s="6"/>
      <c r="AD34" s="9"/>
      <c r="AG34" s="6"/>
      <c r="AI34" s="9"/>
      <c r="AL34" s="6"/>
      <c r="AN34" s="9"/>
      <c r="AQ34" s="6"/>
      <c r="AS34" s="9"/>
      <c r="AV34" s="6"/>
      <c r="AX34" s="9"/>
      <c r="BA34" s="6"/>
      <c r="BC34" s="9"/>
      <c r="BF34" s="6"/>
      <c r="BH34" s="9"/>
      <c r="BK34" s="6"/>
      <c r="BM34" s="9"/>
      <c r="BP34" s="6"/>
      <c r="BR34" s="9"/>
      <c r="BU34" s="6"/>
      <c r="BW34" s="9"/>
      <c r="BZ34" s="6"/>
      <c r="CE34" s="6"/>
      <c r="CJ34" s="6"/>
      <c r="CY34" s="6"/>
      <c r="DA34" s="9"/>
    </row>
    <row r="35" spans="3:105" x14ac:dyDescent="0.25">
      <c r="C35" s="6"/>
      <c r="E35" s="9"/>
      <c r="H35" s="6"/>
      <c r="J35" s="9"/>
      <c r="M35" s="6"/>
      <c r="O35" s="9"/>
      <c r="R35" s="6"/>
      <c r="T35" s="9"/>
      <c r="W35" s="6"/>
      <c r="Y35" s="9"/>
      <c r="AB35" s="6"/>
      <c r="AD35" s="9"/>
      <c r="AG35" s="6"/>
      <c r="AI35" s="9"/>
      <c r="AL35" s="6"/>
      <c r="AN35" s="9"/>
      <c r="AQ35" s="6"/>
      <c r="AS35" s="9"/>
      <c r="AV35" s="6"/>
      <c r="AX35" s="9"/>
      <c r="BA35" s="6"/>
      <c r="BC35" s="9"/>
      <c r="BF35" s="6"/>
      <c r="BH35" s="9"/>
      <c r="BK35" s="6"/>
      <c r="BM35" s="9"/>
      <c r="BP35" s="6"/>
      <c r="BR35" s="9"/>
      <c r="BU35" s="6"/>
      <c r="BW35" s="9"/>
      <c r="BZ35" s="6"/>
      <c r="CE35" s="6"/>
      <c r="CJ35" s="6"/>
      <c r="CY35" s="6"/>
      <c r="DA35" s="9"/>
    </row>
    <row r="36" spans="3:105" x14ac:dyDescent="0.25">
      <c r="C36" s="6"/>
      <c r="E36" s="9"/>
      <c r="H36" s="6"/>
      <c r="J36" s="9"/>
      <c r="M36" s="6"/>
      <c r="O36" s="9"/>
      <c r="R36" s="6"/>
      <c r="T36" s="9"/>
      <c r="W36" s="6"/>
      <c r="Y36" s="9"/>
      <c r="AB36" s="6"/>
      <c r="AD36" s="9"/>
      <c r="AG36" s="6"/>
      <c r="AI36" s="9"/>
      <c r="AL36" s="6"/>
      <c r="AN36" s="9"/>
      <c r="AQ36" s="6"/>
      <c r="AS36" s="9"/>
      <c r="AV36" s="6"/>
      <c r="AX36" s="9"/>
      <c r="BA36" s="6"/>
      <c r="BC36" s="9"/>
      <c r="BF36" s="6"/>
      <c r="BH36" s="9"/>
      <c r="BK36" s="6"/>
      <c r="BM36" s="9"/>
      <c r="BP36" s="6"/>
      <c r="BR36" s="9"/>
      <c r="BU36" s="6"/>
      <c r="BW36" s="9"/>
      <c r="BZ36" s="6"/>
      <c r="CE36" s="6"/>
      <c r="CJ36" s="6"/>
      <c r="CY36" s="6"/>
      <c r="DA36" s="9"/>
    </row>
    <row r="37" spans="3:105" x14ac:dyDescent="0.25">
      <c r="C37" s="6"/>
      <c r="E37" s="9"/>
      <c r="H37" s="6"/>
      <c r="J37" s="9"/>
      <c r="M37" s="6"/>
      <c r="O37" s="9"/>
      <c r="R37" s="6"/>
      <c r="T37" s="9"/>
      <c r="W37" s="6"/>
      <c r="Y37" s="9"/>
      <c r="AB37" s="6"/>
      <c r="AD37" s="9"/>
      <c r="AG37" s="6"/>
      <c r="AI37" s="9"/>
      <c r="AL37" s="6"/>
      <c r="AN37" s="9"/>
      <c r="AQ37" s="6"/>
      <c r="AS37" s="9"/>
      <c r="AV37" s="6"/>
      <c r="AX37" s="9"/>
      <c r="BA37" s="6"/>
      <c r="BC37" s="9"/>
      <c r="BF37" s="6"/>
      <c r="BH37" s="9"/>
      <c r="BK37" s="6"/>
      <c r="BM37" s="9"/>
      <c r="BP37" s="6"/>
      <c r="BR37" s="9"/>
      <c r="BU37" s="6"/>
      <c r="BW37" s="9"/>
      <c r="BZ37" s="6"/>
      <c r="CE37" s="6"/>
      <c r="CJ37" s="6"/>
      <c r="CY37" s="6"/>
      <c r="DA37" s="9"/>
    </row>
    <row r="38" spans="3:105" x14ac:dyDescent="0.25">
      <c r="C38" s="6"/>
      <c r="E38" s="9"/>
      <c r="H38" s="6"/>
      <c r="J38" s="9"/>
      <c r="M38" s="6"/>
      <c r="O38" s="9"/>
      <c r="R38" s="6"/>
      <c r="T38" s="9"/>
      <c r="W38" s="6"/>
      <c r="Y38" s="9"/>
      <c r="AB38" s="6"/>
      <c r="AD38" s="9"/>
      <c r="AG38" s="6"/>
      <c r="AI38" s="9"/>
      <c r="AL38" s="6"/>
      <c r="AN38" s="9"/>
      <c r="AQ38" s="6"/>
      <c r="AS38" s="9"/>
      <c r="AV38" s="6"/>
      <c r="AX38" s="9"/>
      <c r="BA38" s="6"/>
      <c r="BC38" s="9"/>
      <c r="BF38" s="6"/>
      <c r="BH38" s="9"/>
      <c r="BK38" s="6"/>
      <c r="BM38" s="9"/>
      <c r="BP38" s="6"/>
      <c r="BR38" s="9"/>
      <c r="BU38" s="6"/>
      <c r="BW38" s="9"/>
      <c r="BZ38" s="6"/>
      <c r="CE38" s="6"/>
      <c r="CJ38" s="6"/>
      <c r="CY38" s="6"/>
      <c r="DA38" s="9"/>
    </row>
    <row r="39" spans="3:105" x14ac:dyDescent="0.25">
      <c r="C39" s="6"/>
      <c r="E39" s="9"/>
      <c r="H39" s="6"/>
      <c r="J39" s="9"/>
      <c r="M39" s="6"/>
      <c r="O39" s="9"/>
      <c r="R39" s="6"/>
      <c r="T39" s="9"/>
      <c r="W39" s="6"/>
      <c r="Y39" s="9"/>
      <c r="AB39" s="6"/>
      <c r="AD39" s="9"/>
      <c r="AG39" s="6"/>
      <c r="AI39" s="9"/>
      <c r="AL39" s="6"/>
      <c r="AN39" s="9"/>
      <c r="AQ39" s="6"/>
      <c r="AS39" s="9"/>
      <c r="AV39" s="6"/>
      <c r="AX39" s="9"/>
      <c r="BA39" s="6"/>
      <c r="BC39" s="9"/>
      <c r="BF39" s="6"/>
      <c r="BH39" s="9"/>
      <c r="BK39" s="6"/>
      <c r="BM39" s="9"/>
      <c r="BP39" s="6"/>
      <c r="BR39" s="9"/>
      <c r="BU39" s="6"/>
      <c r="BW39" s="9"/>
      <c r="BZ39" s="6"/>
      <c r="CE39" s="6"/>
      <c r="CJ39" s="6"/>
      <c r="CY39" s="6"/>
      <c r="DA39" s="9"/>
    </row>
    <row r="40" spans="3:105" x14ac:dyDescent="0.25">
      <c r="C40" s="6"/>
      <c r="E40" s="9"/>
      <c r="H40" s="6"/>
      <c r="J40" s="9"/>
      <c r="M40" s="6"/>
      <c r="O40" s="9"/>
      <c r="R40" s="6"/>
      <c r="T40" s="9"/>
      <c r="W40" s="6"/>
      <c r="Y40" s="9"/>
      <c r="AB40" s="6"/>
      <c r="AD40" s="9"/>
      <c r="AG40" s="6"/>
      <c r="AI40" s="9"/>
      <c r="AL40" s="6"/>
      <c r="AN40" s="9"/>
      <c r="AQ40" s="6"/>
      <c r="AS40" s="9"/>
      <c r="AV40" s="6"/>
      <c r="AX40" s="9"/>
      <c r="BA40" s="6"/>
      <c r="BC40" s="9"/>
      <c r="BF40" s="6"/>
      <c r="BH40" s="9"/>
      <c r="BK40" s="6"/>
      <c r="BM40" s="9"/>
      <c r="BP40" s="6"/>
      <c r="BR40" s="9"/>
      <c r="BU40" s="6"/>
      <c r="BW40" s="9"/>
      <c r="BZ40" s="6"/>
      <c r="CE40" s="6"/>
      <c r="CJ40" s="6"/>
      <c r="CY40" s="6"/>
      <c r="DA40" s="9"/>
    </row>
    <row r="41" spans="3:105" x14ac:dyDescent="0.25">
      <c r="C41" s="6"/>
      <c r="E41" s="9"/>
      <c r="H41" s="6"/>
      <c r="J41" s="9"/>
      <c r="M41" s="6"/>
      <c r="O41" s="9"/>
      <c r="R41" s="6"/>
      <c r="T41" s="9"/>
      <c r="W41" s="6"/>
      <c r="Y41" s="9"/>
      <c r="AB41" s="6"/>
      <c r="AD41" s="9"/>
      <c r="AG41" s="6"/>
      <c r="AI41" s="9"/>
      <c r="AL41" s="6"/>
      <c r="AN41" s="9"/>
      <c r="AQ41" s="6"/>
      <c r="AS41" s="9"/>
      <c r="AV41" s="6"/>
      <c r="AX41" s="9"/>
      <c r="BA41" s="6"/>
      <c r="BC41" s="9"/>
      <c r="BF41" s="6"/>
      <c r="BH41" s="9"/>
      <c r="BK41" s="6"/>
      <c r="BM41" s="9"/>
      <c r="BP41" s="6"/>
      <c r="BR41" s="9"/>
      <c r="BU41" s="6"/>
      <c r="BW41" s="9"/>
      <c r="BZ41" s="6"/>
      <c r="CE41" s="6"/>
      <c r="CJ41" s="6"/>
      <c r="CY41" s="6"/>
      <c r="DA41" s="9"/>
    </row>
    <row r="42" spans="3:105" x14ac:dyDescent="0.25">
      <c r="C42" s="6"/>
      <c r="E42" s="9"/>
      <c r="H42" s="6"/>
      <c r="J42" s="9"/>
      <c r="M42" s="6"/>
      <c r="O42" s="9"/>
      <c r="R42" s="6"/>
      <c r="T42" s="9"/>
      <c r="W42" s="6"/>
      <c r="Y42" s="9"/>
      <c r="AB42" s="6"/>
      <c r="AD42" s="9"/>
      <c r="AG42" s="6"/>
      <c r="AI42" s="9"/>
      <c r="AL42" s="6"/>
      <c r="AN42" s="9"/>
      <c r="AQ42" s="6"/>
      <c r="AS42" s="9"/>
      <c r="AV42" s="6"/>
      <c r="AX42" s="9"/>
      <c r="BA42" s="6"/>
      <c r="BC42" s="9"/>
      <c r="BF42" s="6"/>
      <c r="BH42" s="9"/>
      <c r="BK42" s="6"/>
      <c r="BM42" s="9"/>
      <c r="BP42" s="6"/>
      <c r="BR42" s="9"/>
      <c r="BU42" s="6"/>
      <c r="BW42" s="9"/>
      <c r="BZ42" s="6"/>
      <c r="CE42" s="6"/>
      <c r="CJ42" s="6"/>
      <c r="CY42" s="6"/>
      <c r="DA42" s="9"/>
    </row>
    <row r="43" spans="3:105" x14ac:dyDescent="0.25">
      <c r="C43" s="6"/>
      <c r="E43" s="9"/>
      <c r="H43" s="6"/>
      <c r="J43" s="9"/>
      <c r="M43" s="6"/>
      <c r="O43" s="9"/>
      <c r="R43" s="6"/>
      <c r="T43" s="9"/>
      <c r="W43" s="6"/>
      <c r="Y43" s="9"/>
      <c r="AB43" s="6"/>
      <c r="AD43" s="9"/>
      <c r="AG43" s="6"/>
      <c r="AI43" s="9"/>
      <c r="AL43" s="6"/>
      <c r="AN43" s="9"/>
      <c r="AQ43" s="6"/>
      <c r="AS43" s="9"/>
      <c r="AV43" s="6"/>
      <c r="AX43" s="9"/>
      <c r="BA43" s="6"/>
      <c r="BC43" s="9"/>
      <c r="BF43" s="6"/>
      <c r="BH43" s="9"/>
      <c r="BK43" s="6"/>
      <c r="BM43" s="9"/>
      <c r="BP43" s="6"/>
      <c r="BR43" s="9"/>
      <c r="BU43" s="6"/>
      <c r="BW43" s="9"/>
      <c r="BZ43" s="6"/>
      <c r="CE43" s="6"/>
      <c r="CJ43" s="6"/>
      <c r="CY43" s="6"/>
      <c r="DA43" s="9"/>
    </row>
    <row r="44" spans="3:105" x14ac:dyDescent="0.25">
      <c r="C44" s="6"/>
      <c r="E44" s="9"/>
      <c r="H44" s="6"/>
      <c r="J44" s="9"/>
      <c r="M44" s="6"/>
      <c r="O44" s="9"/>
      <c r="R44" s="6"/>
      <c r="T44" s="9"/>
      <c r="W44" s="6"/>
      <c r="Y44" s="9"/>
      <c r="AB44" s="6"/>
      <c r="AD44" s="9"/>
      <c r="AG44" s="6"/>
      <c r="AI44" s="9"/>
      <c r="AL44" s="6"/>
      <c r="AN44" s="9"/>
      <c r="AQ44" s="6"/>
      <c r="AS44" s="9"/>
      <c r="AV44" s="6"/>
      <c r="AX44" s="9"/>
      <c r="BA44" s="6"/>
      <c r="BC44" s="9"/>
      <c r="BF44" s="6"/>
      <c r="BH44" s="9"/>
      <c r="BK44" s="6"/>
      <c r="BM44" s="9"/>
      <c r="BP44" s="6"/>
      <c r="BR44" s="9"/>
      <c r="BU44" s="6"/>
      <c r="BW44" s="9"/>
      <c r="BZ44" s="6"/>
      <c r="CE44" s="6"/>
      <c r="CJ44" s="6"/>
      <c r="CY44" s="6"/>
      <c r="DA44" s="9"/>
    </row>
    <row r="45" spans="3:105" x14ac:dyDescent="0.25">
      <c r="C45" s="6"/>
      <c r="E45" s="9"/>
      <c r="H45" s="6"/>
      <c r="J45" s="9"/>
      <c r="M45" s="6"/>
      <c r="O45" s="9"/>
      <c r="R45" s="6"/>
      <c r="T45" s="9"/>
      <c r="W45" s="6"/>
      <c r="Y45" s="9"/>
      <c r="AB45" s="6"/>
      <c r="AD45" s="9"/>
      <c r="AG45" s="6"/>
      <c r="AI45" s="9"/>
      <c r="AL45" s="6"/>
      <c r="AN45" s="9"/>
      <c r="AQ45" s="6"/>
      <c r="AS45" s="9"/>
      <c r="AV45" s="6"/>
      <c r="AX45" s="9"/>
      <c r="BA45" s="6"/>
      <c r="BC45" s="9"/>
      <c r="BF45" s="6"/>
      <c r="BH45" s="9"/>
      <c r="BK45" s="6"/>
      <c r="BM45" s="9"/>
      <c r="BP45" s="6"/>
      <c r="BR45" s="9"/>
      <c r="BU45" s="6"/>
      <c r="BW45" s="9"/>
      <c r="BZ45" s="6"/>
      <c r="CE45" s="6"/>
      <c r="CJ45" s="6"/>
      <c r="CY45" s="6"/>
      <c r="DA45" s="9"/>
    </row>
    <row r="46" spans="3:105" x14ac:dyDescent="0.25">
      <c r="C46" s="6"/>
      <c r="E46" s="9"/>
      <c r="H46" s="6"/>
      <c r="J46" s="9"/>
      <c r="M46" s="6"/>
      <c r="O46" s="9"/>
      <c r="R46" s="6"/>
      <c r="T46" s="9"/>
      <c r="W46" s="6"/>
      <c r="Y46" s="9"/>
      <c r="AB46" s="6"/>
      <c r="AD46" s="9"/>
      <c r="AG46" s="6"/>
      <c r="AI46" s="9"/>
      <c r="AL46" s="6"/>
      <c r="AN46" s="9"/>
      <c r="AQ46" s="6"/>
      <c r="AS46" s="9"/>
      <c r="AV46" s="6"/>
      <c r="AX46" s="9"/>
      <c r="BA46" s="6"/>
      <c r="BC46" s="9"/>
      <c r="BF46" s="6"/>
      <c r="BH46" s="9"/>
      <c r="BK46" s="6"/>
      <c r="BM46" s="9"/>
      <c r="BP46" s="6"/>
      <c r="BR46" s="9"/>
      <c r="BU46" s="6"/>
      <c r="BW46" s="9"/>
      <c r="BZ46" s="6"/>
      <c r="CE46" s="6"/>
      <c r="CJ46" s="6"/>
      <c r="CY46" s="6"/>
      <c r="DA46" s="9"/>
    </row>
    <row r="47" spans="3:105" x14ac:dyDescent="0.25">
      <c r="C47" s="6"/>
      <c r="E47" s="9"/>
      <c r="H47" s="6"/>
      <c r="J47" s="9"/>
      <c r="M47" s="6"/>
      <c r="O47" s="9"/>
      <c r="R47" s="6"/>
      <c r="T47" s="9"/>
      <c r="W47" s="6"/>
      <c r="Y47" s="9"/>
      <c r="AB47" s="6"/>
      <c r="AD47" s="9"/>
      <c r="AG47" s="6"/>
      <c r="AI47" s="9"/>
      <c r="AL47" s="6"/>
      <c r="AN47" s="9"/>
      <c r="AQ47" s="6"/>
      <c r="AS47" s="9"/>
      <c r="AV47" s="6"/>
      <c r="AX47" s="9"/>
      <c r="BA47" s="6"/>
      <c r="BC47" s="9"/>
      <c r="BF47" s="6"/>
      <c r="BH47" s="9"/>
      <c r="BK47" s="6"/>
      <c r="BM47" s="9"/>
      <c r="BP47" s="6"/>
      <c r="BR47" s="9"/>
      <c r="BU47" s="6"/>
      <c r="BW47" s="9"/>
      <c r="BZ47" s="6"/>
      <c r="CE47" s="6"/>
      <c r="CJ47" s="6"/>
      <c r="CY47" s="6"/>
      <c r="DA47" s="9"/>
    </row>
    <row r="48" spans="3:105" x14ac:dyDescent="0.25">
      <c r="C48" s="6"/>
      <c r="E48" s="9"/>
      <c r="H48" s="6"/>
      <c r="J48" s="9"/>
      <c r="M48" s="6"/>
      <c r="O48" s="9"/>
      <c r="R48" s="6"/>
      <c r="T48" s="9"/>
      <c r="W48" s="6"/>
      <c r="Y48" s="9"/>
      <c r="AB48" s="6"/>
      <c r="AD48" s="9"/>
      <c r="AG48" s="6"/>
      <c r="AI48" s="9"/>
      <c r="AL48" s="6"/>
      <c r="AN48" s="9"/>
      <c r="AQ48" s="6"/>
      <c r="AS48" s="9"/>
      <c r="AV48" s="6"/>
      <c r="AX48" s="9"/>
      <c r="BA48" s="6"/>
      <c r="BC48" s="9"/>
      <c r="BF48" s="6"/>
      <c r="BH48" s="9"/>
      <c r="BK48" s="6"/>
      <c r="BM48" s="9"/>
      <c r="BP48" s="6"/>
      <c r="BR48" s="9"/>
      <c r="BU48" s="6"/>
      <c r="BW48" s="9"/>
      <c r="BZ48" s="6"/>
      <c r="CE48" s="6"/>
      <c r="CJ48" s="6"/>
      <c r="CY48" s="6"/>
      <c r="DA48" s="9"/>
    </row>
    <row r="49" spans="3:105" x14ac:dyDescent="0.25">
      <c r="C49" s="6"/>
      <c r="E49" s="9"/>
      <c r="H49" s="6"/>
      <c r="J49" s="9"/>
      <c r="M49" s="6"/>
      <c r="O49" s="9"/>
      <c r="R49" s="6"/>
      <c r="T49" s="9"/>
      <c r="W49" s="6"/>
      <c r="Y49" s="9"/>
      <c r="AB49" s="6"/>
      <c r="AD49" s="9"/>
      <c r="AG49" s="6"/>
      <c r="AI49" s="9"/>
      <c r="AL49" s="6"/>
      <c r="AN49" s="9"/>
      <c r="AQ49" s="6"/>
      <c r="AS49" s="9"/>
      <c r="AV49" s="6"/>
      <c r="AX49" s="9"/>
      <c r="BA49" s="6"/>
      <c r="BC49" s="9"/>
      <c r="BF49" s="6"/>
      <c r="BH49" s="9"/>
      <c r="BK49" s="6"/>
      <c r="BM49" s="9"/>
      <c r="BP49" s="6"/>
      <c r="BR49" s="9"/>
      <c r="BU49" s="6"/>
      <c r="BW49" s="9"/>
      <c r="BZ49" s="6"/>
      <c r="CE49" s="6"/>
      <c r="CJ49" s="6"/>
      <c r="CY49" s="6"/>
      <c r="DA49" s="9"/>
    </row>
    <row r="50" spans="3:105" x14ac:dyDescent="0.25">
      <c r="C50" s="6"/>
      <c r="E50" s="9"/>
      <c r="H50" s="6"/>
      <c r="J50" s="9"/>
      <c r="M50" s="6"/>
      <c r="O50" s="9"/>
      <c r="R50" s="6"/>
      <c r="T50" s="9"/>
      <c r="W50" s="6"/>
      <c r="Y50" s="9"/>
      <c r="AB50" s="6"/>
      <c r="AD50" s="9"/>
      <c r="AG50" s="6"/>
      <c r="AI50" s="9"/>
      <c r="AL50" s="6"/>
      <c r="AN50" s="9"/>
      <c r="AQ50" s="6"/>
      <c r="AS50" s="9"/>
      <c r="AV50" s="6"/>
      <c r="AX50" s="9"/>
      <c r="BA50" s="6"/>
      <c r="BC50" s="9"/>
      <c r="BF50" s="6"/>
      <c r="BH50" s="9"/>
      <c r="BK50" s="6"/>
      <c r="BM50" s="9"/>
      <c r="BP50" s="6"/>
      <c r="BR50" s="9"/>
      <c r="BU50" s="6"/>
      <c r="BW50" s="9"/>
      <c r="BZ50" s="6"/>
      <c r="CE50" s="6"/>
      <c r="CJ50" s="6"/>
      <c r="CY50" s="6"/>
      <c r="DA50" s="9"/>
    </row>
    <row r="51" spans="3:105" x14ac:dyDescent="0.25">
      <c r="C51" s="6"/>
      <c r="E51" s="9"/>
      <c r="H51" s="6"/>
      <c r="J51" s="9"/>
      <c r="M51" s="6"/>
      <c r="O51" s="9"/>
      <c r="R51" s="6"/>
      <c r="T51" s="9"/>
      <c r="W51" s="6"/>
      <c r="Y51" s="9"/>
      <c r="AB51" s="6"/>
      <c r="AD51" s="9"/>
      <c r="AG51" s="6"/>
      <c r="AI51" s="9"/>
      <c r="AL51" s="6"/>
      <c r="AN51" s="9"/>
      <c r="AQ51" s="6"/>
      <c r="AS51" s="9"/>
      <c r="AV51" s="6"/>
      <c r="AX51" s="9"/>
      <c r="BA51" s="6"/>
      <c r="BC51" s="9"/>
      <c r="BF51" s="6"/>
      <c r="BH51" s="9"/>
      <c r="BK51" s="6"/>
      <c r="BM51" s="9"/>
      <c r="BP51" s="6"/>
      <c r="BR51" s="9"/>
      <c r="BU51" s="6"/>
      <c r="BW51" s="9"/>
      <c r="BZ51" s="6"/>
      <c r="CE51" s="6"/>
      <c r="CJ51" s="6"/>
      <c r="CY51" s="6"/>
      <c r="DA51" s="9"/>
    </row>
    <row r="52" spans="3:105" x14ac:dyDescent="0.25">
      <c r="C52" s="6"/>
      <c r="E52" s="9"/>
      <c r="H52" s="6"/>
      <c r="J52" s="9"/>
      <c r="M52" s="6"/>
      <c r="O52" s="9"/>
      <c r="R52" s="6"/>
      <c r="T52" s="9"/>
      <c r="W52" s="6"/>
      <c r="Y52" s="9"/>
      <c r="AB52" s="6"/>
      <c r="AD52" s="9"/>
      <c r="AG52" s="6"/>
      <c r="AI52" s="9"/>
      <c r="AL52" s="6"/>
      <c r="AN52" s="9"/>
      <c r="AQ52" s="6"/>
      <c r="AS52" s="9"/>
      <c r="AV52" s="6"/>
      <c r="AX52" s="9"/>
      <c r="BA52" s="6"/>
      <c r="BC52" s="9"/>
      <c r="BF52" s="6"/>
      <c r="BH52" s="9"/>
      <c r="BK52" s="6"/>
      <c r="BM52" s="9"/>
      <c r="BP52" s="6"/>
      <c r="BR52" s="9"/>
      <c r="BU52" s="6"/>
      <c r="BW52" s="9"/>
      <c r="BZ52" s="6"/>
      <c r="CE52" s="6"/>
      <c r="CJ52" s="6"/>
      <c r="CY52" s="6"/>
      <c r="DA52" s="9"/>
    </row>
    <row r="53" spans="3:105" x14ac:dyDescent="0.25">
      <c r="C53" s="6"/>
      <c r="E53" s="9"/>
      <c r="H53" s="6"/>
      <c r="J53" s="9"/>
      <c r="M53" s="6"/>
      <c r="O53" s="9"/>
      <c r="R53" s="6"/>
      <c r="T53" s="9"/>
      <c r="W53" s="6"/>
      <c r="Y53" s="9"/>
      <c r="AB53" s="6"/>
      <c r="AD53" s="9"/>
      <c r="AG53" s="6"/>
      <c r="AI53" s="9"/>
      <c r="AL53" s="6"/>
      <c r="AN53" s="9"/>
      <c r="AQ53" s="6"/>
      <c r="AS53" s="9"/>
      <c r="AV53" s="6"/>
      <c r="AX53" s="9"/>
      <c r="BA53" s="6"/>
      <c r="BC53" s="9"/>
      <c r="BF53" s="6"/>
      <c r="BH53" s="9"/>
      <c r="BK53" s="6"/>
      <c r="BM53" s="9"/>
      <c r="BP53" s="6"/>
      <c r="BR53" s="9"/>
      <c r="BU53" s="6"/>
      <c r="BW53" s="9"/>
      <c r="BZ53" s="6"/>
      <c r="CE53" s="6"/>
      <c r="CJ53" s="6"/>
      <c r="CY53" s="6"/>
      <c r="DA53" s="9"/>
    </row>
    <row r="54" spans="3:105" x14ac:dyDescent="0.25">
      <c r="C54" s="6"/>
      <c r="E54" s="9"/>
      <c r="H54" s="6"/>
      <c r="J54" s="9"/>
      <c r="M54" s="6"/>
      <c r="O54" s="9"/>
      <c r="R54" s="6"/>
      <c r="T54" s="9"/>
      <c r="W54" s="6"/>
      <c r="Y54" s="9"/>
      <c r="AB54" s="6"/>
      <c r="AD54" s="9"/>
      <c r="AG54" s="6"/>
      <c r="AI54" s="9"/>
      <c r="AL54" s="6"/>
      <c r="AN54" s="9"/>
      <c r="AQ54" s="6"/>
      <c r="AS54" s="9"/>
      <c r="AV54" s="6"/>
      <c r="AX54" s="9"/>
      <c r="BA54" s="6"/>
      <c r="BC54" s="9"/>
      <c r="BF54" s="6"/>
      <c r="BH54" s="9"/>
      <c r="BK54" s="6"/>
      <c r="BM54" s="9"/>
      <c r="BP54" s="6"/>
      <c r="BR54" s="9"/>
      <c r="BU54" s="6"/>
      <c r="BW54" s="9"/>
      <c r="BZ54" s="6"/>
      <c r="CE54" s="6"/>
      <c r="CJ54" s="6"/>
      <c r="CY54" s="6"/>
      <c r="DA54" s="9"/>
    </row>
    <row r="55" spans="3:105" x14ac:dyDescent="0.25">
      <c r="C55" s="6"/>
      <c r="E55" s="9"/>
      <c r="H55" s="6"/>
      <c r="J55" s="9"/>
      <c r="M55" s="6"/>
      <c r="O55" s="9"/>
      <c r="R55" s="6"/>
      <c r="T55" s="9"/>
      <c r="W55" s="6"/>
      <c r="Y55" s="9"/>
      <c r="AB55" s="6"/>
      <c r="AD55" s="9"/>
      <c r="AG55" s="6"/>
      <c r="AI55" s="9"/>
      <c r="AL55" s="6"/>
      <c r="AN55" s="9"/>
      <c r="AQ55" s="6"/>
      <c r="AS55" s="9"/>
      <c r="AV55" s="6"/>
      <c r="AX55" s="9"/>
      <c r="BA55" s="6"/>
      <c r="BC55" s="9"/>
      <c r="BF55" s="6"/>
      <c r="BH55" s="9"/>
      <c r="BK55" s="6"/>
      <c r="BM55" s="9"/>
      <c r="BP55" s="6"/>
      <c r="BR55" s="9"/>
      <c r="BU55" s="6"/>
      <c r="BW55" s="9"/>
      <c r="BZ55" s="6"/>
      <c r="CE55" s="6"/>
      <c r="CJ55" s="6"/>
      <c r="CY55" s="6"/>
      <c r="DA55" s="9"/>
    </row>
    <row r="56" spans="3:105" x14ac:dyDescent="0.25">
      <c r="C56" s="6"/>
      <c r="E56" s="9"/>
      <c r="H56" s="6"/>
      <c r="J56" s="9"/>
      <c r="M56" s="6"/>
      <c r="O56" s="9"/>
      <c r="R56" s="6"/>
      <c r="T56" s="9"/>
      <c r="W56" s="6"/>
      <c r="Y56" s="9"/>
      <c r="AB56" s="6"/>
      <c r="AD56" s="9"/>
      <c r="AG56" s="6"/>
      <c r="AI56" s="9"/>
      <c r="AL56" s="6"/>
      <c r="AN56" s="9"/>
      <c r="AQ56" s="6"/>
      <c r="AS56" s="9"/>
      <c r="AV56" s="6"/>
      <c r="AX56" s="9"/>
      <c r="BA56" s="6"/>
      <c r="BC56" s="9"/>
      <c r="BF56" s="6"/>
      <c r="BH56" s="9"/>
      <c r="BK56" s="6"/>
      <c r="BM56" s="9"/>
      <c r="BP56" s="6"/>
      <c r="BR56" s="9"/>
      <c r="BU56" s="6"/>
      <c r="BW56" s="9"/>
      <c r="BZ56" s="6"/>
      <c r="CE56" s="6"/>
      <c r="CJ56" s="6"/>
      <c r="CY56" s="6"/>
      <c r="DA56" s="9"/>
    </row>
    <row r="57" spans="3:105" x14ac:dyDescent="0.25">
      <c r="C57" s="6"/>
      <c r="E57" s="9"/>
      <c r="H57" s="6"/>
      <c r="J57" s="9"/>
      <c r="M57" s="6"/>
      <c r="O57" s="9"/>
      <c r="R57" s="6"/>
      <c r="T57" s="9"/>
      <c r="W57" s="6"/>
      <c r="Y57" s="9"/>
      <c r="AB57" s="6"/>
      <c r="AD57" s="9"/>
      <c r="AG57" s="6"/>
      <c r="AI57" s="9"/>
      <c r="AL57" s="6"/>
      <c r="AN57" s="9"/>
      <c r="AQ57" s="6"/>
      <c r="AS57" s="9"/>
      <c r="AV57" s="6"/>
      <c r="AX57" s="9"/>
      <c r="BA57" s="6"/>
      <c r="BC57" s="9"/>
      <c r="BF57" s="6"/>
      <c r="BH57" s="9"/>
      <c r="BK57" s="6"/>
      <c r="BM57" s="9"/>
      <c r="BP57" s="6"/>
      <c r="BR57" s="9"/>
      <c r="BU57" s="6"/>
      <c r="BW57" s="9"/>
      <c r="BZ57" s="6"/>
      <c r="CE57" s="6"/>
      <c r="CJ57" s="6"/>
      <c r="CY57" s="6"/>
      <c r="DA57" s="9"/>
    </row>
    <row r="58" spans="3:105" x14ac:dyDescent="0.25">
      <c r="C58" s="6"/>
      <c r="E58" s="9"/>
      <c r="H58" s="6"/>
      <c r="J58" s="9"/>
      <c r="M58" s="6"/>
      <c r="O58" s="9"/>
      <c r="R58" s="6"/>
      <c r="T58" s="9"/>
      <c r="W58" s="6"/>
      <c r="Y58" s="9"/>
      <c r="AB58" s="6"/>
      <c r="AD58" s="9"/>
      <c r="AG58" s="6"/>
      <c r="AI58" s="9"/>
      <c r="AL58" s="6"/>
      <c r="AN58" s="9"/>
      <c r="AQ58" s="6"/>
      <c r="AS58" s="9"/>
      <c r="AV58" s="6"/>
      <c r="AX58" s="9"/>
      <c r="BA58" s="6"/>
      <c r="BC58" s="9"/>
      <c r="BF58" s="6"/>
      <c r="BH58" s="9"/>
      <c r="BK58" s="6"/>
      <c r="BM58" s="9"/>
      <c r="BP58" s="6"/>
      <c r="BR58" s="9"/>
      <c r="BU58" s="6"/>
      <c r="BW58" s="9"/>
      <c r="BZ58" s="6"/>
      <c r="CE58" s="6"/>
      <c r="CJ58" s="6"/>
      <c r="CY58" s="6"/>
      <c r="DA58" s="9"/>
    </row>
    <row r="59" spans="3:105" x14ac:dyDescent="0.25">
      <c r="C59" s="6"/>
      <c r="E59" s="9"/>
      <c r="H59" s="6"/>
      <c r="J59" s="9"/>
      <c r="M59" s="6"/>
      <c r="O59" s="9"/>
      <c r="R59" s="6"/>
      <c r="T59" s="9"/>
      <c r="W59" s="6"/>
      <c r="Y59" s="9"/>
      <c r="AB59" s="6"/>
      <c r="AD59" s="9"/>
      <c r="AG59" s="6"/>
      <c r="AI59" s="9"/>
      <c r="AL59" s="6"/>
      <c r="AN59" s="9"/>
      <c r="AQ59" s="6"/>
      <c r="AS59" s="9"/>
      <c r="AV59" s="6"/>
      <c r="AX59" s="9"/>
      <c r="BA59" s="6"/>
      <c r="BC59" s="9"/>
      <c r="BF59" s="6"/>
      <c r="BH59" s="9"/>
      <c r="BK59" s="6"/>
      <c r="BM59" s="9"/>
      <c r="BP59" s="6"/>
      <c r="BR59" s="9"/>
      <c r="BU59" s="6"/>
      <c r="BW59" s="9"/>
      <c r="BZ59" s="6"/>
      <c r="CE59" s="6"/>
      <c r="CJ59" s="6"/>
      <c r="CY59" s="6"/>
      <c r="DA59" s="9"/>
    </row>
    <row r="60" spans="3:105" x14ac:dyDescent="0.25">
      <c r="C60" s="6"/>
      <c r="E60" s="9"/>
      <c r="H60" s="6"/>
      <c r="J60" s="9"/>
      <c r="M60" s="6"/>
      <c r="O60" s="9"/>
      <c r="R60" s="6"/>
      <c r="T60" s="9"/>
      <c r="W60" s="6"/>
      <c r="Y60" s="9"/>
      <c r="AB60" s="6"/>
      <c r="AD60" s="9"/>
      <c r="AG60" s="6"/>
      <c r="AI60" s="9"/>
      <c r="AL60" s="6"/>
      <c r="AN60" s="9"/>
      <c r="AQ60" s="6"/>
      <c r="AS60" s="9"/>
      <c r="AV60" s="6"/>
      <c r="AX60" s="9"/>
      <c r="BA60" s="6"/>
      <c r="BC60" s="9"/>
      <c r="BF60" s="6"/>
      <c r="BH60" s="9"/>
      <c r="BK60" s="6"/>
      <c r="BM60" s="9"/>
      <c r="BP60" s="6"/>
      <c r="BR60" s="9"/>
      <c r="BU60" s="6"/>
      <c r="BW60" s="9"/>
      <c r="BZ60" s="6"/>
      <c r="CE60" s="6"/>
      <c r="CJ60" s="6"/>
      <c r="CY60" s="6"/>
      <c r="DA60" s="9"/>
    </row>
    <row r="61" spans="3:105" x14ac:dyDescent="0.25">
      <c r="C61" s="6"/>
      <c r="E61" s="9"/>
      <c r="H61" s="6"/>
      <c r="J61" s="9"/>
      <c r="M61" s="6"/>
      <c r="O61" s="9"/>
      <c r="R61" s="6"/>
      <c r="T61" s="9"/>
      <c r="W61" s="6"/>
      <c r="Y61" s="9"/>
      <c r="AB61" s="6"/>
      <c r="AD61" s="9"/>
      <c r="AG61" s="6"/>
      <c r="AI61" s="9"/>
      <c r="AL61" s="6"/>
      <c r="AN61" s="9"/>
      <c r="AQ61" s="6"/>
      <c r="AS61" s="9"/>
      <c r="AV61" s="6"/>
      <c r="AX61" s="9"/>
      <c r="BA61" s="6"/>
      <c r="BC61" s="9"/>
      <c r="BF61" s="6"/>
      <c r="BH61" s="9"/>
      <c r="BK61" s="6"/>
      <c r="BM61" s="9"/>
      <c r="BP61" s="6"/>
      <c r="BR61" s="9"/>
      <c r="BU61" s="6"/>
      <c r="BW61" s="9"/>
      <c r="BZ61" s="6"/>
      <c r="CE61" s="6"/>
      <c r="CJ61" s="6"/>
      <c r="CY61" s="6"/>
      <c r="DA61" s="9"/>
    </row>
    <row r="62" spans="3:105" x14ac:dyDescent="0.25">
      <c r="C62" s="6"/>
      <c r="E62" s="9"/>
      <c r="H62" s="6"/>
      <c r="J62" s="9"/>
      <c r="M62" s="6"/>
      <c r="O62" s="9"/>
      <c r="R62" s="6"/>
      <c r="T62" s="9"/>
      <c r="W62" s="6"/>
      <c r="Y62" s="9"/>
      <c r="AB62" s="6"/>
      <c r="AD62" s="9"/>
      <c r="AG62" s="6"/>
      <c r="AI62" s="9"/>
      <c r="AL62" s="6"/>
      <c r="AN62" s="9"/>
      <c r="AQ62" s="6"/>
      <c r="AS62" s="9"/>
      <c r="AV62" s="6"/>
      <c r="AX62" s="9"/>
      <c r="BA62" s="6"/>
      <c r="BC62" s="9"/>
      <c r="BF62" s="6"/>
      <c r="BH62" s="9"/>
      <c r="BK62" s="6"/>
      <c r="BM62" s="9"/>
      <c r="BP62" s="6"/>
      <c r="BR62" s="9"/>
      <c r="BU62" s="6"/>
      <c r="BW62" s="9"/>
      <c r="BZ62" s="6"/>
      <c r="CE62" s="6"/>
      <c r="CJ62" s="6"/>
      <c r="CY62" s="6"/>
      <c r="DA62" s="9"/>
    </row>
    <row r="63" spans="3:105" x14ac:dyDescent="0.25">
      <c r="C63" s="6"/>
      <c r="E63" s="9"/>
      <c r="H63" s="6"/>
      <c r="J63" s="9"/>
      <c r="M63" s="6"/>
      <c r="O63" s="9"/>
      <c r="R63" s="6"/>
      <c r="T63" s="9"/>
      <c r="W63" s="6"/>
      <c r="Y63" s="9"/>
      <c r="AB63" s="6"/>
      <c r="AD63" s="9"/>
      <c r="AG63" s="6"/>
      <c r="AI63" s="9"/>
      <c r="AL63" s="6"/>
      <c r="AN63" s="9"/>
      <c r="AQ63" s="6"/>
      <c r="AS63" s="9"/>
      <c r="AV63" s="6"/>
      <c r="AX63" s="9"/>
      <c r="BA63" s="6"/>
      <c r="BC63" s="9"/>
      <c r="BF63" s="6"/>
      <c r="BH63" s="9"/>
      <c r="BK63" s="6"/>
      <c r="BM63" s="9"/>
      <c r="BP63" s="6"/>
      <c r="BR63" s="9"/>
      <c r="BU63" s="6"/>
      <c r="BW63" s="9"/>
      <c r="BZ63" s="6"/>
      <c r="CE63" s="6"/>
      <c r="CJ63" s="6"/>
      <c r="CY63" s="6"/>
      <c r="DA63" s="9"/>
    </row>
    <row r="64" spans="3:105" x14ac:dyDescent="0.25">
      <c r="C64" s="6"/>
      <c r="E64" s="9"/>
      <c r="H64" s="6"/>
      <c r="J64" s="9"/>
      <c r="M64" s="6"/>
      <c r="O64" s="9"/>
      <c r="R64" s="6"/>
      <c r="T64" s="9"/>
      <c r="W64" s="6"/>
      <c r="Y64" s="9"/>
      <c r="AB64" s="6"/>
      <c r="AD64" s="9"/>
      <c r="AG64" s="6"/>
      <c r="AI64" s="9"/>
      <c r="AL64" s="6"/>
      <c r="AN64" s="9"/>
      <c r="AQ64" s="6"/>
      <c r="AS64" s="9"/>
      <c r="AV64" s="6"/>
      <c r="AX64" s="9"/>
      <c r="BA64" s="6"/>
      <c r="BC64" s="9"/>
      <c r="BF64" s="6"/>
      <c r="BH64" s="9"/>
      <c r="BK64" s="6"/>
      <c r="BM64" s="9"/>
      <c r="BP64" s="6"/>
      <c r="BR64" s="9"/>
      <c r="BU64" s="6"/>
      <c r="BW64" s="9"/>
      <c r="BZ64" s="6"/>
      <c r="CE64" s="6"/>
      <c r="CJ64" s="6"/>
      <c r="CY64" s="6"/>
      <c r="DA64" s="9"/>
    </row>
    <row r="65" spans="3:105" x14ac:dyDescent="0.25">
      <c r="C65" s="6"/>
      <c r="E65" s="9"/>
      <c r="H65" s="6"/>
      <c r="J65" s="9"/>
      <c r="M65" s="6"/>
      <c r="O65" s="9"/>
      <c r="R65" s="6"/>
      <c r="T65" s="9"/>
      <c r="W65" s="6"/>
      <c r="Y65" s="9"/>
      <c r="AB65" s="6"/>
      <c r="AD65" s="9"/>
      <c r="AG65" s="6"/>
      <c r="AI65" s="9"/>
      <c r="AL65" s="6"/>
      <c r="AN65" s="9"/>
      <c r="AQ65" s="6"/>
      <c r="AS65" s="9"/>
      <c r="AV65" s="6"/>
      <c r="AX65" s="9"/>
      <c r="BA65" s="6"/>
      <c r="BC65" s="9"/>
      <c r="BF65" s="6"/>
      <c r="BH65" s="9"/>
      <c r="BK65" s="6"/>
      <c r="BM65" s="9"/>
      <c r="BP65" s="6"/>
      <c r="BR65" s="9"/>
      <c r="BU65" s="6"/>
      <c r="BW65" s="9"/>
      <c r="BZ65" s="6"/>
      <c r="CE65" s="6"/>
      <c r="CJ65" s="6"/>
      <c r="CY65" s="6"/>
      <c r="DA65" s="9"/>
    </row>
    <row r="66" spans="3:105" x14ac:dyDescent="0.25">
      <c r="C66" s="6"/>
      <c r="E66" s="9"/>
      <c r="H66" s="6"/>
      <c r="J66" s="9"/>
      <c r="M66" s="6"/>
      <c r="O66" s="9"/>
      <c r="R66" s="6"/>
      <c r="T66" s="9"/>
      <c r="W66" s="6"/>
      <c r="Y66" s="9"/>
      <c r="AB66" s="6"/>
      <c r="AD66" s="9"/>
      <c r="AG66" s="6"/>
      <c r="AI66" s="9"/>
      <c r="AL66" s="6"/>
      <c r="AN66" s="9"/>
      <c r="AQ66" s="6"/>
      <c r="AS66" s="9"/>
      <c r="AV66" s="6"/>
      <c r="AX66" s="9"/>
      <c r="BA66" s="6"/>
      <c r="BC66" s="9"/>
      <c r="BF66" s="6"/>
      <c r="BH66" s="9"/>
      <c r="BK66" s="6"/>
      <c r="BM66" s="9"/>
      <c r="BP66" s="6"/>
      <c r="BR66" s="9"/>
      <c r="BU66" s="6"/>
      <c r="BW66" s="9"/>
      <c r="BZ66" s="6"/>
      <c r="CE66" s="6"/>
      <c r="CJ66" s="6"/>
      <c r="CY66" s="6"/>
      <c r="DA66" s="9"/>
    </row>
    <row r="67" spans="3:105" x14ac:dyDescent="0.25">
      <c r="C67" s="6"/>
      <c r="E67" s="9"/>
      <c r="H67" s="6"/>
      <c r="J67" s="9"/>
      <c r="M67" s="6"/>
      <c r="O67" s="9"/>
      <c r="R67" s="6"/>
      <c r="T67" s="9"/>
      <c r="W67" s="6"/>
      <c r="Y67" s="9"/>
      <c r="AB67" s="6"/>
      <c r="AD67" s="9"/>
      <c r="AG67" s="6"/>
      <c r="AI67" s="9"/>
      <c r="AL67" s="6"/>
      <c r="AN67" s="9"/>
      <c r="AQ67" s="6"/>
      <c r="AS67" s="9"/>
      <c r="AV67" s="6"/>
      <c r="AX67" s="9"/>
      <c r="BA67" s="6"/>
      <c r="BC67" s="9"/>
      <c r="BF67" s="6"/>
      <c r="BH67" s="9"/>
      <c r="BK67" s="6"/>
      <c r="BM67" s="9"/>
      <c r="BP67" s="6"/>
      <c r="BR67" s="9"/>
      <c r="BU67" s="6"/>
      <c r="BW67" s="9"/>
      <c r="BZ67" s="6"/>
      <c r="CE67" s="6"/>
      <c r="CJ67" s="6"/>
      <c r="CY67" s="6"/>
      <c r="DA67" s="9"/>
    </row>
    <row r="68" spans="3:105" x14ac:dyDescent="0.25">
      <c r="C68" s="6"/>
      <c r="E68" s="9"/>
      <c r="H68" s="6"/>
      <c r="J68" s="9"/>
      <c r="M68" s="6"/>
      <c r="O68" s="9"/>
      <c r="R68" s="6"/>
      <c r="T68" s="9"/>
      <c r="W68" s="6"/>
      <c r="Y68" s="9"/>
      <c r="AB68" s="6"/>
      <c r="AD68" s="9"/>
      <c r="AG68" s="6"/>
      <c r="AI68" s="9"/>
      <c r="AL68" s="6"/>
      <c r="AN68" s="9"/>
      <c r="AQ68" s="6"/>
      <c r="AS68" s="9"/>
      <c r="AV68" s="6"/>
      <c r="AX68" s="9"/>
      <c r="BA68" s="6"/>
      <c r="BC68" s="9"/>
      <c r="BF68" s="6"/>
      <c r="BH68" s="9"/>
      <c r="BK68" s="6"/>
      <c r="BM68" s="9"/>
      <c r="BP68" s="6"/>
      <c r="BR68" s="9"/>
      <c r="BU68" s="6"/>
      <c r="BW68" s="9"/>
      <c r="BZ68" s="6"/>
      <c r="CE68" s="6"/>
      <c r="CJ68" s="6"/>
      <c r="CY68" s="6"/>
      <c r="DA68" s="9"/>
    </row>
    <row r="69" spans="3:105" x14ac:dyDescent="0.25">
      <c r="C69" s="6"/>
      <c r="E69" s="9"/>
      <c r="H69" s="6"/>
      <c r="J69" s="9"/>
      <c r="M69" s="6"/>
      <c r="O69" s="9"/>
      <c r="R69" s="6"/>
      <c r="T69" s="9"/>
      <c r="W69" s="6"/>
      <c r="Y69" s="9"/>
      <c r="AB69" s="6"/>
      <c r="AD69" s="9"/>
      <c r="AG69" s="6"/>
      <c r="AI69" s="9"/>
      <c r="AL69" s="6"/>
      <c r="AN69" s="9"/>
      <c r="AQ69" s="6"/>
      <c r="AS69" s="9"/>
      <c r="AV69" s="6"/>
      <c r="AX69" s="9"/>
      <c r="BA69" s="6"/>
      <c r="BC69" s="9"/>
      <c r="BF69" s="6"/>
      <c r="BH69" s="9"/>
      <c r="BK69" s="6"/>
      <c r="BM69" s="9"/>
      <c r="BP69" s="6"/>
      <c r="BR69" s="9"/>
      <c r="BU69" s="6"/>
      <c r="BW69" s="9"/>
      <c r="CE69" s="6"/>
      <c r="CJ69" s="6"/>
      <c r="CY69" s="6"/>
      <c r="DA69" s="9"/>
    </row>
    <row r="70" spans="3:105" x14ac:dyDescent="0.25">
      <c r="C70" s="6"/>
      <c r="E70" s="9"/>
      <c r="H70" s="6"/>
      <c r="J70" s="9"/>
      <c r="M70" s="6"/>
      <c r="O70" s="9"/>
      <c r="R70" s="6"/>
      <c r="T70" s="9"/>
      <c r="W70" s="6"/>
      <c r="Y70" s="9"/>
      <c r="AB70" s="6"/>
      <c r="AD70" s="9"/>
      <c r="AG70" s="6"/>
      <c r="AI70" s="9"/>
      <c r="AL70" s="6"/>
      <c r="AN70" s="9"/>
      <c r="AQ70" s="6"/>
      <c r="AS70" s="9"/>
      <c r="AV70" s="6"/>
      <c r="AX70" s="9"/>
      <c r="BA70" s="6"/>
      <c r="BC70" s="9"/>
      <c r="BF70" s="6"/>
      <c r="BH70" s="9"/>
      <c r="BK70" s="6"/>
      <c r="BM70" s="9"/>
      <c r="BP70" s="6"/>
      <c r="BR70" s="9"/>
      <c r="BU70" s="6"/>
      <c r="BW70" s="9"/>
      <c r="CE70" s="6"/>
      <c r="CJ70" s="6"/>
      <c r="CY70" s="6"/>
      <c r="DA70" s="9"/>
    </row>
    <row r="71" spans="3:105" x14ac:dyDescent="0.25">
      <c r="C71" s="6"/>
      <c r="E71" s="9"/>
      <c r="H71" s="6"/>
      <c r="J71" s="9"/>
      <c r="M71" s="6"/>
      <c r="O71" s="9"/>
      <c r="R71" s="6"/>
      <c r="T71" s="9"/>
      <c r="W71" s="6"/>
      <c r="Y71" s="9"/>
      <c r="AB71" s="6"/>
      <c r="AD71" s="9"/>
      <c r="AG71" s="6"/>
      <c r="AI71" s="9"/>
      <c r="AL71" s="6"/>
      <c r="AN71" s="9"/>
      <c r="AQ71" s="6"/>
      <c r="AS71" s="9"/>
      <c r="AV71" s="6"/>
      <c r="AX71" s="9"/>
      <c r="BA71" s="6"/>
      <c r="BC71" s="9"/>
      <c r="BF71" s="6"/>
      <c r="BH71" s="9"/>
      <c r="BK71" s="6"/>
      <c r="BM71" s="9"/>
      <c r="BP71" s="6"/>
      <c r="BR71" s="9"/>
      <c r="BU71" s="6"/>
      <c r="BW71" s="9"/>
      <c r="CE71" s="6"/>
      <c r="CJ71" s="6"/>
      <c r="CY71" s="6"/>
      <c r="DA71" s="9"/>
    </row>
    <row r="72" spans="3:105" x14ac:dyDescent="0.25">
      <c r="C72" s="6"/>
      <c r="E72" s="9"/>
      <c r="H72" s="6"/>
      <c r="J72" s="9"/>
      <c r="M72" s="6"/>
      <c r="O72" s="9"/>
      <c r="R72" s="6"/>
      <c r="T72" s="9"/>
      <c r="W72" s="6"/>
      <c r="Y72" s="9"/>
      <c r="AB72" s="6"/>
      <c r="AD72" s="9"/>
      <c r="AG72" s="6"/>
      <c r="AI72" s="9"/>
      <c r="AL72" s="6"/>
      <c r="AN72" s="9"/>
      <c r="AQ72" s="6"/>
      <c r="AS72" s="9"/>
      <c r="AV72" s="6"/>
      <c r="AX72" s="9"/>
      <c r="BA72" s="6"/>
      <c r="BC72" s="9"/>
      <c r="BF72" s="6"/>
      <c r="BH72" s="9"/>
      <c r="BK72" s="6"/>
      <c r="BM72" s="9"/>
      <c r="BP72" s="6"/>
      <c r="BR72" s="9"/>
      <c r="BU72" s="6"/>
      <c r="BW72" s="9"/>
      <c r="CY72" s="6"/>
      <c r="DA72" s="9"/>
    </row>
    <row r="73" spans="3:105" x14ac:dyDescent="0.25">
      <c r="C73" s="6"/>
      <c r="E73" s="9"/>
      <c r="H73" s="6"/>
      <c r="J73" s="9"/>
      <c r="M73" s="6"/>
      <c r="O73" s="9"/>
      <c r="R73" s="6"/>
      <c r="T73" s="9"/>
      <c r="W73" s="6"/>
      <c r="Y73" s="9"/>
      <c r="AB73" s="6"/>
      <c r="AD73" s="9"/>
      <c r="AG73" s="6"/>
      <c r="AI73" s="9"/>
      <c r="AL73" s="6"/>
      <c r="AN73" s="9"/>
      <c r="AQ73" s="6"/>
      <c r="AS73" s="9"/>
      <c r="AV73" s="6"/>
      <c r="AX73" s="9"/>
      <c r="BA73" s="6"/>
      <c r="BC73" s="9"/>
      <c r="BF73" s="6"/>
      <c r="BH73" s="9"/>
      <c r="BK73" s="6"/>
      <c r="BM73" s="9"/>
      <c r="BP73" s="6"/>
      <c r="BR73" s="9"/>
      <c r="BU73" s="6"/>
      <c r="BW73" s="9"/>
      <c r="CY73" s="6"/>
      <c r="DA73" s="9"/>
    </row>
    <row r="74" spans="3:105" x14ac:dyDescent="0.25">
      <c r="C74" s="6"/>
      <c r="E74" s="9"/>
      <c r="H74" s="6"/>
      <c r="J74" s="9"/>
      <c r="M74" s="6"/>
      <c r="O74" s="9"/>
      <c r="R74" s="6"/>
      <c r="T74" s="9"/>
      <c r="W74" s="6"/>
      <c r="Y74" s="9"/>
      <c r="AB74" s="6"/>
      <c r="AD74" s="9"/>
      <c r="AG74" s="6"/>
      <c r="AI74" s="9"/>
      <c r="AL74" s="6"/>
      <c r="AN74" s="9"/>
      <c r="AQ74" s="6"/>
      <c r="AS74" s="9"/>
      <c r="AV74" s="6"/>
      <c r="AX74" s="9"/>
      <c r="BA74" s="6"/>
      <c r="BC74" s="9"/>
      <c r="BF74" s="6"/>
      <c r="BH74" s="9"/>
      <c r="BK74" s="6"/>
      <c r="BM74" s="9"/>
      <c r="BP74" s="6"/>
      <c r="BR74" s="9"/>
      <c r="BU74" s="6"/>
      <c r="BW74" s="9"/>
      <c r="CY74" s="6"/>
      <c r="DA74" s="9"/>
    </row>
    <row r="75" spans="3:105" x14ac:dyDescent="0.25">
      <c r="C75" s="6"/>
      <c r="E75" s="9"/>
      <c r="H75" s="6"/>
      <c r="J75" s="9"/>
      <c r="M75" s="6"/>
      <c r="O75" s="9"/>
      <c r="R75" s="6"/>
      <c r="T75" s="9"/>
      <c r="W75" s="6"/>
      <c r="Y75" s="9"/>
      <c r="AB75" s="6"/>
      <c r="AD75" s="9"/>
      <c r="AG75" s="6"/>
      <c r="AI75" s="9"/>
      <c r="AL75" s="6"/>
      <c r="AN75" s="9"/>
      <c r="AQ75" s="6"/>
      <c r="AS75" s="9"/>
      <c r="AV75" s="6"/>
      <c r="AX75" s="9"/>
      <c r="BA75" s="6"/>
      <c r="BC75" s="9"/>
      <c r="BF75" s="6"/>
      <c r="BH75" s="9"/>
      <c r="BK75" s="6"/>
      <c r="BM75" s="9"/>
      <c r="BP75" s="6"/>
      <c r="BR75" s="9"/>
      <c r="BU75" s="6"/>
      <c r="BW75" s="9"/>
      <c r="CY75" s="6"/>
      <c r="DA75" s="9"/>
    </row>
    <row r="76" spans="3:105" x14ac:dyDescent="0.25">
      <c r="C76" s="6"/>
      <c r="E76" s="9"/>
      <c r="H76" s="6"/>
      <c r="J76" s="9"/>
      <c r="M76" s="6"/>
      <c r="O76" s="9"/>
      <c r="R76" s="6"/>
      <c r="T76" s="9"/>
      <c r="W76" s="6"/>
      <c r="Y76" s="9"/>
      <c r="AB76" s="6"/>
      <c r="AD76" s="9"/>
      <c r="AG76" s="6"/>
      <c r="AI76" s="9"/>
      <c r="AL76" s="6"/>
      <c r="AN76" s="9"/>
      <c r="AQ76" s="6"/>
      <c r="AS76" s="9"/>
      <c r="AV76" s="6"/>
      <c r="AX76" s="9"/>
      <c r="BA76" s="6"/>
      <c r="BC76" s="9"/>
      <c r="BF76" s="6"/>
      <c r="BH76" s="9"/>
      <c r="BK76" s="6"/>
      <c r="BM76" s="9"/>
      <c r="BP76" s="6"/>
      <c r="BR76" s="9"/>
      <c r="BU76" s="6"/>
      <c r="BW76" s="9"/>
      <c r="CY76" s="6"/>
      <c r="DA76" s="9"/>
    </row>
    <row r="77" spans="3:105" x14ac:dyDescent="0.25">
      <c r="C77" s="6"/>
      <c r="E77" s="9"/>
      <c r="H77" s="6"/>
      <c r="J77" s="9"/>
      <c r="M77" s="6"/>
      <c r="O77" s="9"/>
      <c r="R77" s="6"/>
      <c r="T77" s="9"/>
      <c r="W77" s="6"/>
      <c r="Y77" s="9"/>
      <c r="AB77" s="6"/>
      <c r="AD77" s="9"/>
      <c r="AG77" s="6"/>
      <c r="AI77" s="9"/>
      <c r="AL77" s="6"/>
      <c r="AN77" s="9"/>
      <c r="AQ77" s="6"/>
      <c r="AS77" s="9"/>
      <c r="AV77" s="6"/>
      <c r="AX77" s="9"/>
      <c r="BA77" s="6"/>
      <c r="BC77" s="9"/>
      <c r="BF77" s="6"/>
      <c r="BH77" s="9"/>
      <c r="BK77" s="6"/>
      <c r="BM77" s="9"/>
      <c r="BP77" s="6"/>
      <c r="BR77" s="9"/>
      <c r="BU77" s="6"/>
      <c r="BW77" s="9"/>
      <c r="CY77" s="6"/>
      <c r="DA77" s="9"/>
    </row>
    <row r="78" spans="3:105" x14ac:dyDescent="0.25">
      <c r="C78" s="6"/>
      <c r="E78" s="9"/>
      <c r="H78" s="6"/>
      <c r="J78" s="9"/>
      <c r="M78" s="6"/>
      <c r="O78" s="9"/>
      <c r="R78" s="6"/>
      <c r="T78" s="9"/>
      <c r="W78" s="6"/>
      <c r="Y78" s="9"/>
      <c r="AB78" s="6"/>
      <c r="AD78" s="9"/>
      <c r="AG78" s="6"/>
      <c r="AI78" s="9"/>
      <c r="AL78" s="6"/>
      <c r="AN78" s="9"/>
      <c r="AQ78" s="6"/>
      <c r="AS78" s="9"/>
      <c r="AV78" s="6"/>
      <c r="AX78" s="9"/>
      <c r="BA78" s="6"/>
      <c r="BC78" s="9"/>
      <c r="BF78" s="6"/>
      <c r="BH78" s="9"/>
      <c r="BK78" s="6"/>
      <c r="BM78" s="9"/>
      <c r="BP78" s="6"/>
      <c r="BR78" s="9"/>
      <c r="BU78" s="6"/>
      <c r="BW78" s="9"/>
      <c r="CY78" s="6"/>
      <c r="DA78" s="9"/>
    </row>
    <row r="79" spans="3:105" x14ac:dyDescent="0.25">
      <c r="C79" s="6"/>
      <c r="E79" s="9"/>
      <c r="H79" s="6"/>
      <c r="J79" s="9"/>
      <c r="M79" s="6"/>
      <c r="O79" s="9"/>
      <c r="R79" s="6"/>
      <c r="T79" s="9"/>
      <c r="W79" s="6"/>
      <c r="Y79" s="9"/>
      <c r="AB79" s="6"/>
      <c r="AD79" s="9"/>
      <c r="AG79" s="6"/>
      <c r="AI79" s="9"/>
      <c r="AL79" s="6"/>
      <c r="AN79" s="9"/>
      <c r="AQ79" s="6"/>
      <c r="AS79" s="9"/>
      <c r="AV79" s="6"/>
      <c r="AX79" s="9"/>
      <c r="BA79" s="6"/>
      <c r="BC79" s="9"/>
      <c r="BF79" s="6"/>
      <c r="BH79" s="9"/>
      <c r="BK79" s="6"/>
      <c r="BM79" s="9"/>
      <c r="BP79" s="6"/>
      <c r="BR79" s="9"/>
      <c r="BU79" s="6"/>
      <c r="BW79" s="9"/>
      <c r="CY79" s="6"/>
      <c r="DA79" s="9"/>
    </row>
    <row r="80" spans="3:105" x14ac:dyDescent="0.25">
      <c r="C80" s="6"/>
      <c r="E80" s="9"/>
      <c r="H80" s="6"/>
      <c r="J80" s="9"/>
      <c r="M80" s="6"/>
      <c r="O80" s="9"/>
      <c r="R80" s="6"/>
      <c r="T80" s="9"/>
      <c r="W80" s="6"/>
      <c r="Y80" s="9"/>
      <c r="AB80" s="6"/>
      <c r="AD80" s="9"/>
      <c r="AG80" s="6"/>
      <c r="AI80" s="9"/>
      <c r="AL80" s="6"/>
      <c r="AN80" s="9"/>
      <c r="AQ80" s="6"/>
      <c r="AS80" s="9"/>
      <c r="AV80" s="6"/>
      <c r="AX80" s="9"/>
      <c r="BA80" s="6"/>
      <c r="BC80" s="9"/>
      <c r="BF80" s="6"/>
      <c r="BH80" s="9"/>
      <c r="BK80" s="6"/>
      <c r="BM80" s="9"/>
      <c r="BP80" s="6"/>
      <c r="BR80" s="9"/>
      <c r="BU80" s="6"/>
      <c r="BW80" s="9"/>
      <c r="CY80" s="6"/>
      <c r="DA80" s="9"/>
    </row>
    <row r="81" spans="3:105" x14ac:dyDescent="0.25">
      <c r="C81" s="6"/>
      <c r="E81" s="9"/>
      <c r="H81" s="6"/>
      <c r="J81" s="9"/>
      <c r="M81" s="6"/>
      <c r="O81" s="9"/>
      <c r="R81" s="6"/>
      <c r="T81" s="9"/>
      <c r="W81" s="6"/>
      <c r="Y81" s="9"/>
      <c r="AB81" s="6"/>
      <c r="AD81" s="9"/>
      <c r="AG81" s="6"/>
      <c r="AI81" s="9"/>
      <c r="AL81" s="6"/>
      <c r="AN81" s="9"/>
      <c r="AQ81" s="6"/>
      <c r="AS81" s="9"/>
      <c r="AV81" s="6"/>
      <c r="AX81" s="9"/>
      <c r="BA81" s="6"/>
      <c r="BC81" s="9"/>
      <c r="BF81" s="6"/>
      <c r="BH81" s="9"/>
      <c r="BK81" s="6"/>
      <c r="BM81" s="9"/>
      <c r="BP81" s="6"/>
      <c r="BR81" s="9"/>
      <c r="BU81" s="6"/>
      <c r="BW81" s="9"/>
      <c r="CY81" s="6"/>
      <c r="DA81" s="9"/>
    </row>
    <row r="82" spans="3:105" x14ac:dyDescent="0.25">
      <c r="C82" s="6"/>
      <c r="E82" s="9"/>
      <c r="H82" s="6"/>
      <c r="J82" s="9"/>
      <c r="M82" s="6"/>
      <c r="O82" s="9"/>
      <c r="R82" s="6"/>
      <c r="T82" s="9"/>
      <c r="W82" s="6"/>
      <c r="Y82" s="9"/>
      <c r="AB82" s="6"/>
      <c r="AD82" s="9"/>
      <c r="AG82" s="6"/>
      <c r="AI82" s="9"/>
      <c r="AL82" s="6"/>
      <c r="AN82" s="9"/>
      <c r="AQ82" s="6"/>
      <c r="AS82" s="9"/>
      <c r="AV82" s="6"/>
      <c r="AX82" s="9"/>
      <c r="BA82" s="6"/>
      <c r="BC82" s="9"/>
      <c r="BF82" s="6"/>
      <c r="BH82" s="9"/>
      <c r="BK82" s="6"/>
      <c r="BM82" s="9"/>
      <c r="BP82" s="6"/>
      <c r="BR82" s="9"/>
      <c r="BU82" s="6"/>
      <c r="BW82" s="9"/>
      <c r="CY82" s="6"/>
      <c r="DA82" s="9"/>
    </row>
    <row r="83" spans="3:105" x14ac:dyDescent="0.25">
      <c r="C83" s="6"/>
      <c r="E83" s="9"/>
      <c r="H83" s="6"/>
      <c r="J83" s="9"/>
      <c r="M83" s="6"/>
      <c r="O83" s="9"/>
      <c r="R83" s="6"/>
      <c r="T83" s="9"/>
      <c r="W83" s="6"/>
      <c r="Y83" s="9"/>
      <c r="AB83" s="6"/>
      <c r="AD83" s="9"/>
      <c r="AG83" s="6"/>
      <c r="AI83" s="9"/>
      <c r="AL83" s="6"/>
      <c r="AN83" s="9"/>
      <c r="AQ83" s="6"/>
      <c r="AS83" s="9"/>
      <c r="AV83" s="6"/>
      <c r="AX83" s="9"/>
      <c r="BA83" s="6"/>
      <c r="BC83" s="9"/>
      <c r="BF83" s="6"/>
      <c r="BH83" s="9"/>
      <c r="BK83" s="6"/>
      <c r="BM83" s="9"/>
      <c r="BP83" s="6"/>
      <c r="BR83" s="9"/>
      <c r="BU83" s="6"/>
      <c r="BW83" s="9"/>
      <c r="CY83" s="6"/>
      <c r="DA83" s="9"/>
    </row>
    <row r="84" spans="3:105" x14ac:dyDescent="0.25">
      <c r="C84" s="6"/>
      <c r="E84" s="9"/>
      <c r="H84" s="6"/>
      <c r="J84" s="9"/>
      <c r="M84" s="6"/>
      <c r="O84" s="9"/>
      <c r="R84" s="6"/>
      <c r="T84" s="9"/>
      <c r="W84" s="6"/>
      <c r="Y84" s="9"/>
      <c r="AB84" s="6"/>
      <c r="AD84" s="9"/>
      <c r="AG84" s="6"/>
      <c r="AI84" s="9"/>
      <c r="AL84" s="6"/>
      <c r="AN84" s="9"/>
      <c r="AQ84" s="6"/>
      <c r="AS84" s="9"/>
      <c r="AV84" s="6"/>
      <c r="AX84" s="9"/>
      <c r="BA84" s="6"/>
      <c r="BC84" s="9"/>
      <c r="BF84" s="6"/>
      <c r="BH84" s="9"/>
      <c r="BK84" s="6"/>
      <c r="BM84" s="9"/>
      <c r="BP84" s="6"/>
      <c r="BR84" s="9"/>
      <c r="BU84" s="6"/>
      <c r="BW84" s="9"/>
      <c r="CY84" s="6"/>
      <c r="DA84" s="9"/>
    </row>
    <row r="85" spans="3:105" x14ac:dyDescent="0.25">
      <c r="C85" s="6"/>
      <c r="E85" s="9"/>
      <c r="H85" s="6"/>
      <c r="J85" s="9"/>
      <c r="M85" s="6"/>
      <c r="O85" s="9"/>
      <c r="R85" s="6"/>
      <c r="T85" s="9"/>
      <c r="W85" s="6"/>
      <c r="Y85" s="9"/>
      <c r="AB85" s="6"/>
      <c r="AD85" s="9"/>
      <c r="AG85" s="6"/>
      <c r="AI85" s="9"/>
      <c r="AL85" s="6"/>
      <c r="AN85" s="9"/>
      <c r="AQ85" s="6"/>
      <c r="AS85" s="9"/>
      <c r="AV85" s="6"/>
      <c r="AX85" s="9"/>
      <c r="BA85" s="6"/>
      <c r="BC85" s="9"/>
      <c r="BF85" s="6"/>
      <c r="BH85" s="9"/>
      <c r="BK85" s="6"/>
      <c r="BM85" s="9"/>
      <c r="BP85" s="6"/>
      <c r="BR85" s="9"/>
      <c r="BU85" s="6"/>
      <c r="BW85" s="9"/>
      <c r="CY85" s="6"/>
      <c r="DA85" s="9"/>
    </row>
    <row r="86" spans="3:105" x14ac:dyDescent="0.25">
      <c r="C86" s="6"/>
      <c r="E86" s="9"/>
      <c r="H86" s="6"/>
      <c r="J86" s="9"/>
      <c r="M86" s="6"/>
      <c r="O86" s="9"/>
      <c r="R86" s="6"/>
      <c r="T86" s="9"/>
      <c r="W86" s="6"/>
      <c r="Y86" s="9"/>
      <c r="AB86" s="6"/>
      <c r="AD86" s="9"/>
      <c r="AG86" s="6"/>
      <c r="AI86" s="9"/>
      <c r="AL86" s="6"/>
      <c r="AN86" s="9"/>
      <c r="AQ86" s="6"/>
      <c r="AS86" s="9"/>
      <c r="AV86" s="6"/>
      <c r="AX86" s="9"/>
      <c r="BA86" s="6"/>
      <c r="BC86" s="9"/>
      <c r="BF86" s="6"/>
      <c r="BH86" s="9"/>
      <c r="BK86" s="6"/>
      <c r="BM86" s="9"/>
      <c r="BP86" s="6"/>
      <c r="BR86" s="9"/>
      <c r="BU86" s="6"/>
      <c r="BW86" s="9"/>
      <c r="CY86" s="6"/>
      <c r="DA86" s="9"/>
    </row>
    <row r="87" spans="3:105" x14ac:dyDescent="0.25">
      <c r="C87" s="6"/>
      <c r="E87" s="9"/>
      <c r="H87" s="6"/>
      <c r="J87" s="9"/>
      <c r="M87" s="6"/>
      <c r="O87" s="9"/>
      <c r="R87" s="6"/>
      <c r="T87" s="9"/>
      <c r="W87" s="6"/>
      <c r="Y87" s="9"/>
      <c r="AB87" s="6"/>
      <c r="AD87" s="9"/>
      <c r="AG87" s="6"/>
      <c r="AI87" s="9"/>
      <c r="AL87" s="6"/>
      <c r="AN87" s="9"/>
      <c r="AQ87" s="6"/>
      <c r="AS87" s="9"/>
      <c r="AV87" s="6"/>
      <c r="AX87" s="9"/>
      <c r="BA87" s="6"/>
      <c r="BC87" s="9"/>
      <c r="BF87" s="6"/>
      <c r="BH87" s="9"/>
      <c r="BK87" s="6"/>
      <c r="BM87" s="9"/>
      <c r="BP87" s="6"/>
      <c r="BR87" s="9"/>
      <c r="BU87" s="6"/>
      <c r="BW87" s="9"/>
      <c r="CY87" s="6"/>
      <c r="DA87" s="9"/>
    </row>
  </sheetData>
  <sortState xmlns:xlrd2="http://schemas.microsoft.com/office/spreadsheetml/2017/richdata2" ref="DC2:DG88">
    <sortCondition descending="1" ref="DE2:DE88"/>
  </sortState>
  <hyperlinks>
    <hyperlink ref="A2" location="'Supplemental Types'!B:F" display="Armor" xr:uid="{5BD96A1C-3E9C-49C3-8D66-80A1D98D2B56}"/>
    <hyperlink ref="B2" location="'Supplemental Types'!G:K" display="[[ 1t[Light-Armor] ]]" xr:uid="{80348F0E-9A41-4C1C-B216-C309FB117BA9}"/>
    <hyperlink ref="A3" location="'Supplemental Types'!G:K" display="[Light-Armor]" xr:uid="{7A73D9B0-B30D-4477-8CE2-B621EADFDA73}"/>
    <hyperlink ref="B3" location="'Supplemental Types'!L:P" display="[[ 1t[Medium-Armor] ]]" xr:uid="{77172003-909E-48BE-BEFA-F59D5097153F}"/>
    <hyperlink ref="A4" location="'Supplemental Types'!L:P" display="[Medium-Armor]" xr:uid="{73DE8780-6EDC-4F6D-AE0D-BBF7983B5F1A}"/>
    <hyperlink ref="B4" location="'Supplemental Types'!Q:U" display="[[ 1t[Heavy-Armor] ]]" xr:uid="{AC09AEC6-65D8-41C3-BCED-DED4196320B3}"/>
    <hyperlink ref="A5" location="'Supplemental Types'!Q:U" display="[Heavy-Armor]" xr:uid="{C0F3E207-88ED-4758-926D-E9C9163CB753}"/>
    <hyperlink ref="A6" location="'Supplemental Types'!V:Z" display="[Metal-Armor]" xr:uid="{C9BEFE2B-7B52-4BAA-B4D3-3CB489F4A784}"/>
    <hyperlink ref="A7" location="'Supplemental Types'!AA:AE" display="[Weapons]" xr:uid="{82444351-CFFA-4A26-9074-71DAE80E5F91}"/>
    <hyperlink ref="AA2" location="'Supplemental Types'!AF:AJ" display="[[ 1t[Simple-Melee] ]]" xr:uid="{01AC7315-E06D-4233-8132-DCDB9FEEB10B}"/>
    <hyperlink ref="A8" location="'Supplemental Types'!AF:AJ" display="[Simple-Melee]" xr:uid="{19CBAA07-74E5-499F-967C-A88C7C3AEFDC}"/>
    <hyperlink ref="AA3" location="'Supplemental Types'!AK:AO" display="[[ 1t[Simple-Ranged] ]]" xr:uid="{FFE0448B-2746-4DBF-83DE-63D9EDAF91E9}"/>
    <hyperlink ref="BT2" location="'Supplemental Types'!AK:AO" display="[[ 1t[Simple-Ranged] ]]" xr:uid="{DB7FB04F-3746-4D02-BA4B-7F5342024551}"/>
    <hyperlink ref="A9" location="'Supplemental Types'!AK:AO" display="[Simple-Ranged]" xr:uid="{DC6F04C3-78D2-4B1F-BDD9-B6225C4CA34D}"/>
    <hyperlink ref="AA4" location="'Supplemental Types'!AP:AT" display="[[ 1t[Martial-Melee] ]]" xr:uid="{E9F87F3F-DD27-4FC8-9E53-A1BCACA2F8C0}"/>
    <hyperlink ref="A10" location="'Supplemental Types'!AP:AT" display="[Martial-Melee]" xr:uid="{644EAB7D-3B79-4959-A133-125F8E2FCB9F}"/>
    <hyperlink ref="BT3" location="'Supplemental Types'!AU:AY" display="[[ 1t[[Martial-Ranged] ]]" xr:uid="{B55F1E38-44BB-4FD8-A204-D079D4507D1A}"/>
    <hyperlink ref="AA5" location="'Supplemental Types'!AU:AY" display="[[ 1t[Martial-Ranged] ]]" xr:uid="{ADA7AD4C-68FA-4C3F-B3CE-BF1507B0B3B8}"/>
    <hyperlink ref="A11" location="'Supplemental Types'!AU:AY" display="[Martial-Ranged]" xr:uid="{FEBB30CC-8B79-48F2-B554-7858F9843E4E}"/>
    <hyperlink ref="A12" location="'Supplemental Types'!AZ:BD" display="[Ammunition]" xr:uid="{5900618E-2ACA-43E8-B67B-45D4B1E1836B}"/>
    <hyperlink ref="A13" location="'Supplemental Types'!BE:BI" display="[Swords]" xr:uid="{4BD2E8DF-7C31-4AA4-B8A0-AB11063A8CAA}"/>
    <hyperlink ref="A14" location="'Supplemental Types'!BJ:BN" display="[Axes]" xr:uid="{2194B780-E9EE-40F0-8806-46996B384635}"/>
    <hyperlink ref="A15" location="'Supplemental Types'!BO:BS" display="[Bows]" xr:uid="{366408AB-0F88-4A1C-90CB-5D42FAC920EA}"/>
    <hyperlink ref="A16" location="'Supplemental Types'!BT:BX" display="[Ranged]" xr:uid="{307FED90-96A0-4929-8DC4-D67A60D4D210}"/>
    <hyperlink ref="A17" location="'Supplemental Types'!BY:CC" display="[Dragon-Breath]" xr:uid="{316ADA14-C02F-4DBD-8A24-4EA586216F3D}"/>
    <hyperlink ref="BY2" location="'Supplemental Types'!CD:CH" display="[[ 1t[MM-Breath] ]]" xr:uid="{FCC17DB1-957A-4204-A9F7-33A7BD98533D}"/>
    <hyperlink ref="A18" location="'Supplemental Types'!CD:CH" display="[MM-Breath]" xr:uid="{21857AAF-D57C-404B-B0F0-B7349AD65291}"/>
    <hyperlink ref="BY3" location="'Supplemental Types'!CI:CM" display="[[ 1t[FTD-Breath] ]]" xr:uid="{00F7CB1F-780C-4349-B62D-CFBC35C3C212}"/>
    <hyperlink ref="A19" location="'Supplemental Types'!CI:CM" display="[FTD-Breath]" xr:uid="{55C8441F-236E-4758-BD36-3C85AA88F4CC}"/>
    <hyperlink ref="A20" location="'Supplemental Types'!CN:CR" display="[FTD-Dragons]" xr:uid="{C95993AB-1FC4-49D0-A616-5D7FD3E16A34}"/>
    <hyperlink ref="A21" location="'Supplemental Types'!CS:CW" display="[All-Dragons]" xr:uid="{BB0CAC20-3103-40B0-BFF2-D7150A249B6A}"/>
    <hyperlink ref="A22" location="'Supplemental Types'!CX:DB" display="[Damage-Type]" xr:uid="{60941268-69A1-4E79-B8CF-D9F65E75806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8A84FB-0249-4AD6-855C-932684F853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13</vt:i4>
      </vt:variant>
    </vt:vector>
  </HeadingPairs>
  <TitlesOfParts>
    <vt:vector size="13" baseType="lpstr">
      <vt:lpstr>Cover Sheet</vt:lpstr>
      <vt:lpstr>DMG Magic Item Tables</vt:lpstr>
      <vt:lpstr>Table A Common</vt:lpstr>
      <vt:lpstr>Table B Minor Uncommon</vt:lpstr>
      <vt:lpstr>Table F Major Uncommon</vt:lpstr>
      <vt:lpstr>Table C Minor Rare</vt:lpstr>
      <vt:lpstr>Table G Major Rare</vt:lpstr>
      <vt:lpstr>Table D Minor Very Rare</vt:lpstr>
      <vt:lpstr>Table H Major Very Rare</vt:lpstr>
      <vt:lpstr>Table E Minor Legendary</vt:lpstr>
      <vt:lpstr>Table I Major Legendary</vt:lpstr>
      <vt:lpstr>All Spells</vt:lpstr>
      <vt:lpstr>Supplemental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 Cherry</dc:creator>
  <cp:lastModifiedBy>Matt Cherry</cp:lastModifiedBy>
  <dcterms:created xsi:type="dcterms:W3CDTF">2023-10-21T05:33:48Z</dcterms:created>
  <dcterms:modified xsi:type="dcterms:W3CDTF">2026-02-03T06:05:28Z</dcterms:modified>
</cp:coreProperties>
</file>