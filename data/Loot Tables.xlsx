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7CF76EEB51F4E3B0/Documents/"/>
    </mc:Choice>
  </mc:AlternateContent>
  <xr:revisionPtr revIDLastSave="545" documentId="8_{AE17910B-377F-4E02-8878-EF76995EA98C}" xr6:coauthVersionLast="47" xr6:coauthVersionMax="47" xr10:uidLastSave="{C4613043-29FC-44C4-9075-128301E3EFCF}"/>
  <bookViews>
    <workbookView xWindow="38280" yWindow="-120" windowWidth="38640" windowHeight="21120" activeTab="4" xr2:uid="{3BC02FAF-934A-4FBB-8A24-9A1C63AFA10D}"/>
  </bookViews>
  <sheets>
    <sheet name="Variable Prices - Value Score" sheetId="5" r:id="rId1"/>
    <sheet name="New Gems" sheetId="6" r:id="rId2"/>
    <sheet name="New Art" sheetId="7" r:id="rId3"/>
    <sheet name="New Individual Treasure" sheetId="8" r:id="rId4"/>
    <sheet name="Travel Encounters" sheetId="10" r:id="rId5"/>
    <sheet name="New Hoards" sheetId="9" r:id="rId6"/>
    <sheet name="DMG Individual Treasure" sheetId="1" r:id="rId7"/>
    <sheet name="DMG Treasure Hoards" sheetId="2" r:id="rId8"/>
    <sheet name="DMG Gems" sheetId="3" r:id="rId9"/>
    <sheet name="DMG Art" sheetId="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0" l="1"/>
  <c r="G5" i="10"/>
  <c r="G3" i="10"/>
  <c r="H7" i="10"/>
  <c r="H8" i="10"/>
  <c r="H4" i="10"/>
  <c r="H6" i="10"/>
  <c r="H5" i="10"/>
  <c r="H3" i="10"/>
  <c r="G7" i="10"/>
  <c r="G8" i="10"/>
  <c r="G4" i="10"/>
  <c r="H2" i="10"/>
  <c r="G2" i="10"/>
  <c r="H1" i="10"/>
  <c r="G1" i="10"/>
  <c r="D3" i="10"/>
  <c r="D4" i="10"/>
  <c r="D5" i="10"/>
  <c r="D6" i="10"/>
  <c r="D7" i="10"/>
  <c r="D8" i="10"/>
  <c r="C3" i="10"/>
  <c r="C4" i="10"/>
  <c r="C5" i="10"/>
  <c r="C6" i="10"/>
  <c r="C7" i="10"/>
  <c r="C8" i="10"/>
  <c r="D2" i="10"/>
  <c r="C2" i="10"/>
  <c r="D1" i="10"/>
  <c r="C1" i="10"/>
  <c r="G3" i="8"/>
  <c r="G4" i="8"/>
  <c r="G5" i="8"/>
  <c r="G6" i="8"/>
  <c r="G7" i="8"/>
  <c r="G8" i="8"/>
  <c r="D3" i="8"/>
  <c r="D4" i="8"/>
  <c r="D5" i="8"/>
  <c r="D6" i="8"/>
  <c r="D7" i="8"/>
  <c r="D8" i="8"/>
  <c r="C3" i="8"/>
  <c r="C4" i="8"/>
  <c r="C5" i="8"/>
  <c r="C6" i="8"/>
  <c r="C7" i="8"/>
  <c r="C8" i="8"/>
  <c r="H4" i="8" l="1"/>
  <c r="AS21" i="6"/>
  <c r="AN21" i="6"/>
  <c r="AI21" i="6"/>
  <c r="AD21" i="6"/>
  <c r="Y21" i="6"/>
  <c r="T21" i="6"/>
  <c r="O21" i="6"/>
  <c r="J21" i="6"/>
  <c r="AS20" i="6"/>
  <c r="AN20" i="6"/>
  <c r="AI20" i="6"/>
  <c r="AD20" i="6"/>
  <c r="Y20" i="6"/>
  <c r="T20" i="6"/>
  <c r="O20" i="6"/>
  <c r="J20" i="6"/>
  <c r="AS19" i="6"/>
  <c r="AN19" i="6"/>
  <c r="AI19" i="6"/>
  <c r="AD19" i="6"/>
  <c r="Y19" i="6"/>
  <c r="T19" i="6"/>
  <c r="O19" i="6"/>
  <c r="J19" i="6"/>
  <c r="AS18" i="6"/>
  <c r="AN18" i="6"/>
  <c r="AI18" i="6"/>
  <c r="AD18" i="6"/>
  <c r="Y18" i="6"/>
  <c r="T18" i="6"/>
  <c r="O18" i="6"/>
  <c r="J18" i="6"/>
  <c r="AS17" i="6"/>
  <c r="AN17" i="6"/>
  <c r="AI17" i="6"/>
  <c r="AD17" i="6"/>
  <c r="Y17" i="6"/>
  <c r="T17" i="6"/>
  <c r="O17" i="6"/>
  <c r="J17" i="6"/>
  <c r="AS16" i="6"/>
  <c r="AN16" i="6"/>
  <c r="AI16" i="6"/>
  <c r="AD16" i="6"/>
  <c r="Y16" i="6"/>
  <c r="T16" i="6"/>
  <c r="O16" i="6"/>
  <c r="J16" i="6"/>
  <c r="AS15" i="6"/>
  <c r="AN15" i="6"/>
  <c r="AI15" i="6"/>
  <c r="AD15" i="6"/>
  <c r="Y15" i="6"/>
  <c r="T15" i="6"/>
  <c r="O15" i="6"/>
  <c r="J15" i="6"/>
  <c r="AS14" i="6"/>
  <c r="AN14" i="6"/>
  <c r="AI14" i="6"/>
  <c r="AD14" i="6"/>
  <c r="Y14" i="6"/>
  <c r="T14" i="6"/>
  <c r="O14" i="6"/>
  <c r="J14" i="6"/>
  <c r="AS13" i="6"/>
  <c r="AN13" i="6"/>
  <c r="AI13" i="6"/>
  <c r="AD13" i="6"/>
  <c r="Y13" i="6"/>
  <c r="T13" i="6"/>
  <c r="O13" i="6"/>
  <c r="J13" i="6"/>
  <c r="AS12" i="6"/>
  <c r="AN12" i="6"/>
  <c r="AI12" i="6"/>
  <c r="AD12" i="6"/>
  <c r="Y12" i="6"/>
  <c r="T12" i="6"/>
  <c r="O12" i="6"/>
  <c r="J12" i="6"/>
  <c r="AS11" i="6"/>
  <c r="AN11" i="6"/>
  <c r="AI11" i="6"/>
  <c r="AD11" i="6"/>
  <c r="Y11" i="6"/>
  <c r="T11" i="6"/>
  <c r="O11" i="6"/>
  <c r="J11" i="6"/>
  <c r="AS10" i="6"/>
  <c r="AN10" i="6"/>
  <c r="AI10" i="6"/>
  <c r="AD10" i="6"/>
  <c r="Y10" i="6"/>
  <c r="T10" i="6"/>
  <c r="O10" i="6"/>
  <c r="J10" i="6"/>
  <c r="AS9" i="6"/>
  <c r="AN9" i="6"/>
  <c r="AI9" i="6"/>
  <c r="AD9" i="6"/>
  <c r="Y9" i="6"/>
  <c r="T9" i="6"/>
  <c r="O9" i="6"/>
  <c r="J9" i="6"/>
  <c r="AS8" i="6"/>
  <c r="AN8" i="6"/>
  <c r="AI8" i="6"/>
  <c r="AD8" i="6"/>
  <c r="Y8" i="6"/>
  <c r="T8" i="6"/>
  <c r="O8" i="6"/>
  <c r="J8" i="6"/>
  <c r="AS7" i="6"/>
  <c r="AN7" i="6"/>
  <c r="AI7" i="6"/>
  <c r="AD7" i="6"/>
  <c r="Y7" i="6"/>
  <c r="T7" i="6"/>
  <c r="O7" i="6"/>
  <c r="J7" i="6"/>
  <c r="AS6" i="6"/>
  <c r="AN6" i="6"/>
  <c r="AI6" i="6"/>
  <c r="AD6" i="6"/>
  <c r="Y6" i="6"/>
  <c r="T6" i="6"/>
  <c r="O6" i="6"/>
  <c r="J6" i="6"/>
  <c r="AS5" i="6"/>
  <c r="AN5" i="6"/>
  <c r="AI5" i="6"/>
  <c r="AD5" i="6"/>
  <c r="Y5" i="6"/>
  <c r="T5" i="6"/>
  <c r="O5" i="6"/>
  <c r="J5" i="6"/>
  <c r="AS4" i="6"/>
  <c r="AN4" i="6"/>
  <c r="AI4" i="6"/>
  <c r="AD4" i="6"/>
  <c r="Y4" i="6"/>
  <c r="T4" i="6"/>
  <c r="O4" i="6"/>
  <c r="J4" i="6"/>
  <c r="AS3" i="6"/>
  <c r="AN3" i="6"/>
  <c r="AI3" i="6"/>
  <c r="AD3" i="6"/>
  <c r="Y3" i="6"/>
  <c r="T3" i="6"/>
  <c r="O3" i="6"/>
  <c r="J3" i="6"/>
  <c r="AS2" i="6"/>
  <c r="AN2" i="6"/>
  <c r="AI2" i="6"/>
  <c r="AD2" i="6"/>
  <c r="Y2" i="6"/>
  <c r="T2" i="6"/>
  <c r="O2" i="6"/>
  <c r="J2" i="6"/>
  <c r="C1" i="9"/>
  <c r="D1" i="9"/>
  <c r="G1" i="9"/>
  <c r="H1" i="9"/>
  <c r="K1" i="9"/>
  <c r="L1" i="9"/>
  <c r="O1" i="9"/>
  <c r="P1" i="9"/>
  <c r="S1" i="9"/>
  <c r="T1" i="9"/>
  <c r="C2" i="9"/>
  <c r="D2" i="9"/>
  <c r="G2" i="9"/>
  <c r="H2" i="9"/>
  <c r="K2" i="9"/>
  <c r="L2" i="9"/>
  <c r="O2" i="9"/>
  <c r="P2" i="9"/>
  <c r="S2" i="9"/>
  <c r="T2" i="9"/>
  <c r="C3" i="9"/>
  <c r="D3" i="9"/>
  <c r="G3" i="9"/>
  <c r="H3" i="9"/>
  <c r="K3" i="9"/>
  <c r="L3" i="9"/>
  <c r="O3" i="9"/>
  <c r="P3" i="9"/>
  <c r="S3" i="9"/>
  <c r="T3" i="9"/>
  <c r="C4" i="9"/>
  <c r="D4" i="9"/>
  <c r="G4" i="9"/>
  <c r="H4" i="9"/>
  <c r="K4" i="9"/>
  <c r="L4" i="9"/>
  <c r="O4" i="9"/>
  <c r="P4" i="9"/>
  <c r="S4" i="9"/>
  <c r="T4" i="9"/>
  <c r="C5" i="9"/>
  <c r="D5" i="9"/>
  <c r="G5" i="9"/>
  <c r="H5" i="9"/>
  <c r="K5" i="9"/>
  <c r="L5" i="9"/>
  <c r="O5" i="9"/>
  <c r="P5" i="9"/>
  <c r="C6" i="9"/>
  <c r="D6" i="9"/>
  <c r="G6" i="9"/>
  <c r="H6" i="9"/>
  <c r="K6" i="9"/>
  <c r="L6" i="9"/>
  <c r="O6" i="9"/>
  <c r="P6" i="9"/>
  <c r="C7" i="9"/>
  <c r="D7" i="9"/>
  <c r="G7" i="9"/>
  <c r="H7" i="9"/>
  <c r="K7" i="9"/>
  <c r="L7" i="9"/>
  <c r="O7" i="9"/>
  <c r="P7" i="9"/>
  <c r="C8" i="9"/>
  <c r="D8" i="9"/>
  <c r="G8" i="9"/>
  <c r="H8" i="9"/>
  <c r="K8" i="9"/>
  <c r="L8" i="9"/>
  <c r="O8" i="9"/>
  <c r="P8" i="9"/>
  <c r="C1" i="8"/>
  <c r="D1" i="8"/>
  <c r="G1" i="8"/>
  <c r="H1" i="8"/>
  <c r="K1" i="8"/>
  <c r="L1" i="8"/>
  <c r="O1" i="8"/>
  <c r="P1" i="8"/>
  <c r="S1" i="8"/>
  <c r="T1" i="8"/>
  <c r="W1" i="8"/>
  <c r="X1" i="8"/>
  <c r="AA1" i="8"/>
  <c r="AB1" i="8"/>
  <c r="AE1" i="8"/>
  <c r="AF1" i="8"/>
  <c r="AI1" i="8"/>
  <c r="AJ1" i="8"/>
  <c r="AM1" i="8"/>
  <c r="AN1" i="8"/>
  <c r="AQ1" i="8"/>
  <c r="AR1" i="8"/>
  <c r="C2" i="8"/>
  <c r="D2" i="8"/>
  <c r="G2" i="8"/>
  <c r="H2" i="8"/>
  <c r="K2" i="8"/>
  <c r="L2" i="8"/>
  <c r="O2" i="8"/>
  <c r="P2" i="8"/>
  <c r="S2" i="8"/>
  <c r="T2" i="8"/>
  <c r="W2" i="8"/>
  <c r="X2" i="8"/>
  <c r="AA2" i="8"/>
  <c r="AB2" i="8"/>
  <c r="AE2" i="8"/>
  <c r="AF2" i="8"/>
  <c r="AI2" i="8"/>
  <c r="AJ2" i="8"/>
  <c r="AM2" i="8"/>
  <c r="AN2" i="8"/>
  <c r="AQ2" i="8"/>
  <c r="AR2" i="8"/>
  <c r="H3" i="8"/>
  <c r="K3" i="8"/>
  <c r="L3" i="8"/>
  <c r="O3" i="8"/>
  <c r="P3" i="8"/>
  <c r="S3" i="8"/>
  <c r="T3" i="8"/>
  <c r="W3" i="8"/>
  <c r="X3" i="8"/>
  <c r="AA3" i="8"/>
  <c r="AB3" i="8"/>
  <c r="AE3" i="8"/>
  <c r="AF3" i="8"/>
  <c r="AM3" i="8"/>
  <c r="AN3" i="8"/>
  <c r="AQ3" i="8"/>
  <c r="AR3" i="8"/>
  <c r="H5" i="8"/>
  <c r="K4" i="8"/>
  <c r="L4" i="8"/>
  <c r="O4" i="8"/>
  <c r="P4" i="8"/>
  <c r="S4" i="8"/>
  <c r="T4" i="8"/>
  <c r="W4" i="8"/>
  <c r="X4" i="8"/>
  <c r="AA4" i="8"/>
  <c r="AB4" i="8"/>
  <c r="AE4" i="8"/>
  <c r="AF4" i="8"/>
  <c r="H6" i="8"/>
  <c r="K5" i="8"/>
  <c r="L5" i="8"/>
  <c r="O5" i="8"/>
  <c r="P5" i="8"/>
  <c r="S5" i="8"/>
  <c r="T5" i="8"/>
  <c r="W5" i="8"/>
  <c r="X5" i="8"/>
  <c r="AA5" i="8"/>
  <c r="AB5" i="8"/>
  <c r="AE5" i="8"/>
  <c r="AF5" i="8"/>
  <c r="AM5" i="8"/>
  <c r="AN5" i="8"/>
  <c r="AQ5" i="8"/>
  <c r="AR5" i="8"/>
  <c r="H7" i="8"/>
  <c r="K6" i="8"/>
  <c r="L6" i="8"/>
  <c r="O6" i="8"/>
  <c r="P6" i="8"/>
  <c r="S6" i="8"/>
  <c r="T6" i="8"/>
  <c r="W6" i="8"/>
  <c r="X6" i="8"/>
  <c r="AA6" i="8"/>
  <c r="AB6" i="8"/>
  <c r="AE6" i="8"/>
  <c r="AF6" i="8"/>
  <c r="H8" i="8"/>
  <c r="K7" i="8"/>
  <c r="L7" i="8"/>
  <c r="O7" i="8"/>
  <c r="P7" i="8"/>
  <c r="S7" i="8"/>
  <c r="T7" i="8"/>
  <c r="W7" i="8"/>
  <c r="X7" i="8"/>
  <c r="AA7" i="8"/>
  <c r="AB7" i="8"/>
  <c r="K8" i="8"/>
  <c r="L8" i="8"/>
  <c r="O8" i="8"/>
  <c r="P8" i="8"/>
  <c r="S8" i="8"/>
  <c r="T8" i="8"/>
  <c r="W8" i="8"/>
  <c r="X8" i="8"/>
  <c r="AA8" i="8"/>
  <c r="AB8" i="8"/>
  <c r="K9" i="8"/>
  <c r="L9" i="8"/>
  <c r="O9" i="8"/>
  <c r="P9" i="8"/>
  <c r="S9" i="8"/>
  <c r="T9" i="8"/>
  <c r="W9" i="8"/>
  <c r="X9" i="8"/>
  <c r="AA9" i="8"/>
  <c r="AB9" i="8"/>
  <c r="AM9" i="8"/>
  <c r="AN9" i="8"/>
  <c r="AQ9" i="8"/>
  <c r="AR9" i="8"/>
  <c r="K10" i="8"/>
  <c r="L10" i="8"/>
  <c r="O10" i="8"/>
  <c r="P10" i="8"/>
  <c r="S10" i="8"/>
  <c r="T10" i="8"/>
  <c r="W10" i="8"/>
  <c r="X10" i="8"/>
  <c r="AA10" i="8"/>
  <c r="AB10" i="8"/>
  <c r="AM10" i="8"/>
  <c r="AN10" i="8"/>
  <c r="AQ10" i="8"/>
  <c r="AR10" i="8"/>
  <c r="K11" i="8"/>
  <c r="L11" i="8"/>
  <c r="O11" i="8"/>
  <c r="P11" i="8"/>
  <c r="W11" i="8"/>
  <c r="X11" i="8"/>
  <c r="AM11" i="8"/>
  <c r="AN11" i="8"/>
  <c r="AQ11" i="8"/>
  <c r="AR11" i="8"/>
  <c r="F1" i="7"/>
  <c r="G1" i="7"/>
  <c r="J5" i="7" s="1"/>
  <c r="I1" i="7"/>
  <c r="J1" i="7"/>
  <c r="K1" i="7"/>
  <c r="P1" i="7"/>
  <c r="U1" i="7"/>
  <c r="Z1" i="7"/>
  <c r="AE1" i="7"/>
  <c r="C2" i="7"/>
  <c r="D2" i="7"/>
  <c r="E2" i="7"/>
  <c r="I2" i="7"/>
  <c r="L2" i="7"/>
  <c r="Q2" i="7" s="1"/>
  <c r="V2" i="7" s="1"/>
  <c r="AA2" i="7" s="1"/>
  <c r="AF2" i="7" s="1"/>
  <c r="M2" i="7"/>
  <c r="N2" i="7" s="1"/>
  <c r="C3" i="7"/>
  <c r="D3" i="7"/>
  <c r="E3" i="7"/>
  <c r="L1" i="7" s="1"/>
  <c r="O10" i="7" s="1"/>
  <c r="I3" i="7"/>
  <c r="L3" i="7"/>
  <c r="Q3" i="7" s="1"/>
  <c r="V3" i="7" s="1"/>
  <c r="AA3" i="7" s="1"/>
  <c r="AF3" i="7" s="1"/>
  <c r="M3" i="7"/>
  <c r="C4" i="7"/>
  <c r="D4" i="7"/>
  <c r="E4" i="7"/>
  <c r="Q1" i="7" s="1"/>
  <c r="I4" i="7"/>
  <c r="L4" i="7"/>
  <c r="Q4" i="7" s="1"/>
  <c r="V4" i="7" s="1"/>
  <c r="AA4" i="7" s="1"/>
  <c r="AF4" i="7" s="1"/>
  <c r="M4" i="7"/>
  <c r="R4" i="7" s="1"/>
  <c r="C5" i="7"/>
  <c r="D5" i="7"/>
  <c r="E5" i="7"/>
  <c r="V1" i="7" s="1"/>
  <c r="I5" i="7"/>
  <c r="L5" i="7"/>
  <c r="Q5" i="7" s="1"/>
  <c r="V5" i="7" s="1"/>
  <c r="AA5" i="7" s="1"/>
  <c r="AF5" i="7" s="1"/>
  <c r="M5" i="7"/>
  <c r="C6" i="7"/>
  <c r="D6" i="7"/>
  <c r="E6" i="7"/>
  <c r="AA1" i="7" s="1"/>
  <c r="I6" i="7"/>
  <c r="L6" i="7"/>
  <c r="Q6" i="7" s="1"/>
  <c r="V6" i="7" s="1"/>
  <c r="AA6" i="7" s="1"/>
  <c r="AF6" i="7" s="1"/>
  <c r="M6" i="7"/>
  <c r="C7" i="7"/>
  <c r="D7" i="7"/>
  <c r="E7" i="7"/>
  <c r="AF1" i="7" s="1"/>
  <c r="I7" i="7"/>
  <c r="J7" i="7"/>
  <c r="L7" i="7"/>
  <c r="Q7" i="7" s="1"/>
  <c r="M7" i="7"/>
  <c r="R7" i="7" s="1"/>
  <c r="W7" i="7" s="1"/>
  <c r="C8" i="7"/>
  <c r="D8" i="7"/>
  <c r="E8" i="7"/>
  <c r="I8" i="7"/>
  <c r="L8" i="7"/>
  <c r="M8" i="7"/>
  <c r="R8" i="7" s="1"/>
  <c r="W8" i="7" s="1"/>
  <c r="Q8" i="7"/>
  <c r="C9" i="7"/>
  <c r="D9" i="7"/>
  <c r="E9" i="7"/>
  <c r="I9" i="7"/>
  <c r="J9" i="7"/>
  <c r="L9" i="7"/>
  <c r="Q9" i="7" s="1"/>
  <c r="V9" i="7" s="1"/>
  <c r="AA9" i="7" s="1"/>
  <c r="AF9" i="7" s="1"/>
  <c r="M9" i="7"/>
  <c r="R9" i="7" s="1"/>
  <c r="I10" i="7"/>
  <c r="L10" i="7"/>
  <c r="Q10" i="7" s="1"/>
  <c r="M10" i="7"/>
  <c r="R10" i="7"/>
  <c r="I11" i="7"/>
  <c r="L11" i="7"/>
  <c r="Q11" i="7" s="1"/>
  <c r="M11" i="7"/>
  <c r="I12" i="7"/>
  <c r="J12" i="7"/>
  <c r="L12" i="7"/>
  <c r="Q12" i="7" s="1"/>
  <c r="V12" i="7" s="1"/>
  <c r="AA12" i="7" s="1"/>
  <c r="AF12" i="7" s="1"/>
  <c r="M12" i="7"/>
  <c r="R12" i="7" s="1"/>
  <c r="I13" i="7"/>
  <c r="L13" i="7"/>
  <c r="Q13" i="7" s="1"/>
  <c r="V13" i="7" s="1"/>
  <c r="AA13" i="7" s="1"/>
  <c r="AF13" i="7" s="1"/>
  <c r="M13" i="7"/>
  <c r="R13" i="7"/>
  <c r="I14" i="7"/>
  <c r="L14" i="7"/>
  <c r="Q14" i="7" s="1"/>
  <c r="M14" i="7"/>
  <c r="R14" i="7" s="1"/>
  <c r="W14" i="7" s="1"/>
  <c r="I15" i="7"/>
  <c r="J15" i="7"/>
  <c r="L15" i="7"/>
  <c r="Q15" i="7" s="1"/>
  <c r="M15" i="7"/>
  <c r="F1" i="6"/>
  <c r="G1" i="6"/>
  <c r="I1" i="6"/>
  <c r="K1" i="6"/>
  <c r="L1" i="6" s="1"/>
  <c r="N1" i="6"/>
  <c r="P1" i="6"/>
  <c r="Q1" i="6" s="1"/>
  <c r="S1" i="6"/>
  <c r="U1" i="6"/>
  <c r="V1" i="6" s="1"/>
  <c r="X1" i="6"/>
  <c r="Z1" i="6"/>
  <c r="AA1" i="6" s="1"/>
  <c r="AC1" i="6"/>
  <c r="AE1" i="6"/>
  <c r="AF1" i="6" s="1"/>
  <c r="AH1" i="6"/>
  <c r="AJ1" i="6"/>
  <c r="AK1" i="6"/>
  <c r="AM1" i="6"/>
  <c r="AO1" i="6"/>
  <c r="AP1" i="6" s="1"/>
  <c r="AR1" i="6"/>
  <c r="C2" i="6"/>
  <c r="D2" i="6"/>
  <c r="E2" i="6"/>
  <c r="I2" i="6"/>
  <c r="N2" i="6"/>
  <c r="S2" i="6"/>
  <c r="X2" i="6"/>
  <c r="AC2" i="6"/>
  <c r="AH2" i="6"/>
  <c r="AM2" i="6"/>
  <c r="AR2" i="6"/>
  <c r="C3" i="6"/>
  <c r="D3" i="6"/>
  <c r="E3" i="6"/>
  <c r="I3" i="6"/>
  <c r="N3" i="6"/>
  <c r="S3" i="6"/>
  <c r="X3" i="6"/>
  <c r="AC3" i="6"/>
  <c r="AH3" i="6"/>
  <c r="AM3" i="6"/>
  <c r="AR3" i="6"/>
  <c r="C4" i="6"/>
  <c r="D4" i="6"/>
  <c r="E4" i="6"/>
  <c r="I4" i="6"/>
  <c r="N4" i="6"/>
  <c r="S4" i="6"/>
  <c r="X4" i="6"/>
  <c r="AC4" i="6"/>
  <c r="AH4" i="6"/>
  <c r="AM4" i="6"/>
  <c r="AR4" i="6"/>
  <c r="C5" i="6"/>
  <c r="D5" i="6"/>
  <c r="E5" i="6"/>
  <c r="I5" i="6"/>
  <c r="N5" i="6"/>
  <c r="S5" i="6"/>
  <c r="X5" i="6"/>
  <c r="AC5" i="6"/>
  <c r="AH5" i="6"/>
  <c r="AM5" i="6"/>
  <c r="AR5" i="6"/>
  <c r="C6" i="6"/>
  <c r="D6" i="6"/>
  <c r="E6" i="6"/>
  <c r="I6" i="6"/>
  <c r="N6" i="6"/>
  <c r="S6" i="6"/>
  <c r="X6" i="6"/>
  <c r="AC6" i="6"/>
  <c r="AH6" i="6"/>
  <c r="AM6" i="6"/>
  <c r="AR6" i="6"/>
  <c r="C7" i="6"/>
  <c r="D7" i="6"/>
  <c r="E7" i="6"/>
  <c r="I7" i="6"/>
  <c r="N7" i="6"/>
  <c r="S7" i="6"/>
  <c r="X7" i="6"/>
  <c r="AC7" i="6"/>
  <c r="AH7" i="6"/>
  <c r="AM7" i="6"/>
  <c r="AR7" i="6"/>
  <c r="C8" i="6"/>
  <c r="D8" i="6"/>
  <c r="E8" i="6"/>
  <c r="I8" i="6"/>
  <c r="N8" i="6"/>
  <c r="S8" i="6"/>
  <c r="X8" i="6"/>
  <c r="AC8" i="6"/>
  <c r="AH8" i="6"/>
  <c r="AM8" i="6"/>
  <c r="AR8" i="6"/>
  <c r="C9" i="6"/>
  <c r="D9" i="6"/>
  <c r="E9" i="6"/>
  <c r="I9" i="6"/>
  <c r="N9" i="6"/>
  <c r="S9" i="6"/>
  <c r="X9" i="6"/>
  <c r="AC9" i="6"/>
  <c r="AH9" i="6"/>
  <c r="AM9" i="6"/>
  <c r="AR9" i="6"/>
  <c r="I10" i="6"/>
  <c r="N10" i="6"/>
  <c r="S10" i="6"/>
  <c r="X10" i="6"/>
  <c r="AC10" i="6"/>
  <c r="AH10" i="6"/>
  <c r="AM10" i="6"/>
  <c r="AR10" i="6"/>
  <c r="I11" i="6"/>
  <c r="N11" i="6"/>
  <c r="S11" i="6"/>
  <c r="X11" i="6"/>
  <c r="AC11" i="6"/>
  <c r="AH11" i="6"/>
  <c r="AM11" i="6"/>
  <c r="AR11" i="6"/>
  <c r="I12" i="6"/>
  <c r="N12" i="6"/>
  <c r="S12" i="6"/>
  <c r="X12" i="6"/>
  <c r="AC12" i="6"/>
  <c r="AH12" i="6"/>
  <c r="AM12" i="6"/>
  <c r="AR12" i="6"/>
  <c r="I13" i="6"/>
  <c r="N13" i="6"/>
  <c r="S13" i="6"/>
  <c r="X13" i="6"/>
  <c r="AC13" i="6"/>
  <c r="AH13" i="6"/>
  <c r="AM13" i="6"/>
  <c r="AR13" i="6"/>
  <c r="I14" i="6"/>
  <c r="N14" i="6"/>
  <c r="S14" i="6"/>
  <c r="X14" i="6"/>
  <c r="AC14" i="6"/>
  <c r="AH14" i="6"/>
  <c r="AM14" i="6"/>
  <c r="AR14" i="6"/>
  <c r="I15" i="6"/>
  <c r="N15" i="6"/>
  <c r="S15" i="6"/>
  <c r="X15" i="6"/>
  <c r="AC15" i="6"/>
  <c r="AH15" i="6"/>
  <c r="AM15" i="6"/>
  <c r="AR15" i="6"/>
  <c r="I16" i="6"/>
  <c r="N16" i="6"/>
  <c r="S16" i="6"/>
  <c r="X16" i="6"/>
  <c r="AC16" i="6"/>
  <c r="AH16" i="6"/>
  <c r="AM16" i="6"/>
  <c r="AR16" i="6"/>
  <c r="I17" i="6"/>
  <c r="N17" i="6"/>
  <c r="S17" i="6"/>
  <c r="X17" i="6"/>
  <c r="AC17" i="6"/>
  <c r="AH17" i="6"/>
  <c r="AM17" i="6"/>
  <c r="AR17" i="6"/>
  <c r="I18" i="6"/>
  <c r="N18" i="6"/>
  <c r="S18" i="6"/>
  <c r="X18" i="6"/>
  <c r="AC18" i="6"/>
  <c r="AH18" i="6"/>
  <c r="AM18" i="6"/>
  <c r="AR18" i="6"/>
  <c r="I19" i="6"/>
  <c r="N19" i="6"/>
  <c r="S19" i="6"/>
  <c r="X19" i="6"/>
  <c r="AC19" i="6"/>
  <c r="AH19" i="6"/>
  <c r="AM19" i="6"/>
  <c r="AR19" i="6"/>
  <c r="I20" i="6"/>
  <c r="N20" i="6"/>
  <c r="S20" i="6"/>
  <c r="X20" i="6"/>
  <c r="AC20" i="6"/>
  <c r="AH20" i="6"/>
  <c r="AM20" i="6"/>
  <c r="AR20" i="6"/>
  <c r="I21" i="6"/>
  <c r="N21" i="6"/>
  <c r="S21" i="6"/>
  <c r="X21" i="6"/>
  <c r="AC21" i="6"/>
  <c r="AH21" i="6"/>
  <c r="AM21" i="6"/>
  <c r="AR21" i="6"/>
  <c r="C40" i="5"/>
  <c r="D40" i="5"/>
  <c r="E40" i="5"/>
  <c r="C41" i="5"/>
  <c r="D41" i="5"/>
  <c r="E41" i="5"/>
  <c r="C42" i="5"/>
  <c r="D42" i="5"/>
  <c r="E42" i="5"/>
  <c r="C43" i="5"/>
  <c r="D43" i="5"/>
  <c r="E43" i="5"/>
  <c r="C44" i="5"/>
  <c r="D44" i="5"/>
  <c r="E44" i="5"/>
  <c r="C45" i="5"/>
  <c r="D45" i="5"/>
  <c r="E45" i="5"/>
  <c r="C46" i="5"/>
  <c r="D46" i="5"/>
  <c r="E46" i="5"/>
  <c r="C47" i="5"/>
  <c r="D47" i="5"/>
  <c r="E47" i="5"/>
  <c r="C48" i="5"/>
  <c r="D48" i="5"/>
  <c r="E48" i="5"/>
  <c r="D1" i="4"/>
  <c r="E1" i="4"/>
  <c r="I1" i="4"/>
  <c r="J1" i="4"/>
  <c r="N1" i="4"/>
  <c r="O1" i="4"/>
  <c r="S1" i="4"/>
  <c r="T1" i="4"/>
  <c r="X1" i="4"/>
  <c r="Y1" i="4"/>
  <c r="D2" i="4"/>
  <c r="E2" i="4"/>
  <c r="I2" i="4"/>
  <c r="J2" i="4"/>
  <c r="N2" i="4"/>
  <c r="O2" i="4"/>
  <c r="S2" i="4"/>
  <c r="T2" i="4"/>
  <c r="X2" i="4"/>
  <c r="Y2" i="4"/>
  <c r="D3" i="4"/>
  <c r="E3" i="4"/>
  <c r="I3" i="4"/>
  <c r="J3" i="4"/>
  <c r="N3" i="4"/>
  <c r="O3" i="4"/>
  <c r="S3" i="4"/>
  <c r="T3" i="4"/>
  <c r="X3" i="4"/>
  <c r="Y3" i="4"/>
  <c r="D4" i="4"/>
  <c r="E4" i="4"/>
  <c r="I4" i="4"/>
  <c r="J4" i="4"/>
  <c r="N4" i="4"/>
  <c r="O4" i="4"/>
  <c r="S4" i="4"/>
  <c r="T4" i="4"/>
  <c r="X4" i="4"/>
  <c r="Y4" i="4"/>
  <c r="D5" i="4"/>
  <c r="E5" i="4"/>
  <c r="I5" i="4"/>
  <c r="J5" i="4"/>
  <c r="N5" i="4"/>
  <c r="O5" i="4"/>
  <c r="S5" i="4"/>
  <c r="T5" i="4"/>
  <c r="X5" i="4"/>
  <c r="Y5" i="4"/>
  <c r="D6" i="4"/>
  <c r="E6" i="4"/>
  <c r="I6" i="4"/>
  <c r="J6" i="4"/>
  <c r="N6" i="4"/>
  <c r="O6" i="4"/>
  <c r="S6" i="4"/>
  <c r="T6" i="4"/>
  <c r="X6" i="4"/>
  <c r="Y6" i="4"/>
  <c r="D7" i="4"/>
  <c r="E7" i="4"/>
  <c r="I7" i="4"/>
  <c r="J7" i="4"/>
  <c r="N7" i="4"/>
  <c r="O7" i="4"/>
  <c r="S7" i="4"/>
  <c r="T7" i="4"/>
  <c r="X7" i="4"/>
  <c r="Y7" i="4"/>
  <c r="D8" i="4"/>
  <c r="E8" i="4"/>
  <c r="I8" i="4"/>
  <c r="J8" i="4"/>
  <c r="N8" i="4"/>
  <c r="O8" i="4"/>
  <c r="S8" i="4"/>
  <c r="T8" i="4"/>
  <c r="X8" i="4"/>
  <c r="Y8" i="4"/>
  <c r="D9" i="4"/>
  <c r="E9" i="4"/>
  <c r="I9" i="4"/>
  <c r="J9" i="4"/>
  <c r="N9" i="4"/>
  <c r="O9" i="4"/>
  <c r="S9" i="4"/>
  <c r="T9" i="4"/>
  <c r="X9" i="4"/>
  <c r="Y9" i="4"/>
  <c r="D10" i="4"/>
  <c r="E10" i="4"/>
  <c r="I10" i="4"/>
  <c r="J10" i="4"/>
  <c r="N10" i="4"/>
  <c r="O10" i="4"/>
  <c r="S10" i="4"/>
  <c r="T10" i="4"/>
  <c r="D11" i="4"/>
  <c r="E11" i="4"/>
  <c r="I11" i="4"/>
  <c r="J11" i="4"/>
  <c r="N11" i="4"/>
  <c r="O11" i="4"/>
  <c r="S11" i="4"/>
  <c r="T11" i="4"/>
  <c r="D1" i="3"/>
  <c r="E1" i="3"/>
  <c r="I1" i="3"/>
  <c r="J1" i="3"/>
  <c r="N1" i="3"/>
  <c r="O1" i="3"/>
  <c r="S1" i="3"/>
  <c r="T1" i="3"/>
  <c r="X1" i="3"/>
  <c r="Y1" i="3"/>
  <c r="AC1" i="3"/>
  <c r="AD1" i="3"/>
  <c r="D2" i="3"/>
  <c r="E2" i="3"/>
  <c r="I2" i="3"/>
  <c r="J2" i="3"/>
  <c r="N2" i="3"/>
  <c r="O2" i="3"/>
  <c r="S2" i="3"/>
  <c r="T2" i="3"/>
  <c r="X2" i="3"/>
  <c r="Y2" i="3"/>
  <c r="AC2" i="3"/>
  <c r="AD2" i="3"/>
  <c r="D3" i="3"/>
  <c r="E3" i="3"/>
  <c r="I3" i="3"/>
  <c r="J3" i="3"/>
  <c r="N3" i="3"/>
  <c r="O3" i="3"/>
  <c r="S3" i="3"/>
  <c r="T3" i="3"/>
  <c r="X3" i="3"/>
  <c r="Y3" i="3"/>
  <c r="AC3" i="3"/>
  <c r="AD3" i="3"/>
  <c r="D4" i="3"/>
  <c r="E4" i="3"/>
  <c r="I4" i="3"/>
  <c r="J4" i="3"/>
  <c r="N4" i="3"/>
  <c r="O4" i="3"/>
  <c r="S4" i="3"/>
  <c r="T4" i="3"/>
  <c r="X4" i="3"/>
  <c r="Y4" i="3"/>
  <c r="AC4" i="3"/>
  <c r="AD4" i="3"/>
  <c r="D5" i="3"/>
  <c r="E5" i="3"/>
  <c r="I5" i="3"/>
  <c r="J5" i="3"/>
  <c r="N5" i="3"/>
  <c r="O5" i="3"/>
  <c r="S5" i="3"/>
  <c r="T5" i="3"/>
  <c r="X5" i="3"/>
  <c r="Y5" i="3"/>
  <c r="AC5" i="3"/>
  <c r="AD5" i="3"/>
  <c r="D6" i="3"/>
  <c r="E6" i="3"/>
  <c r="I6" i="3"/>
  <c r="J6" i="3"/>
  <c r="N6" i="3"/>
  <c r="O6" i="3"/>
  <c r="S6" i="3"/>
  <c r="T6" i="3"/>
  <c r="X6" i="3"/>
  <c r="Y6" i="3"/>
  <c r="D7" i="3"/>
  <c r="E7" i="3"/>
  <c r="I7" i="3"/>
  <c r="J7" i="3"/>
  <c r="N7" i="3"/>
  <c r="O7" i="3"/>
  <c r="S7" i="3"/>
  <c r="T7" i="3"/>
  <c r="X7" i="3"/>
  <c r="Y7" i="3"/>
  <c r="D8" i="3"/>
  <c r="E8" i="3"/>
  <c r="I8" i="3"/>
  <c r="J8" i="3"/>
  <c r="N8" i="3"/>
  <c r="O8" i="3"/>
  <c r="X8" i="3"/>
  <c r="Y8" i="3"/>
  <c r="D9" i="3"/>
  <c r="E9" i="3"/>
  <c r="I9" i="3"/>
  <c r="J9" i="3"/>
  <c r="N9" i="3"/>
  <c r="O9" i="3"/>
  <c r="X9" i="3"/>
  <c r="Y9" i="3"/>
  <c r="D10" i="3"/>
  <c r="E10" i="3"/>
  <c r="I10" i="3"/>
  <c r="J10" i="3"/>
  <c r="N10" i="3"/>
  <c r="O10" i="3"/>
  <c r="D11" i="3"/>
  <c r="E11" i="3"/>
  <c r="I11" i="3"/>
  <c r="J11" i="3"/>
  <c r="N11" i="3"/>
  <c r="O11" i="3"/>
  <c r="D12" i="3"/>
  <c r="E12" i="3"/>
  <c r="I12" i="3"/>
  <c r="J12" i="3"/>
  <c r="D13" i="3"/>
  <c r="E13" i="3"/>
  <c r="I13" i="3"/>
  <c r="J13" i="3"/>
  <c r="D1" i="2"/>
  <c r="E1" i="2"/>
  <c r="I1" i="2"/>
  <c r="J1" i="2"/>
  <c r="N1" i="2"/>
  <c r="O1" i="2"/>
  <c r="S1" i="2"/>
  <c r="T1" i="2"/>
  <c r="D2" i="2"/>
  <c r="I2" i="2"/>
  <c r="N2" i="2"/>
  <c r="S2" i="2"/>
  <c r="D3" i="2"/>
  <c r="E3" i="2"/>
  <c r="I3" i="2"/>
  <c r="J3" i="2"/>
  <c r="N3" i="2"/>
  <c r="O3" i="2"/>
  <c r="S3" i="2"/>
  <c r="T3" i="2"/>
  <c r="D4" i="2"/>
  <c r="E4" i="2"/>
  <c r="I4" i="2"/>
  <c r="J4" i="2"/>
  <c r="N4" i="2"/>
  <c r="O4" i="2"/>
  <c r="S4" i="2"/>
  <c r="T4" i="2"/>
  <c r="D5" i="2"/>
  <c r="E5" i="2"/>
  <c r="I5" i="2"/>
  <c r="J5" i="2"/>
  <c r="N5" i="2"/>
  <c r="O5" i="2"/>
  <c r="S5" i="2"/>
  <c r="T5" i="2"/>
  <c r="D6" i="2"/>
  <c r="E6" i="2"/>
  <c r="I6" i="2"/>
  <c r="J6" i="2"/>
  <c r="N6" i="2"/>
  <c r="O6" i="2"/>
  <c r="S6" i="2"/>
  <c r="T6" i="2"/>
  <c r="D7" i="2"/>
  <c r="E7" i="2"/>
  <c r="I7" i="2"/>
  <c r="J7" i="2"/>
  <c r="N7" i="2"/>
  <c r="O7" i="2"/>
  <c r="S7" i="2"/>
  <c r="T7" i="2"/>
  <c r="D8" i="2"/>
  <c r="E8" i="2"/>
  <c r="I8" i="2"/>
  <c r="J8" i="2"/>
  <c r="N8" i="2"/>
  <c r="O8" i="2"/>
  <c r="S8" i="2"/>
  <c r="T8" i="2"/>
  <c r="D9" i="2"/>
  <c r="E9" i="2"/>
  <c r="I9" i="2"/>
  <c r="J9" i="2"/>
  <c r="N9" i="2"/>
  <c r="O9" i="2"/>
  <c r="S9" i="2"/>
  <c r="T9" i="2"/>
  <c r="D10" i="2"/>
  <c r="E10" i="2"/>
  <c r="I10" i="2"/>
  <c r="J10" i="2"/>
  <c r="N10" i="2"/>
  <c r="O10" i="2"/>
  <c r="S10" i="2"/>
  <c r="T10" i="2"/>
  <c r="D11" i="2"/>
  <c r="E11" i="2"/>
  <c r="I11" i="2"/>
  <c r="J11" i="2"/>
  <c r="N11" i="2"/>
  <c r="O11" i="2"/>
  <c r="S11" i="2"/>
  <c r="T11" i="2"/>
  <c r="D12" i="2"/>
  <c r="E12" i="2"/>
  <c r="I12" i="2"/>
  <c r="J12" i="2"/>
  <c r="N12" i="2"/>
  <c r="O12" i="2"/>
  <c r="S12" i="2"/>
  <c r="T12" i="2"/>
  <c r="D13" i="2"/>
  <c r="E13" i="2"/>
  <c r="I13" i="2"/>
  <c r="J13" i="2"/>
  <c r="N13" i="2"/>
  <c r="O13" i="2"/>
  <c r="S13" i="2"/>
  <c r="T13" i="2"/>
  <c r="D14" i="2"/>
  <c r="E14" i="2"/>
  <c r="I14" i="2"/>
  <c r="J14" i="2"/>
  <c r="N14" i="2"/>
  <c r="O14" i="2"/>
  <c r="S14" i="2"/>
  <c r="T14" i="2"/>
  <c r="D15" i="2"/>
  <c r="E15" i="2"/>
  <c r="I15" i="2"/>
  <c r="J15" i="2"/>
  <c r="N15" i="2"/>
  <c r="O15" i="2"/>
  <c r="S15" i="2"/>
  <c r="T15" i="2"/>
  <c r="D16" i="2"/>
  <c r="E16" i="2"/>
  <c r="I16" i="2"/>
  <c r="J16" i="2"/>
  <c r="N16" i="2"/>
  <c r="O16" i="2"/>
  <c r="S16" i="2"/>
  <c r="T16" i="2"/>
  <c r="D17" i="2"/>
  <c r="E17" i="2"/>
  <c r="I17" i="2"/>
  <c r="J17" i="2"/>
  <c r="N17" i="2"/>
  <c r="O17" i="2"/>
  <c r="S17" i="2"/>
  <c r="T17" i="2"/>
  <c r="D18" i="2"/>
  <c r="E18" i="2"/>
  <c r="I18" i="2"/>
  <c r="J18" i="2"/>
  <c r="N18" i="2"/>
  <c r="O18" i="2"/>
  <c r="S18" i="2"/>
  <c r="T18" i="2"/>
  <c r="D19" i="2"/>
  <c r="E19" i="2"/>
  <c r="I19" i="2"/>
  <c r="J19" i="2"/>
  <c r="N19" i="2"/>
  <c r="O19" i="2"/>
  <c r="S19" i="2"/>
  <c r="T19" i="2"/>
  <c r="I20" i="2"/>
  <c r="J20" i="2"/>
  <c r="N20" i="2"/>
  <c r="O20" i="2"/>
  <c r="S20" i="2"/>
  <c r="T20" i="2"/>
  <c r="I21" i="2"/>
  <c r="J21" i="2"/>
  <c r="N21" i="2"/>
  <c r="O21" i="2"/>
  <c r="S21" i="2"/>
  <c r="T21" i="2"/>
  <c r="I22" i="2"/>
  <c r="J22" i="2"/>
  <c r="N22" i="2"/>
  <c r="O22" i="2"/>
  <c r="S22" i="2"/>
  <c r="T22" i="2"/>
  <c r="I23" i="2"/>
  <c r="J23" i="2"/>
  <c r="N23" i="2"/>
  <c r="O23" i="2"/>
  <c r="S23" i="2"/>
  <c r="T23" i="2"/>
  <c r="I24" i="2"/>
  <c r="J24" i="2"/>
  <c r="N24" i="2"/>
  <c r="O24" i="2"/>
  <c r="S24" i="2"/>
  <c r="T24" i="2"/>
  <c r="I25" i="2"/>
  <c r="J25" i="2"/>
  <c r="N25" i="2"/>
  <c r="O25" i="2"/>
  <c r="S25" i="2"/>
  <c r="T25" i="2"/>
  <c r="I26" i="2"/>
  <c r="J26" i="2"/>
  <c r="N26" i="2"/>
  <c r="O26" i="2"/>
  <c r="S26" i="2"/>
  <c r="T26" i="2"/>
  <c r="I27" i="2"/>
  <c r="J27" i="2"/>
  <c r="N27" i="2"/>
  <c r="O27" i="2"/>
  <c r="S27" i="2"/>
  <c r="T27" i="2"/>
  <c r="I28" i="2"/>
  <c r="J28" i="2"/>
  <c r="N28" i="2"/>
  <c r="O28" i="2"/>
  <c r="I29" i="2"/>
  <c r="J29" i="2"/>
  <c r="N29" i="2"/>
  <c r="O29" i="2"/>
  <c r="I30" i="2"/>
  <c r="J30" i="2"/>
  <c r="N30" i="2"/>
  <c r="O30" i="2"/>
  <c r="I31" i="2"/>
  <c r="J31" i="2"/>
  <c r="N31" i="2"/>
  <c r="O31" i="2"/>
  <c r="N32" i="2"/>
  <c r="O32" i="2"/>
  <c r="N33" i="2"/>
  <c r="O33" i="2"/>
  <c r="N34" i="2"/>
  <c r="O34" i="2"/>
  <c r="N35" i="2"/>
  <c r="O35" i="2"/>
  <c r="D1" i="1"/>
  <c r="E1" i="1"/>
  <c r="I1" i="1"/>
  <c r="J1" i="1"/>
  <c r="N1" i="1"/>
  <c r="O1" i="1"/>
  <c r="S1" i="1"/>
  <c r="T1" i="1"/>
  <c r="D2" i="1"/>
  <c r="E2" i="1"/>
  <c r="I2" i="1"/>
  <c r="J2" i="1"/>
  <c r="N2" i="1"/>
  <c r="O2" i="1"/>
  <c r="S2" i="1"/>
  <c r="T2" i="1"/>
  <c r="D3" i="1"/>
  <c r="E3" i="1"/>
  <c r="I3" i="1"/>
  <c r="J3" i="1"/>
  <c r="N3" i="1"/>
  <c r="O3" i="1"/>
  <c r="S3" i="1"/>
  <c r="T3" i="1"/>
  <c r="D4" i="1"/>
  <c r="E4" i="1"/>
  <c r="I4" i="1"/>
  <c r="J4" i="1"/>
  <c r="N4" i="1"/>
  <c r="O4" i="1"/>
  <c r="S4" i="1"/>
  <c r="T4" i="1"/>
  <c r="D5" i="1"/>
  <c r="E5" i="1"/>
  <c r="I5" i="1"/>
  <c r="J5" i="1"/>
  <c r="N5" i="1"/>
  <c r="O5" i="1"/>
  <c r="D6" i="1"/>
  <c r="E6" i="1"/>
  <c r="I6" i="1"/>
  <c r="J6" i="1"/>
  <c r="T1" i="6" l="1"/>
  <c r="AN1" i="6"/>
  <c r="J4" i="7"/>
  <c r="J2" i="7"/>
  <c r="J11" i="7"/>
  <c r="N6" i="7"/>
  <c r="J14" i="7"/>
  <c r="J6" i="7"/>
  <c r="J8" i="7"/>
  <c r="J10" i="7"/>
  <c r="J3" i="7"/>
  <c r="J13" i="7"/>
  <c r="O4" i="7"/>
  <c r="N13" i="7"/>
  <c r="N10" i="7"/>
  <c r="N1" i="7"/>
  <c r="N15" i="7"/>
  <c r="O12" i="7"/>
  <c r="N8" i="7"/>
  <c r="O3" i="7"/>
  <c r="N3" i="7"/>
  <c r="N7" i="7"/>
  <c r="N11" i="7"/>
  <c r="N14" i="7"/>
  <c r="N4" i="7"/>
  <c r="T8" i="7"/>
  <c r="R2" i="7"/>
  <c r="V15" i="7"/>
  <c r="AA15" i="7" s="1"/>
  <c r="AF15" i="7" s="1"/>
  <c r="T12" i="7"/>
  <c r="W12" i="7"/>
  <c r="V7" i="7"/>
  <c r="AA7" i="7" s="1"/>
  <c r="AF7" i="7" s="1"/>
  <c r="T7" i="7"/>
  <c r="AB7" i="7"/>
  <c r="AB14" i="7"/>
  <c r="Y1" i="6"/>
  <c r="V14" i="7"/>
  <c r="AA14" i="7" s="1"/>
  <c r="AF14" i="7" s="1"/>
  <c r="T14" i="7"/>
  <c r="V11" i="7"/>
  <c r="AA11" i="7" s="1"/>
  <c r="AF11" i="7" s="1"/>
  <c r="AB8" i="7"/>
  <c r="W4" i="7"/>
  <c r="AS1" i="6"/>
  <c r="T10" i="7"/>
  <c r="V10" i="7"/>
  <c r="AA10" i="7" s="1"/>
  <c r="AF10" i="7" s="1"/>
  <c r="AD1" i="7"/>
  <c r="N12" i="7"/>
  <c r="O9" i="7"/>
  <c r="N9" i="7"/>
  <c r="O2" i="7"/>
  <c r="O14" i="7"/>
  <c r="W13" i="7"/>
  <c r="Y13" i="7" s="1"/>
  <c r="R11" i="7"/>
  <c r="O7" i="7"/>
  <c r="R5" i="7"/>
  <c r="T5" i="7" s="1"/>
  <c r="AI1" i="6"/>
  <c r="O1" i="6"/>
  <c r="T13" i="7"/>
  <c r="O11" i="7"/>
  <c r="W10" i="7"/>
  <c r="V8" i="7"/>
  <c r="AA8" i="7" s="1"/>
  <c r="AF8" i="7" s="1"/>
  <c r="O5" i="7"/>
  <c r="R3" i="7"/>
  <c r="Y1" i="7"/>
  <c r="N5" i="7"/>
  <c r="Y4" i="7"/>
  <c r="Y12" i="7"/>
  <c r="AD1" i="6"/>
  <c r="J1" i="6"/>
  <c r="O13" i="7"/>
  <c r="T1" i="7"/>
  <c r="O8" i="7"/>
  <c r="R6" i="7"/>
  <c r="T6" i="7" s="1"/>
  <c r="T4" i="7"/>
  <c r="R15" i="7"/>
  <c r="W9" i="7"/>
  <c r="Y9" i="7" s="1"/>
  <c r="Y7" i="7"/>
  <c r="O6" i="7"/>
  <c r="O15" i="7"/>
  <c r="T9" i="7"/>
  <c r="AI1" i="7"/>
  <c r="O1" i="7"/>
  <c r="AD7" i="7" l="1"/>
  <c r="AD14" i="7"/>
  <c r="Y14" i="7"/>
  <c r="W2" i="7"/>
  <c r="S2" i="7"/>
  <c r="S1" i="7"/>
  <c r="T2" i="7"/>
  <c r="S8" i="7"/>
  <c r="S3" i="7"/>
  <c r="W3" i="7"/>
  <c r="X4" i="7" s="1"/>
  <c r="S7" i="7"/>
  <c r="S14" i="7"/>
  <c r="T3" i="7"/>
  <c r="S6" i="7"/>
  <c r="W6" i="7"/>
  <c r="S5" i="7"/>
  <c r="W5" i="7"/>
  <c r="AG14" i="7"/>
  <c r="AD8" i="7"/>
  <c r="AB4" i="7"/>
  <c r="AB10" i="7"/>
  <c r="Y10" i="7"/>
  <c r="S9" i="7"/>
  <c r="S4" i="7"/>
  <c r="AG7" i="7"/>
  <c r="S11" i="7"/>
  <c r="W11" i="7"/>
  <c r="AG8" i="7"/>
  <c r="AB13" i="7"/>
  <c r="T11" i="7"/>
  <c r="AB12" i="7"/>
  <c r="AB9" i="7"/>
  <c r="S12" i="7"/>
  <c r="S15" i="7"/>
  <c r="W15" i="7"/>
  <c r="Y8" i="7"/>
  <c r="S10" i="7"/>
  <c r="S13" i="7"/>
  <c r="T15" i="7"/>
  <c r="X13" i="7" l="1"/>
  <c r="X10" i="7"/>
  <c r="Y2" i="7"/>
  <c r="X2" i="7"/>
  <c r="AB2" i="7"/>
  <c r="AI14" i="7"/>
  <c r="AI8" i="7"/>
  <c r="X5" i="7"/>
  <c r="AB5" i="7"/>
  <c r="Y5" i="7"/>
  <c r="AC13" i="7"/>
  <c r="AG13" i="7"/>
  <c r="AD13" i="7"/>
  <c r="X15" i="7"/>
  <c r="AB15" i="7"/>
  <c r="Y15" i="7"/>
  <c r="X11" i="7"/>
  <c r="AB11" i="7"/>
  <c r="Y11" i="7"/>
  <c r="X6" i="7"/>
  <c r="AB6" i="7"/>
  <c r="Y6" i="7"/>
  <c r="AC4" i="7"/>
  <c r="AG4" i="7"/>
  <c r="AD4" i="7"/>
  <c r="AI7" i="7"/>
  <c r="X9" i="7"/>
  <c r="AC9" i="7"/>
  <c r="AG9" i="7"/>
  <c r="AD9" i="7"/>
  <c r="AC12" i="7"/>
  <c r="AG12" i="7"/>
  <c r="AD12" i="7"/>
  <c r="AB3" i="7"/>
  <c r="X3" i="7"/>
  <c r="X1" i="7"/>
  <c r="X8" i="7"/>
  <c r="X7" i="7"/>
  <c r="X14" i="7"/>
  <c r="Y3" i="7"/>
  <c r="X12" i="7"/>
  <c r="AG10" i="7"/>
  <c r="AC10" i="7"/>
  <c r="AD10" i="7"/>
  <c r="AG2" i="7" l="1"/>
  <c r="AD2" i="7"/>
  <c r="AC2" i="7"/>
  <c r="AC15" i="7"/>
  <c r="AG15" i="7"/>
  <c r="AD15" i="7"/>
  <c r="AI9" i="7"/>
  <c r="AI4" i="7"/>
  <c r="AI13" i="7"/>
  <c r="AI10" i="7"/>
  <c r="AC5" i="7"/>
  <c r="AG5" i="7"/>
  <c r="AD5" i="7"/>
  <c r="AG6" i="7"/>
  <c r="AH12" i="7" s="1"/>
  <c r="AC6" i="7"/>
  <c r="AD6" i="7"/>
  <c r="AC3" i="7"/>
  <c r="AG3" i="7"/>
  <c r="AD3" i="7"/>
  <c r="AC7" i="7"/>
  <c r="AC14" i="7"/>
  <c r="AC8" i="7"/>
  <c r="AC1" i="7"/>
  <c r="AC11" i="7"/>
  <c r="AG11" i="7"/>
  <c r="AD11" i="7"/>
  <c r="AI12" i="7"/>
  <c r="AH9" i="7" l="1"/>
  <c r="AH2" i="7"/>
  <c r="AI2" i="7"/>
  <c r="AH5" i="7"/>
  <c r="AI5" i="7"/>
  <c r="AH11" i="7"/>
  <c r="AI11" i="7"/>
  <c r="AH10" i="7"/>
  <c r="AH6" i="7"/>
  <c r="AI6" i="7"/>
  <c r="AH13" i="7"/>
  <c r="AH4" i="7"/>
  <c r="AH3" i="7"/>
  <c r="AI3" i="7"/>
  <c r="AH14" i="7"/>
  <c r="AH8" i="7"/>
  <c r="AH1" i="7"/>
  <c r="AH7" i="7"/>
  <c r="AH15" i="7"/>
  <c r="AI15" i="7"/>
</calcChain>
</file>

<file path=xl/sharedStrings.xml><?xml version="1.0" encoding="utf-8"?>
<sst xmlns="http://schemas.openxmlformats.org/spreadsheetml/2006/main" count="1044" uniqueCount="509">
  <si>
    <t>DMG</t>
  </si>
  <si>
    <t>[[2d6*10]] gp * [[3d6]] pp</t>
  </si>
  <si>
    <t>[[1d6]] pp</t>
  </si>
  <si>
    <t>[[2d6*100]] gp &amp; [[2d6*10]] pp</t>
  </si>
  <si>
    <t>[[4d6*10]] gp</t>
  </si>
  <si>
    <t>[[3d6]] gp</t>
  </si>
  <si>
    <t>[[1d6*1000]] gp &amp; [[2d6*100]] pp</t>
  </si>
  <si>
    <t>[[2d6*100]] gp &amp; [[1d6*10]] pp</t>
  </si>
  <si>
    <t>[[3d6*10]] ep &amp; [[2d6*10]] gp</t>
  </si>
  <si>
    <t>[[3d6]] ep</t>
  </si>
  <si>
    <t>[[1d6*1000]] gp &amp; [[1d6*100]] pp</t>
  </si>
  <si>
    <t>[[1d6*100]] ep &amp; [[1d6*100]] gp</t>
  </si>
  <si>
    <t>[[6d6*10]] sp &amp; [[2d6*10]] gp</t>
  </si>
  <si>
    <t>[[4d6]] sp</t>
  </si>
  <si>
    <t>[[2d6*1000]] ep &amp; [[8d6*100]] gp</t>
  </si>
  <si>
    <t>[[4d6*100]] sp &amp; [[1d6*100]] gp</t>
  </si>
  <si>
    <t>[[4d6*100]] cp &amp; [[1d6*10]] gp</t>
  </si>
  <si>
    <t>[[5d6]] cp</t>
  </si>
  <si>
    <t>Weight</t>
  </si>
  <si>
    <t>Source</t>
  </si>
  <si>
    <t>Individual Treasure: Challenge 17+</t>
  </si>
  <si>
    <t>Individual Treasure: Challenge 11-16</t>
  </si>
  <si>
    <t>Individual Treasure: Challenge 5-10</t>
  </si>
  <si>
    <t>Individual Treasure: Challenge 0-4</t>
  </si>
  <si>
    <t>[[3d6]] 1000 gp gems &amp; 1 Magic Item Table I</t>
  </si>
  <si>
    <t>[[3d6]] 500 gp gems &amp; 1 Magic Item Table I</t>
  </si>
  <si>
    <t>[[2d4]] 750 gp art objects &amp; 1 Magic Item Table I</t>
  </si>
  <si>
    <t>[[2d4]] 250 gp art objects &amp; 1 Magic Item Table I</t>
  </si>
  <si>
    <t>[[3d6]] 1000 gp gems &amp; [[1d4]] Magic Item Table H</t>
  </si>
  <si>
    <t>[[2d4]] 250 gp art objects &amp; 1 Magic Item Table H</t>
  </si>
  <si>
    <t>[[3d6]] 500 gp gems &amp; [[1d4]] Magic Item Table H</t>
  </si>
  <si>
    <t>[[3d6]] 100 gp gems &amp; 1 Magic Item Table H</t>
  </si>
  <si>
    <t>[[2d4]] 750 gp art objects &amp; [[1d4]] Magic Item Table H</t>
  </si>
  <si>
    <t>[[2d4]] 250 gp art objects &amp; [[1d4]] Magic Item Table G</t>
  </si>
  <si>
    <t>[[2d4]] 250 gp art objects &amp; [[1d4]] Magic Item Table H</t>
  </si>
  <si>
    <t>[[3d6]] 100 gp gems &amp; [[1d4]] Magic Item Table G</t>
  </si>
  <si>
    <t>[[1d8]] 5000 gp gems &amp; [[1d4]] Magic Item Table I</t>
  </si>
  <si>
    <t>[[3d6]] 1000 gp gems &amp; 1 Magic Item Table F &amp; [[1d4]] Magic Item Table G</t>
  </si>
  <si>
    <t>[[2d4]] 250 gp art objects &amp; [[1d4]] Magic Item Table F</t>
  </si>
  <si>
    <t>[[1d4]] 7500 gp art objects &amp; [[1d4]] Magic Item Table I</t>
  </si>
  <si>
    <t>[[3d6]] 500 gp gems &amp; 1 Magic Item Table F &amp; [[1d4]] Magic Item Table G</t>
  </si>
  <si>
    <t>[[3d6]] 100 gp gems &amp; [[1d4]] Magic Item Table F</t>
  </si>
  <si>
    <t>[[1d10]] 2500 gp art objects &amp; [[1d4]] Magic Item Table I</t>
  </si>
  <si>
    <t>[[2d4]] 750 gp art objects &amp; 1 Magic Item Table F &amp; [[1d4]] Magic Item Table G</t>
  </si>
  <si>
    <t>[[3d6]] 50 gp gems &amp; [[1d4]] Magic Item Table F</t>
  </si>
  <si>
    <t>[[3d6]] 1000 gp gems &amp; [[1d4]] Magic Item Table I</t>
  </si>
  <si>
    <t>[[2d4]] 250 gp art objects &amp; 1 Magic Item Table F &amp; [[1d4]] Magic Item Table G</t>
  </si>
  <si>
    <t>[[2d4]] 25 gp art objects &amp; [[1d4]] Magic Item Table F</t>
  </si>
  <si>
    <t>[[1d8]] 5000 gp gems &amp; [[1d4]] Magic Item Table H</t>
  </si>
  <si>
    <t>[[3d6]] 1000 gp gems &amp; 1 Magic Item Table E</t>
  </si>
  <si>
    <t>[[2d4]] 250 gp art objects &amp; 1 Magic Item Table D</t>
  </si>
  <si>
    <t>[[1d4]] 7500 gp art objects &amp; [[1d4]] Magic Item Table H</t>
  </si>
  <si>
    <t>[[3d6]] 500 gp gems &amp; 1 Magic Item Table E</t>
  </si>
  <si>
    <t>[[3d6]] 100 gp gems &amp; 1 Magic Item Table D</t>
  </si>
  <si>
    <t>[[1d10]] 2500 gp art objects &amp; [[1d4]] Magic Item Table H</t>
  </si>
  <si>
    <t>[[2d4]] 750 gp art objects &amp; 1 Magic Item Table E</t>
  </si>
  <si>
    <t>[[3d6]] 50 gp gems &amp; 1 Magic Item Table D</t>
  </si>
  <si>
    <t>[[2d4]] 250 gp art objects &amp; 1 Magic Item Table E</t>
  </si>
  <si>
    <t>[[2d4]] 25 gp art objects &amp; 1 Magic Item Table D</t>
  </si>
  <si>
    <t>[[3d6]] 1000 gp gems &amp; [[1d4]] Magic Item Table D</t>
  </si>
  <si>
    <t>[[2d4]] 250 gp art objects &amp; [[1d4]] Magic Item Table C</t>
  </si>
  <si>
    <t>[[2d6]] 50 gp gems &amp; 1 Magic Item Table G</t>
  </si>
  <si>
    <t>[[1d4]] 7500 gp art objects &amp; [[1d4]] Magic Item Table G</t>
  </si>
  <si>
    <t>[[3d6]] 500 gp gems &amp; [[1d4]] Magic Item Table D</t>
  </si>
  <si>
    <t>[[3d6]] 100 gp gems &amp; [[1d4]] Magic Item Table C</t>
  </si>
  <si>
    <t>[[2d4]] 25 gp art objects &amp; 1 Magic Item Table G</t>
  </si>
  <si>
    <t>[[1d10]] 2500 gp art objects &amp; [[1d4]] Magic Item Table G</t>
  </si>
  <si>
    <t>[[2d4]] 750 gp art objects &amp; [[1d4]] Magic Item Table D</t>
  </si>
  <si>
    <t>[[3d6]] 50 gp gems &amp; [[1d4]] Magic Item Table C</t>
  </si>
  <si>
    <t>[[2d6]] 50 gp gems &amp; [[1d4]] Magic Item Table F</t>
  </si>
  <si>
    <t>[[3d6]] 1000 gp gems &amp; [[1d4]] Magic Item Table G</t>
  </si>
  <si>
    <t>[[2d4]] 250 gp art objects &amp; [[1d4]] Magic Item Table D</t>
  </si>
  <si>
    <t>[[2d4]] 25 gp art objects &amp; [[1d4]] Magic Item Table C</t>
  </si>
  <si>
    <t>[[1d8]] 5000 gp gems &amp; [[1d6]] Magic Item Table E</t>
  </si>
  <si>
    <t>[[3d6]] 1000 gp gems &amp; [[1d6]] Magic Item Table C</t>
  </si>
  <si>
    <t>[[2d4]] 250 gp art objects &amp; [[1d4]] Magic Item Table B</t>
  </si>
  <si>
    <t>[[2d6]] 50 gp gems &amp; [[1d4]] Magic Item Table C</t>
  </si>
  <si>
    <t>[[1d4]] 7500 gp art objects &amp; [[1d6]] Magic Item Table E</t>
  </si>
  <si>
    <t>[[3d6]] 500 gp gems &amp; [[1d6]] Magic Item Table C</t>
  </si>
  <si>
    <t>[[3d6]] 100 gp gems &amp; [[1d4]] Magic Item Table B</t>
  </si>
  <si>
    <t>[[1d10]] 2500 gp art objects &amp; [[1d6]] Magic Item Table E</t>
  </si>
  <si>
    <t>[[2d4]] 750 gp art objects &amp; [[1d6]] Magic Item Table C</t>
  </si>
  <si>
    <t>[[3d6]] 50 gp gems &amp; [[1d4]] Magic Item Table B</t>
  </si>
  <si>
    <t>[[2d6]] 10 gp gems &amp; [[1d4]] Magic Item Table C</t>
  </si>
  <si>
    <t>[[3d6]] 1000 gp gems &amp; [[1d6]] Magic Item Table E</t>
  </si>
  <si>
    <t>[[2d4]] 250 gp art objects &amp; [[1d6]] Magic Item Table C</t>
  </si>
  <si>
    <t>[[2d4]] 25 gp art objects &amp; [[1d4]] Magic Item Table B</t>
  </si>
  <si>
    <t>[[2d6]] 50 gp gems &amp; [[1d4]] Magic Item Table B</t>
  </si>
  <si>
    <t>[[1d8]] 5000 gp gems &amp; [[1d6]] Magic Item Table D</t>
  </si>
  <si>
    <t>[[3d6]] 1000 gp gems &amp; [[1d4]] Magic Item Table A &amp; [[1d6]] Magic Item Table B</t>
  </si>
  <si>
    <t>[[2d4]] 250 gp art objects &amp; [[1d6]] Magic Item Table A</t>
  </si>
  <si>
    <t>[[1d4]] 7500 gp art objects &amp; [[1d6]] Magic Item Table D</t>
  </si>
  <si>
    <t>[[3d6]] 500 gp gems &amp; [[1d4]] Magic Item Table A &amp; [[1d6]] Magic Item Table B</t>
  </si>
  <si>
    <t>[[3d6]] 100 gp gems &amp; [[1d6]] Magic Item Table A</t>
  </si>
  <si>
    <t>[[2d6]] 10 gp gems &amp; [[1d4]] Magic Item Table B</t>
  </si>
  <si>
    <t>[[1d10]] 2500 gp art objects &amp; [[1d6]] Magic Item Table D</t>
  </si>
  <si>
    <t>[[2d4]] 750 gp art objects &amp; [[1d4]] Magic Item Table A &amp; [[1d6]] Magic Item Table B</t>
  </si>
  <si>
    <t>[[3d6]] 50 gp gems &amp; [[1d6]] Magic Item Table A</t>
  </si>
  <si>
    <t>[[2d6]] 50 gp gems &amp; [[1d6]] Magic Item Table A</t>
  </si>
  <si>
    <t>[[3d6]] 1000 gp gems &amp; [[1d6]] Magic Item Table D</t>
  </si>
  <si>
    <t>[[2d4]] 250 gp art objects &amp; [[1d4]] Magic Item Table A &amp; [[1d6]] Magic Item Table B</t>
  </si>
  <si>
    <t>[[2d4]] 25 gp art objects &amp; [[1d6]] Magic Item Table A</t>
  </si>
  <si>
    <t>[[1d8]] 5000 gp gems &amp; [[1d8]] Magic Item Table C</t>
  </si>
  <si>
    <t>[[3d6]] 1000 gp gems</t>
  </si>
  <si>
    <t>[[2d4]] 250 gp art objects</t>
  </si>
  <si>
    <t>[[2d6]] 10 gp gems &amp; [[1d6]] Magic Item Table A</t>
  </si>
  <si>
    <t>[[1d4]] 7500 gp art objects &amp; [[1d8]] Magic Item Table C</t>
  </si>
  <si>
    <t>[[3d6]] 500 gp gems</t>
  </si>
  <si>
    <t>[[3d6]] 100 gp gems</t>
  </si>
  <si>
    <t>[[2d6]] 50 gp gems</t>
  </si>
  <si>
    <t>[[1d10]] 2500 gp art objects &amp; [[1d8]] Magic Item Table C</t>
  </si>
  <si>
    <t>[[2d4]] 750 gp art objects</t>
  </si>
  <si>
    <t>[[3d6]] 50 gp gems</t>
  </si>
  <si>
    <t>[[2d4]] 25 gp art objects</t>
  </si>
  <si>
    <t>[[3d6]] 1000 gp gems &amp; [[1d8]] Magic Item Table C</t>
  </si>
  <si>
    <t>[[2d6]] 10 gp gems</t>
  </si>
  <si>
    <t>Nothing</t>
  </si>
  <si>
    <t>[[12d6*1000]] gp &amp; [[8d6*1000]] pp</t>
  </si>
  <si>
    <t>[[4d6*1000]] gp &amp; [[5d6*100]] pp</t>
  </si>
  <si>
    <t>[[2d6*100]] cp &amp; [[2d6*1000]] sp &amp; [[6d6*100]] gp &amp; [[3d6*10]] pp</t>
  </si>
  <si>
    <t>[[6d6*100]] cp &amp; [[3d6*100]] sp &amp; [[2d6*10]] gp</t>
  </si>
  <si>
    <t>Treasure Hoard: Challenge 11-16</t>
  </si>
  <si>
    <t>Treasure Hoard: Challenge 5-10</t>
  </si>
  <si>
    <t>Treasure Hoard: Challenge 0-4</t>
  </si>
  <si>
    <t>Zircon (transparent pale blue-green)</t>
  </si>
  <si>
    <t>Turquoise (opaque light blue-green)</t>
  </si>
  <si>
    <t>Star rose quartz (translucent rosy stone with white star-shaped center)</t>
  </si>
  <si>
    <t>Tiger eye (translucent brown with golden center)</t>
  </si>
  <si>
    <t>Tourmaline (transparent pale green, blue, brown, or red)</t>
  </si>
  <si>
    <t>Sardonyx (opaque bands of red and white)</t>
  </si>
  <si>
    <t>Rhodochrosite (opaque light pink)</t>
  </si>
  <si>
    <t>Spinel (transparent red, red-brown, or deep green)</t>
  </si>
  <si>
    <t>Quartz (transparent white, smoky gray, or yellow)</t>
  </si>
  <si>
    <t>Obsidian (opaque black)</t>
  </si>
  <si>
    <t>Yellow sapphire (transparent fiery yellow or yellow-green)</t>
  </si>
  <si>
    <t>Pearl (opaque lustrous white, yellow, or pink)</t>
  </si>
  <si>
    <t>Onyx (opaque bands of black and white, or pure black or white)</t>
  </si>
  <si>
    <t>Moss agate (translucent pink or yellow-white with mossy gray or green markings)</t>
  </si>
  <si>
    <t>Star sapphire (translucent blue sapphire with white star-shaped center)</t>
  </si>
  <si>
    <t>Jet (opaque deep black)</t>
  </si>
  <si>
    <t>Moonstone (translucent white with pale blue glow)</t>
  </si>
  <si>
    <t>Malachite (opaque striated light and dark green)</t>
  </si>
  <si>
    <t>Star ruby (translucent ruby with white star-shaped center)</t>
  </si>
  <si>
    <t>Topaz (transparent golden yellow)</t>
  </si>
  <si>
    <t>Jade (translucent light green, deep green, or white)</t>
  </si>
  <si>
    <t>Jasper (opaque blue, black, or brown)</t>
  </si>
  <si>
    <t>Lapis lazuli (opaque light and dark blue with yellow flecks)</t>
  </si>
  <si>
    <t>Opal (translucent pale blue with green and golden mottling)</t>
  </si>
  <si>
    <t>Peridot (transparent rich olive green)</t>
  </si>
  <si>
    <t>Garnet (transparent red, brown-green, or violet)</t>
  </si>
  <si>
    <t>Citrine (transparent pale yellow-brown)</t>
  </si>
  <si>
    <t>Hematite (opaque gray-black)</t>
  </si>
  <si>
    <t>Ruby (transparent clear red to deep crimson)</t>
  </si>
  <si>
    <t>Fire opal (translucent fiery red)</t>
  </si>
  <si>
    <t>Blue spinel (transparent deep blue)</t>
  </si>
  <si>
    <t>Coral (opaque crimson)</t>
  </si>
  <si>
    <t>Chrysoprase (translucent green)</t>
  </si>
  <si>
    <t>Eye agate (translucent circles of gray, white, brown, blue, or green)</t>
  </si>
  <si>
    <t>Jacinth (transparent fiery orange)</t>
  </si>
  <si>
    <t>Emerald (transparent deep bright green)</t>
  </si>
  <si>
    <t>Black pearl (opaque pure black)</t>
  </si>
  <si>
    <t>Chrysoberyl (transparent yellow-green to pale green)</t>
  </si>
  <si>
    <t>Chalcedony (opaque white)</t>
  </si>
  <si>
    <t>Blue quartz (transparent pale blue)</t>
  </si>
  <si>
    <t>Diamond (transparent blue-white, canary, pink, brown, or blue)</t>
  </si>
  <si>
    <t>Blue sapphire (transparent blue-white to medium blue)</t>
  </si>
  <si>
    <t>Aquamarine (transparent pale blue-green)</t>
  </si>
  <si>
    <t>Amethyst (transparent deep purple)</t>
  </si>
  <si>
    <t>Carnelian (opaque orange to red-brown)</t>
  </si>
  <si>
    <t>Banded agate (translucent striped brown, blue, white, or red)</t>
  </si>
  <si>
    <t>Black sapphire (translucent lustrous black with glowing highlights)</t>
  </si>
  <si>
    <t>Black opal (translucent dark green with black mottling and golden flecks)</t>
  </si>
  <si>
    <t>Alexandrite (transparent dark green)</t>
  </si>
  <si>
    <t>Amber (transparent watery gold to rich gold)</t>
  </si>
  <si>
    <t>Bloodstone (opaque dark gray with red flecks)</t>
  </si>
  <si>
    <t>Azurite (opaque mottled deep blue)</t>
  </si>
  <si>
    <t>Gems-5000gp</t>
  </si>
  <si>
    <t>Gems-1000gp</t>
  </si>
  <si>
    <t>Gems-500gp</t>
  </si>
  <si>
    <t>Gems-100gp</t>
  </si>
  <si>
    <t>Gems-50gp</t>
  </si>
  <si>
    <t>Gems-10gp</t>
  </si>
  <si>
    <t>A necklace string of small pink pearls</t>
  </si>
  <si>
    <t>Painted gold war mask</t>
  </si>
  <si>
    <t>Gold bird cage with electrum filigree</t>
  </si>
  <si>
    <t>Gold locket with a painted portrait inside</t>
  </si>
  <si>
    <t>Eye patch with a mock eye set in blue sapphire and moonstone</t>
  </si>
  <si>
    <t>Obsidian statuette with gold fittings and inlay</t>
  </si>
  <si>
    <t>Box of turquoise animal figurines</t>
  </si>
  <si>
    <t>Embroidered silk handkerchief</t>
  </si>
  <si>
    <t>Bejeweled ivory drinking horn with gold filigree</t>
  </si>
  <si>
    <t>Gold circlet set with four aquamarines</t>
  </si>
  <si>
    <t>Silver and gold brooch</t>
  </si>
  <si>
    <t>Brass mug with jade inlay</t>
  </si>
  <si>
    <t>Small mirror set in a painted wooden frame</t>
  </si>
  <si>
    <t>Jade game board with solid gold playing pieces</t>
  </si>
  <si>
    <t>Gold music box</t>
  </si>
  <si>
    <t>Ceremonial electrum dagger with a black pearl in the pommel</t>
  </si>
  <si>
    <t>Large well-made tapestry</t>
  </si>
  <si>
    <t>Pair of engraved bone dice</t>
  </si>
  <si>
    <t>Painted gold child's sarcophagus</t>
  </si>
  <si>
    <t>Jeweled anklet</t>
  </si>
  <si>
    <t>Bottle stopper cork embossed with gold leaf and set with amethysts</t>
  </si>
  <si>
    <t>Silk robe with gold embroidery</t>
  </si>
  <si>
    <t>Copper chalice with silver filigree</t>
  </si>
  <si>
    <t>Gold jewelry box with platinum filigree</t>
  </si>
  <si>
    <t>Embroidered glove set with jewel chips</t>
  </si>
  <si>
    <t>Gold dragon comb set with red garnets as eyes</t>
  </si>
  <si>
    <t>Bronze crown</t>
  </si>
  <si>
    <t>Black velvet mask stitched with silver thread</t>
  </si>
  <si>
    <t>Gold cup set with emeralds</t>
  </si>
  <si>
    <t>Platinum bracelet set with a sapphire</t>
  </si>
  <si>
    <t>Small gold idol</t>
  </si>
  <si>
    <t>Silver necklace with a gemstone pendant</t>
  </si>
  <si>
    <t>Cloth-of-gold vestments</t>
  </si>
  <si>
    <t>Small gold statuette set with rubies</t>
  </si>
  <si>
    <t>Embroidered silk and velvet mantle set with numerous moonstones</t>
  </si>
  <si>
    <t>Carved harp of exotic wood with ivory inlay and zircon gems</t>
  </si>
  <si>
    <t>Large gold bracelet</t>
  </si>
  <si>
    <t>Small gold bracelet</t>
  </si>
  <si>
    <t>Jeweled platinum ring</t>
  </si>
  <si>
    <t>Old masterpiece painting</t>
  </si>
  <si>
    <t>Silver-plated steel longsword with jet set in hilt</t>
  </si>
  <si>
    <t>Carved ivory statuette</t>
  </si>
  <si>
    <t>Carved bone statuette</t>
  </si>
  <si>
    <t>Jeweled gold crown</t>
  </si>
  <si>
    <t>Fine gold chain set with a fire opal</t>
  </si>
  <si>
    <t>Silver chalice set with moonstones</t>
  </si>
  <si>
    <t>Gold ring set with bloodstones</t>
  </si>
  <si>
    <t>Silver ewer</t>
  </si>
  <si>
    <t>Art-7500gp</t>
  </si>
  <si>
    <t>Art-2500gp</t>
  </si>
  <si>
    <t>Art-750gp</t>
  </si>
  <si>
    <t>Art-250gp</t>
  </si>
  <si>
    <t>Art-25gp</t>
  </si>
  <si>
    <t>When Selling, negotiating a Bad deal with a Friendly merchant can net you up to 90% of the item's value. Friendly merchants recognize that you aren't making much money.</t>
  </si>
  <si>
    <t>When Selling, negotiating a Good deal with Hostile merchants might end up with lowball offers, or worse, refusing to buy at all.</t>
  </si>
  <si>
    <t>When Buying, Bad deals might be easier to negotiate if the item has been sitting on the shelf for a while.</t>
  </si>
  <si>
    <t>When Buying, Good deals don't typically stick around. Communicate to your players that it's now or never as it'll be sold soon.</t>
  </si>
  <si>
    <t>For consumable items, it's best to reroll every day, week, month, or whatever seems appropriate. This will represent the stock fluctuating.</t>
  </si>
  <si>
    <t>For permanent/unique items, it's easiest to roll for the item's value as soon as it exists.</t>
  </si>
  <si>
    <t>The default buying price is the item's value, while the default selling price is 50% of that. Skil Check Success starts at a 10% discount and 75% buying price, and climbs from there.</t>
  </si>
  <si>
    <t>For multiple items, use your judgement. You could average the value, grant a bulk quantity bonus, or both, and shift the Difficulty down.</t>
  </si>
  <si>
    <r>
      <t xml:space="preserve">On the easy and impossible checks there are extra benefits and penalties to failing badly. This is because the merchant cannot become </t>
    </r>
    <r>
      <rPr>
        <i/>
        <sz val="14"/>
        <color theme="1"/>
        <rFont val="Calibri"/>
        <family val="2"/>
        <scheme val="minor"/>
      </rPr>
      <t>more</t>
    </r>
    <r>
      <rPr>
        <sz val="14"/>
        <color theme="1"/>
        <rFont val="Calibri"/>
        <family val="2"/>
        <scheme val="minor"/>
      </rPr>
      <t xml:space="preserve"> friendly or hostile to you.</t>
    </r>
  </si>
  <si>
    <t>This represents the merchant being either insulted by or enjoying your conversation.</t>
  </si>
  <si>
    <t>Success or failure by 5+ changes the merchant's disposition to you, and may even change the price being offered.</t>
  </si>
  <si>
    <t>Charisma (Deception) is also an option, but the merchant should be Hostile to you if and when the deception is unconvered.</t>
  </si>
  <si>
    <t>50,000+gp</t>
  </si>
  <si>
    <t>Legendary</t>
  </si>
  <si>
    <t>5,001-50,000gp</t>
  </si>
  <si>
    <t>Very Rare</t>
  </si>
  <si>
    <t>501-5,000gp</t>
  </si>
  <si>
    <t>Rare</t>
  </si>
  <si>
    <t>101-500gp</t>
  </si>
  <si>
    <t>Uncommon</t>
  </si>
  <si>
    <t>50-100gp</t>
  </si>
  <si>
    <t>Common</t>
  </si>
  <si>
    <t>-</t>
  </si>
  <si>
    <t>Moderate</t>
  </si>
  <si>
    <t>Easy</t>
  </si>
  <si>
    <t>20+2d4</t>
  </si>
  <si>
    <t>Masterwork</t>
  </si>
  <si>
    <t>DMG Values</t>
  </si>
  <si>
    <t>Impossible</t>
  </si>
  <si>
    <t>10+2d4</t>
  </si>
  <si>
    <t>Luxury</t>
  </si>
  <si>
    <t>Hard</t>
  </si>
  <si>
    <t>High</t>
  </si>
  <si>
    <t>Table I</t>
  </si>
  <si>
    <t>25+</t>
  </si>
  <si>
    <t>Table E</t>
  </si>
  <si>
    <t>20-24</t>
  </si>
  <si>
    <t>Medium</t>
  </si>
  <si>
    <t>Table H</t>
  </si>
  <si>
    <t>15-19</t>
  </si>
  <si>
    <t>Table D</t>
  </si>
  <si>
    <t>10-14</t>
  </si>
  <si>
    <t>Table G</t>
  </si>
  <si>
    <t>5-9</t>
  </si>
  <si>
    <t>Low</t>
  </si>
  <si>
    <t>Table C</t>
  </si>
  <si>
    <t>&lt;5</t>
  </si>
  <si>
    <t>Table F</t>
  </si>
  <si>
    <t>Roll↓/DC→</t>
  </si>
  <si>
    <t>Worthless</t>
  </si>
  <si>
    <t>Table B</t>
  </si>
  <si>
    <t>Broken</t>
  </si>
  <si>
    <t>Table A</t>
  </si>
  <si>
    <t>Crafting DC to Add Value</t>
  </si>
  <si>
    <t>Hostile Haggle</t>
  </si>
  <si>
    <t>Neutral Haggle</t>
  </si>
  <si>
    <t>Friendly Haggle</t>
  </si>
  <si>
    <t>Value Multiplier</t>
  </si>
  <si>
    <t>Value Category</t>
  </si>
  <si>
    <t>Weight (2d4)</t>
  </si>
  <si>
    <t>Value Score</t>
  </si>
  <si>
    <t>Average Value</t>
  </si>
  <si>
    <t>Default Value Range</t>
  </si>
  <si>
    <t>Value Formula</t>
  </si>
  <si>
    <t>Base Number</t>
  </si>
  <si>
    <t>5d. Artisan's Tools have enough trouble being relavant as it is, so be lenient on them. Woodcarvers can make magic wands, tailors can make magic cloaks, and cobblers can make magic boots.</t>
  </si>
  <si>
    <t>5c. Most non-generic enchantments should include a thematic item related to the final enchantment, and preferably from a creature with a CR appropriate to the rarity. This can often replace all or part of the raw material cost.</t>
  </si>
  <si>
    <t>5b. Transfering an enchantment should cost the Table Base Number, and the original item is destroyed. Cheaper than buying the enchantment / item whole, but not without cost.</t>
  </si>
  <si>
    <t>5a. Cost of the raw materials / attempt should be twice the Table Base Number. On a successful craft, that's the minimum value of the item.</t>
  </si>
  <si>
    <t>5. Creation Crafting: You can use whatever system you like, obviously. These are just some suggestions with this pricing system in mind.</t>
  </si>
  <si>
    <t>4e. Minor table values (B-E) never overlap with the Major table values (F-I) of the same tier. Major table values do overlap with the Minor table values of the tier above, however.</t>
  </si>
  <si>
    <t>4d. I do not change things if the item is consumable. Consumables are already on the Minor tables (B-E), and their price reflects that.</t>
  </si>
  <si>
    <t>4c. Similarly, very high rolls while buying items with values of 2 and 3 suggest the item is free. I'm usually okay with that, but it'll often come with a quest hook as a contingency.</t>
  </si>
  <si>
    <t>4b. Very high rolls on Haggling while selling an item with values 2, 3, or 4 can result in selling the item for more than it's worth. You're welcome to cap the sale price, but I allow it to happen. It's fun.</t>
  </si>
  <si>
    <t>4a. Using one base value for everything on a table creates some issues when the mundane base item cost is not trivial. Adamantine (Table F) Plate Armor cannot cost less than mundane Plate Armor. Base numbers are set by printed cost divided by 5, so Adamantine (100) Plate Armor (1500/5=300) should use a Base of 400. I use that if the Item Base is close to, or more than, the Table Base.</t>
  </si>
  <si>
    <t>4. Notes and Edge Cases:</t>
  </si>
  <si>
    <t>3f. Remember than we are talking about haggling in terms of Base Number multiples. Haggling for 1 score on a 2 score item is a much bigger deal than haggling for 1 on an 8, and is appropriately more difficult. Using percentages uses more math, sooner, without adding anything useful. This approach assumes that nuance will show with the statistics across a campaign.</t>
  </si>
  <si>
    <t>Example 5: Sell a Table G magic item with a Value Score of 10, and a Value Multiplier of 27, to a neutral merchant. Divide 27 by 2 and round down for a score of 13. Player rolls a moderate haggle check and gets a 21, for a change of 2, and a final sale value of 15. Multiplied by 1000gp results in a merchant offer of 15000gp.</t>
  </si>
  <si>
    <t>Example 4: Buy a Table C magic item with a Value Score of 3 from a hostile merchant: Player rolls an Impossible haggle check and gets a 9, for a (DM discretion) change of 3 in the other direction, and a final purchase value of 6. Failing to haggle with a hostile merchant on a cheap item has resulted in insulting them and doubling the price, 1500gp.</t>
  </si>
  <si>
    <t>Example 3: Sell a Table B magic item with a Value Score of 8 to a friendly merchant: Divide 8 by 2 and round down for a sale score of 4. Player rolls an Easy haggle check and gets a 23, for a change of 3, and a final sale value of 7. Multiply 7 by the base number for Table B (25gp) and the merchant offers 175gp.</t>
  </si>
  <si>
    <t>Example 2: Sell a Table F magic item with a Value Score of 5 to a neutral merchant: Divide 5 by 2 and round down for a sale score of 2. Player rolls a Moderate haggle check and gets a 27, for a change of 3, and a final sale value of 5. Multiply 5 by the base number for Table F (100gp) and the merchant offer of 500gp.</t>
  </si>
  <si>
    <t>Example 1: Buy a Table F magic item with a Value Score of 6 from a neutral merchant: Player tries a Moderate haggle check and gets a 13, for no change, and a final purchase value of 6. Multiply 6 by the base number for Table F (100gp) for a purchase price of 600gp.</t>
  </si>
  <si>
    <t>3e. Examples:</t>
  </si>
  <si>
    <t>3d. Once the modifier is set, add it to the Buy/Sell Value, then multiply the final number by the Base Number for the appropriate table.</t>
  </si>
  <si>
    <t>3c. Levels of success and failure might be possible. At your discretion, failure may come with a reversal of effect, changing the price in the opposite direction as desired. You may also alter the merchant attitude. A vindictive, hostile merchant might charge more if you try, and fail, to haggle on a purchase.</t>
  </si>
  <si>
    <t>3b. Decide on an appropriate skill - Charisma (Persuasion), usually - have the player roll the check, then consult the table. Other proficiencies can be appropriate, like Smith's Tools for a weapon, but preferably you still use Charisma, Wisdom, or Intelligence as the Mod.</t>
  </si>
  <si>
    <t>3a. This is a great place to use NPC attitudes. Most merchants are neutral.</t>
  </si>
  <si>
    <t>3. If a player wishes to haggle, and you want to allow it, assign a Difficulty DC or use the recommended DC based on Merchant Attitude and Value Category. I generally disallow it for all mundane items and consumables in most situations.</t>
  </si>
  <si>
    <t>2a. Sometimes the sale price may differ from the Value Score. A traveling merchant might mark up their potions and items to a Value Score of 8, regardless of the actual score. Or a warehouse sale might sell for 1 less than the Value Score. In these cases it should be made obvious to the player. After puchasing, (if needed), roll for the "Actual" Value Score of the item.</t>
  </si>
  <si>
    <t>2. Buying and Selling: Players can (usually) buy an item for the Value Score, or sell it for half of the Value Score (Rounded Down)</t>
  </si>
  <si>
    <t>1h. Feel free to change a Value Score to account for in game events. Even an ugly sword can become a 10 if it killed a famous dragon.</t>
  </si>
  <si>
    <t>1g. Some items have multiple "versions" of clearly different power level on the same loot table. An example is spell scrolls. On the tables that can be resolved with relative probabilities, which don't apply here. I usually default these to 4 and 6, or 4, 5, and 6 when there are three. You might prefer 3 and 7, or 4, 6, and 8, etc.</t>
  </si>
  <si>
    <t>1f. Consumables might have a random Value Score each time a player visits a shop to represent fluctuating supplies, or you can choose on your own.</t>
  </si>
  <si>
    <t>1e. Most items have a fixed Value Score that is inherent to them. This score is abstract and can represent anything you want, like aesthetics or societal trends.</t>
  </si>
  <si>
    <t>1d. 9 and 10 break the trend for the Value Multiplier and are used for particularly exceptional items. I like to think of 9 as a luxury item or a designer brand, like Porsche, Prada, etc. Rare, but not unique. 10 represents a unique item, eiter famous, true master craft, or both. A painting by Van Gogh, Jimi Hendrix's guiter, etc.</t>
  </si>
  <si>
    <t>1c. 0 is reserved for broken or non-functional items. 1 is (mostly) used for Cursed items, which are functional but have no sale value.</t>
  </si>
  <si>
    <t>1b. If you're using some kind of crafting system, still use 2d4 as soon as the item is created. A modification roll can be used later to further express crafting proficiency. If the item starts at a 7 or 8, it represents a really excellent bout of inspiration and maybe no modification is necessary.</t>
  </si>
  <si>
    <t>1a. The default score is 5, and should be used for all (or most) mundane items. 2d4 is normalized to the middle values of 4, 5, and 6. Only 1/3 items will be an outlier and roll a value score of 2, 3, 7, or 8. No item will randomly end up at 0, 1, 9, or 10.</t>
  </si>
  <si>
    <t>1. Setting the Value Score: As soon as the item exists (whether as loot, in a shop, or crafted), assign a Value Score to the item, 1-10, or roll 2d4 to randomize. Predetermined Value Scores are appropriate for specific/unique items or if you want to create specific brands, like designer or discount.</t>
  </si>
  <si>
    <t>How to Use:</t>
  </si>
  <si>
    <t>The core of the system is a Value Score, 0-10, on which everything is based. Value Score is (almost) always independent to item function. All +1 Swords are +1 Swords.</t>
  </si>
  <si>
    <t>The simple structure is to divide the published cost of an item by 5 then multiply the result by 2d4. This creates a distribution around the published cost to add some variety and add gameplay choices without a lot of work.</t>
  </si>
  <si>
    <t>Tourmaline</t>
  </si>
  <si>
    <t>Topaz</t>
  </si>
  <si>
    <t>Spinel</t>
  </si>
  <si>
    <t>Sapphire</t>
  </si>
  <si>
    <t>Ruby</t>
  </si>
  <si>
    <t>Quartz</t>
  </si>
  <si>
    <t>Peridot</t>
  </si>
  <si>
    <t>Pearl</t>
  </si>
  <si>
    <t>Black Pearl</t>
  </si>
  <si>
    <t>Opal</t>
  </si>
  <si>
    <t>Onyx</t>
  </si>
  <si>
    <t>Jet</t>
  </si>
  <si>
    <t>Jade</t>
  </si>
  <si>
    <t>Jacinth</t>
  </si>
  <si>
    <t>Garnet</t>
  </si>
  <si>
    <t>Emerald</t>
  </si>
  <si>
    <t>Diamond</t>
  </si>
  <si>
    <t>Citrine</t>
  </si>
  <si>
    <t>Aquamarine</t>
  </si>
  <si>
    <t>Amethyst</t>
  </si>
  <si>
    <t>Agate</t>
  </si>
  <si>
    <t>Table Name</t>
  </si>
  <si>
    <t>Range (5+1d6-1d6)</t>
  </si>
  <si>
    <t>Gem Base Value</t>
  </si>
  <si>
    <t>Gem Rarity</t>
  </si>
  <si>
    <t>Large Written</t>
  </si>
  <si>
    <t>Written</t>
  </si>
  <si>
    <t>Large Wooden</t>
  </si>
  <si>
    <t>Wooden</t>
  </si>
  <si>
    <t>Large Painted</t>
  </si>
  <si>
    <t>Painted</t>
  </si>
  <si>
    <t>Large Glass</t>
  </si>
  <si>
    <t>Glass</t>
  </si>
  <si>
    <t>Large Fabric</t>
  </si>
  <si>
    <t>Fabric</t>
  </si>
  <si>
    <t>Large Ceramic</t>
  </si>
  <si>
    <t>Ceramic</t>
  </si>
  <si>
    <t>Large Bejeweled</t>
  </si>
  <si>
    <t>Bejeweled</t>
  </si>
  <si>
    <t>Art Base Value</t>
  </si>
  <si>
    <t>Art Rarity</t>
  </si>
  <si>
    <t>[[8d6*100]] pp &amp; [[ 1t[Magic-Item-Table-I] ]]</t>
  </si>
  <si>
    <t>[[8d6*10]] pp &amp; [[ 1t[Magic-Item-Table-H] ]]</t>
  </si>
  <si>
    <t>[[ 1t[Gems-6-5000-gp] ]] &amp; [[ 1t[Magic-Item-Table-D] ]] &amp; [[ 1t[Magic-Item-Table-I] ]]</t>
  </si>
  <si>
    <t>[[4d6*100]] pp [[ 1t[Magic-Item-Table-E] ]]</t>
  </si>
  <si>
    <t>[[4d6*10]] pp [[ 1t[Magic-Item-Table-D] ]]</t>
  </si>
  <si>
    <t>[[ 1t[Gems-5-1250-gp] ]] &amp; [[ 1t[Magic-Item-Table-D] ]] &amp; [[ 1t[Magic-Item-Table-G] ]]</t>
  </si>
  <si>
    <t>[[4d4]] pp &amp; [[ 1t[Magic-Item-Table-C] ]] &amp; [[ 1t[Magic-Item-Table-H] ]]</t>
  </si>
  <si>
    <t>[[2d6*100]] pp [[ 1t[Magic-Item-Table-D] ]]</t>
  </si>
  <si>
    <t>[[2d6*10]] pp [[ 1t[Magic-Item-Table-C] ]]</t>
  </si>
  <si>
    <t>[[ 1t[Gems-5-1250-gp] ]] &amp; [[ 1t[Magic-Item-Table-D] ]] &amp; [[ 1t[Magic-Item-Table-H] ]]</t>
  </si>
  <si>
    <t>[[ 1t[Gems-4-500-gp] ]] pp &amp; [[ 1t[Magic-Item-Table-C] ]] &amp; [[ 1t[Magic-Item-Table-G] ]]</t>
  </si>
  <si>
    <t>[[4d4]] pp &amp; [[ 1t[Magic-Item-Table-C] ]] &amp; [[ 1t[Magic-Item-Table-G] ]]</t>
  </si>
  <si>
    <t>[[ 1t[Gems-4-500-gp] ]] &amp; [[ 1t[Magic-Item-Table-D] ]] &amp; [[ 1t[Magic-Item-Table-G] ]]</t>
  </si>
  <si>
    <t xml:space="preserve">[[ 1t[Gems-4-500-gp] ]] &amp; [[ 1t[Magic-Item-Table-C] ]] </t>
  </si>
  <si>
    <t>[[4d4]] pp &amp; [[ 1t[Magic-Item-Table-C] ]] &amp; [[ 1t[Magic-Item-Table-F] ]]</t>
  </si>
  <si>
    <t>[[ 1t[Gems-7-12500-gp] ]] &amp; [[ 1t[Magic-Item-Table-C] ]]</t>
  </si>
  <si>
    <t>[[ 1t[Gems-7-12500-gp] ]] &amp; [[ 1t[Magic-Item-Table-B] ]]</t>
  </si>
  <si>
    <t>[[ 1t[Gems-6-5000-gp] ]] &amp; [[ 1t[Magic-Item-Table-B] ]]</t>
  </si>
  <si>
    <t>[[ 1t[Gems-5-1250-gp] ]] &amp; [[ 1t[Magic-Item-Table-A] ]]</t>
  </si>
  <si>
    <t>[[ 1t[Gems-8-50000-gp] ]] &amp; [[ 1t[Magic-Item-Table-E] ]] &amp; [[ 1t[Magic-Item-Table-I] ]]</t>
  </si>
  <si>
    <t>[[ 1t[Gems-6-5000-gp] ]] &amp; [[ 1t[Magic-Item-Table-C] ]]</t>
  </si>
  <si>
    <t>[[ 1t[Gems-5-1250-gp] ]] &amp; [[ 1t[Magic-Item-Table-B] ]]</t>
  </si>
  <si>
    <t>[[ 1t[Gems-4-500-gp] ]] &amp; [[ 1t[Magic-Item-Table-A] ]]</t>
  </si>
  <si>
    <t>[[2d4*100]] pp</t>
  </si>
  <si>
    <t>[[2d4*10]] pp</t>
  </si>
  <si>
    <t>[[ 1t[Gems-7-12500-gp] ]] &amp; [[ 1t[Magic-Item-Table-E] ]] &amp; [[ 1t[Magic-Item-Table-H] ]]</t>
  </si>
  <si>
    <t>[[ 1t[Gems-5-1250-gp] ]] &amp; [[ 1t[Magic-Item-Table-C] ]]</t>
  </si>
  <si>
    <t>[[ 1t[Gems-4-500-gp] ]] &amp; [[ 1t[Magic-Item-Table-B] ]]</t>
  </si>
  <si>
    <t>[[ 1t[Gems-3-125-gp] ]] &amp; [[ 1t[Magic-Item-Table-A] ]]</t>
  </si>
  <si>
    <t>[[4d6]] gp</t>
  </si>
  <si>
    <t>[[2d6]] sp</t>
  </si>
  <si>
    <t>[[ 1t[Gems-7-12500-gp] ]] &amp; [[ 1t[Magic-Item-Table-D] ]] &amp; [[ 1t[Magic-Item-Table-H] ]]</t>
  </si>
  <si>
    <t>[[ 1t[Gems-5-1250-gp] ]]</t>
  </si>
  <si>
    <t>[[ 1t[Gems-4-500-gp] ]]</t>
  </si>
  <si>
    <t>[[4d6]] pp</t>
  </si>
  <si>
    <t>[[2d6]] pp</t>
  </si>
  <si>
    <t>[[2d6]] gp</t>
  </si>
  <si>
    <t>[[1d6*50]] pp</t>
  </si>
  <si>
    <t>[[5*1d6]] pp</t>
  </si>
  <si>
    <t>[[ 1t[Gems-8-50000-gp] ]] &amp; [[ 1t[Magic-Item-Table-D] ]] &amp; [[ 1t[Magic-Item-Table-G] ]]</t>
  </si>
  <si>
    <t>[[1d6]] gp</t>
  </si>
  <si>
    <t>[[ 1t[Gems-7-12500-gp] ]] &amp; [[ 1t[Magic-Item-Table-D] ]] &amp; [[ 1t[Magic-Item-Table-G] ]]</t>
  </si>
  <si>
    <t>[[2d6]] cp</t>
  </si>
  <si>
    <t>[[1d6]] cp</t>
  </si>
  <si>
    <t>Individual-20+</t>
  </si>
  <si>
    <t>Individual-17-19</t>
  </si>
  <si>
    <t>Individual-14-16</t>
  </si>
  <si>
    <t>Individual-11-13</t>
  </si>
  <si>
    <t>Individual-8-10</t>
  </si>
  <si>
    <t>Individual-5-7</t>
  </si>
  <si>
    <t>Individual-2-4</t>
  </si>
  <si>
    <t>[[4d6*1000]] pp &amp; [[ [[1d6]]t[Gems-7-12500-gp] ]] &amp; [[ [[1d4]]t[Art-7-125000-gp] ]]</t>
  </si>
  <si>
    <t>[[4d6*100]] pp &amp; [[ [[1d6]]t[Gems-5-1250-gp] ]] &amp; [[ [[1d4]]t[Art-5-12500-gp] ]]</t>
  </si>
  <si>
    <t>[[4d6*1000]] pp &amp; [[ [[1d6]]t[Gems-7-12500-gp] ]] &amp; [[ 1t[Art-7-125000-gp] ]]</t>
  </si>
  <si>
    <t>[[4d6*100]] pp &amp; [[ [[1d6]]t[Gems-5-1250-gp] ]] &amp; [[ 1t[Art-5-12500-gp] ]]</t>
  </si>
  <si>
    <t>[[4d6*1000]] pp &amp; [[ [[1d6]]t[Gems-7-12500-gp] ]] &amp; [[ [[1d4]]t[Art-6-50000-gp] ]]</t>
  </si>
  <si>
    <t>[[4d6*100]] pp &amp; [[ [[1d6]]t[Gems-5-1250-gp] ]] &amp; [[ [[1d4]]t[Art-4-5000-gp] ]]</t>
  </si>
  <si>
    <t>[[4d6*1000]] pp &amp; [[ [[1d6]]t[Gems-7-12500-gp] ]] &amp; [[ 1t[Art-6-50000-gp] ]]</t>
  </si>
  <si>
    <t>[[4d6*100]] pp &amp; [[ [[1d6]]t[Gems-5-1250-gp] ]] &amp; [[ 1t[Art-4-5000-gp] ]]</t>
  </si>
  <si>
    <t>[[4d6*10000]] pp &amp; [[ [[1d6]]t[Gems-8-50000-gp] ]] &amp; [[ [[1d4]]t[Art-8-500000-gp] ]]</t>
  </si>
  <si>
    <t>[[4d6*1000]] pp &amp; [[ [[1d6]]t[Gems-6-5000-gp] ]] &amp; [[ [[1d4]]t[Art-6-50000-gp] ]]</t>
  </si>
  <si>
    <t>[[4d6*100]] pp &amp; [[ [[1d6]]t[Gems-4-500-gp] ]] &amp; [[ [[1d4]]t[Art-4-5000-gp] ]]</t>
  </si>
  <si>
    <t>[[4d6*10000]] pp &amp; [[ [[1d6]]t[Gems-8-50000-gp] ]] &amp; [[ 1t[Art-8-500000-gp] ]]</t>
  </si>
  <si>
    <t>[[4d6*1000]] pp &amp; [[ [[1d6]]t[Gems-6-5000-gp] ]] &amp; [[ 1t[Art-6-50000-gp] ]]</t>
  </si>
  <si>
    <t>[[4d6*100]] pp &amp; [[ [[1d6]]t[Gems-4-500-gp] ]] &amp; [[ 1t[Art-4-5000-gp] ]]</t>
  </si>
  <si>
    <t>[[4d6*10000]] pp &amp; [[ [[1d6]]t[Gems-8-50000-gp] ]]</t>
  </si>
  <si>
    <t>[[4d6*1000]] pp &amp; [[ [[1d6]]t[Gems-6-5000-gp] ]]</t>
  </si>
  <si>
    <t>[[4d6*100]] pp &amp; [[ [[1d6]]t[Gems-4-500-gp] ]]</t>
  </si>
  <si>
    <t>Treasure-Hoard-Tier-4</t>
  </si>
  <si>
    <t>Treasure-Hoard-Tier-3</t>
  </si>
  <si>
    <t>Treasure-Hoard-Tier-2</t>
  </si>
  <si>
    <t>Treasure-Hoard-Tier-1</t>
  </si>
  <si>
    <t>Treasure-Hoard-Tier-0</t>
  </si>
  <si>
    <t>Change Item Value Multiplier (Haggle/Crafting)</t>
  </si>
  <si>
    <t>+1</t>
  </si>
  <si>
    <t>+2</t>
  </si>
  <si>
    <t>+3</t>
  </si>
  <si>
    <t>+4</t>
  </si>
  <si>
    <t>Very Hard</t>
  </si>
  <si>
    <t>[[2d4]] gp &amp; [[ 1t[Magic-Item-Table-A] ]] &amp; [[ 1t[Magic-Item-Table-F] ]]</t>
  </si>
  <si>
    <t>[[ 3t[Gems-1-25-gp] ]] &amp; [[ 1t[Magic-Item-Table-A] ]]</t>
  </si>
  <si>
    <t>[[ 2t[Gems-2-50-gp] ]] &amp; [[ 1t[Magic-Item-Table-A] ]]</t>
  </si>
  <si>
    <t>[[2d4]] gp &amp; [[ 1t[Magic-Item-Table-A] ]] &amp; [[ 1t[Magic-Item-Table-B] ]]</t>
  </si>
  <si>
    <t>[[2d4]] gp &amp; [[ 1t[Magic-Item-Table-A] ]] &amp; [[ 1t[Magic-Item-Table-B] ]] &amp; [[ 1t[Magic-Item-Table-F] ]]</t>
  </si>
  <si>
    <t xml:space="preserve">[[2d4]] pp &amp; [[ 1t[Magic-Item-Table-A] ]] &amp; [[ 1t[Magic-Item-Table-B] ]] </t>
  </si>
  <si>
    <t>[[2d4]] pp &amp; [[ 1t[Magic-Item-Table-A] ]] &amp; [[ 1t[Magic-Item-Table-B] ]] &amp; [[ 1t[Magic-Item-Table-F] ]]</t>
  </si>
  <si>
    <t>[[2d4]] pp &amp; [[ 1t[Magic-Item-Table-A] ]] &amp; [[ 1t[Magic-Item-Table-C] ]] &amp; [[ 1t[Magic-Item-Table-F] ]]</t>
  </si>
  <si>
    <t>[[2d4]] pp &amp; [[ 1t[Magic-Item-Table-A] ]] &amp; [[ 1t[Magic-Item-Table-C] ]] &amp; [[ 1t[Magic-Item-Table-G] ]]</t>
  </si>
  <si>
    <t>[[1d6]] pp &amp; [[4d6]] gp &amp; [[6d8]] sp &amp; [[10d10]] cp</t>
  </si>
  <si>
    <t>[[1d6]] pp &amp; [[4d6]] gp &amp; [[6d8]] sp &amp; [[10d10]] cp &amp; [[ 1t[Gems-1-25-gp] ]]</t>
  </si>
  <si>
    <t>[[1d6]] pp &amp; [[4d6]] gp &amp; [[6d8]] sp &amp; [[10d10]] cp &amp; [[ [[1d4]]t[Gems-1-25-gp] ]]</t>
  </si>
  <si>
    <t>[[1d6]] pp &amp; [[4d6]] gp &amp; [[6d8]] sp &amp; [[10d10]] cp &amp; [[ [[2d4]]t[Gems-1-25-gp] ]]</t>
  </si>
  <si>
    <t>[[1d6]] pp &amp; [[4d6]] gp &amp; [[6d8]] sp &amp; [[10d10]] cp &amp; [[ [[2d4]]t[Gems-1-25-gp] ]] &amp; [[ 1t[Gems-2-50-gp] ]]</t>
  </si>
  <si>
    <t>[[1d6]] pp &amp; [[4d6]] gp &amp; [[6d8]] sp &amp; [[10d10]] cp &amp; [[ [[2d4]]t[Gems-1-25-gp] ]] &amp; [[ 1t[Gems-2-50-gp] ]] &amp; [[ 1t[Art-1-100-gp] ]]</t>
  </si>
  <si>
    <t>[[1d6*10+1d10]] pp &amp; [[4d6*10+1d10]] gp &amp; [[6d8*10+1d10]] sp &amp; [[10d10*10+1d10]] cp &amp; [[ [[3d6]]t[Gems-1-25-gp] ]] &amp; [[ [[1d4]]t[Gems-2-50-gp] ]]</t>
  </si>
  <si>
    <t xml:space="preserve">[[1d6*10+1d10]] pp &amp; [[4d6*10+1d10]] gp &amp; [[6d8*10+1d10]] sp &amp; [[10d10*10+1d10]] cp &amp; [[ [[3d6]]t[Gems-1-25-gp] ]] </t>
  </si>
  <si>
    <t>[[1d6*10+1d10]] pp &amp; [[4d6*10+1d10]] gp &amp; [[6d8*10+1d10]] sp &amp; [[10d10*10+1d10]] cp &amp; [[ [[3d6]]t[Gems-1-25-gp] ]] &amp; [[ [[2d4]]t[Gems-2-50-gp] ]] &amp; [[ [[1d4]]t[Art-1-100-gp] ]]</t>
  </si>
  <si>
    <t>[[1d6]] pp &amp; [[4d6]] gp &amp; [[6d8]] sp &amp; [[10d10]] cp &amp; [[ [[3d4]]t[Gems-1-25-gp] ]] &amp; [[ [[1d4]]t[Gems-2-50-gp] ]] &amp; [[ 1t[Art-1-100-gp] ]]</t>
  </si>
  <si>
    <t>[[1d6*10+1d10]] pp &amp; [[4d6*10+1d10]] gp &amp; [[6d8*10+1d10]] sp &amp; [[10d10*10+1d10]] cp &amp; [[ [[3d6]]t[Gems-1-25-gp] ]] &amp; [[ [[2d4]]t[Gems-2-50-gp] ]] &amp; [[ [[1d4]]t[Art-1-100-gp] ]] &amp; [[ [[1d4]]t[Gems-3-125-gp] ]]</t>
  </si>
  <si>
    <t>[[1d6*10+1d10]] pp &amp; [[4d6*10+1d10]] gp &amp; [[6d8*10+1d10]] sp &amp; [[10d10*10+1d10]] cp &amp; [[ [[3d6]]t[Gems-1-25-gp] ]] &amp; [[ [[2d4]]t[Gems-2-50-gp] ]] &amp; [[ [[1d4]]t[Art-1-100-gp] ]] &amp; [[ [[2d4]]t[Gems-3-125-gp] ]] &amp; [[ 1t[Art-2-500-gp] ]]</t>
  </si>
  <si>
    <t>[[1d6*10+1d10]] pp &amp; [[4d6*10+1d10]] gp &amp; [[6d8*10+1d10]] sp &amp; [[10d10*10+1d10]] cp &amp; [[ [[3d6]]t[Gems-1-25-gp] ]] &amp; [[ [[2d4]]t[Gems-2-50-gp] ]] &amp; [[ [[1d4]]t[Art-1-100-gp] ]] &amp; [[ [[2d4]]t[Gems-3-125-gp] ]] &amp; [[ 1t[Art-2-500-gp] ]] &amp; [[ 1t[Gems-4-500-gp] ]]</t>
  </si>
  <si>
    <t>[[1d6*10+1d10]] pp &amp; [[4d6*10+1d10]] gp &amp; [[6d8*10+1d10]] sp &amp; [[10d10*10+1d10]] cp &amp; [[ [[3d6]]t[Gems-1-25-gp] ]] &amp; [[ [[2d4]]t[Gems-2-50-gp] ]] &amp; [[ [[1d4]]t[Art-1-100-gp] ]] &amp; [[ [[2d4]]t[Gems-3-125-gp] ]] &amp; [[ 1t[Art-2-500-gp] ]] &amp; [[ 1t[Gems-4-500-gp] ]] &amp; [[ 1t[Art-3-1250-gp] ]]</t>
  </si>
  <si>
    <t>[[2d6]] cp &amp; [[1d4]] sp</t>
  </si>
  <si>
    <t>[[1d6]] cp &amp; [[1d4]] sp &amp; [[ 1t[Magic-Item-Table-A] ]]</t>
  </si>
  <si>
    <t>[[2d6]] cp &amp; [[2d6]] sp &amp; [[ 1t[Magic-Item-Table-B] ]]</t>
  </si>
  <si>
    <t>[[1d6]] cp &amp; [[1d6]] sp &amp; [[ 1t[Magic-Item-Table-A] ]]</t>
  </si>
  <si>
    <t>[[1d6]] cp &amp; [[1d6]] sp &amp; [[ 2t[Magic-Item-Table-A] ]]</t>
  </si>
  <si>
    <t>Pocket-Treasure</t>
  </si>
  <si>
    <t>[[2d6]] cp &amp; [[2d6]] sp &amp; [[ 1t[Magic-Item-Table-C] ]]</t>
  </si>
  <si>
    <t>Individual-CR-1/2-1</t>
  </si>
  <si>
    <t>[[1d6]] gp  &amp; [[ 1t[Gems-1-25-gp] ]] &amp; [[ 1t[Magic-Item-Table-A] ]]</t>
  </si>
  <si>
    <t>[[1d6]] gp  &amp; [[ 1t[Magic-Item-Table-B] ]] &amp; [[ 1t[Gems-1-25-gp] ]]</t>
  </si>
  <si>
    <t>[[1d4]] gp &amp; [[ 1t[Magic-Item-Table-F] ]]</t>
  </si>
  <si>
    <t>[[1d6]] gp &amp; [[ 1t[Gems-1-25-gp] ]]</t>
  </si>
  <si>
    <t>[[1d6]] gp &amp; [[ 1t[Gems-1-25-gp] ]] &amp; [[ 1t[Magic-Item-Table-A] ]]</t>
  </si>
  <si>
    <t>Travel-Encounters</t>
  </si>
  <si>
    <t>Bad Luck</t>
  </si>
  <si>
    <t>Good Luck</t>
  </si>
  <si>
    <t>Critical Disaster!</t>
  </si>
  <si>
    <t>Critical Fortune!</t>
  </si>
  <si>
    <t>Typical encounter, bad situation</t>
  </si>
  <si>
    <t>Typical encounter, good situation</t>
  </si>
  <si>
    <t>Quiet</t>
  </si>
  <si>
    <t>Sea-Encounters</t>
  </si>
  <si>
    <t>Flotsam</t>
  </si>
  <si>
    <t>Sahuagin Raiders</t>
  </si>
  <si>
    <t>Extreme Weather</t>
  </si>
  <si>
    <t>Calm Weather</t>
  </si>
  <si>
    <t>Resources</t>
  </si>
  <si>
    <t>Neutral Vessel</t>
  </si>
  <si>
    <t>Pirates!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</si>
</sst>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Calibri"/>
      <family val="2"/>
      <scheme val="minor"/>
    </font>
    <font>
      <i/>
      <sz val="14"/>
      <color theme="1"/>
      <name val="Calibri"/>
      <family val="2"/>
      <scheme val="minor"/>
    </font>
    <font>
      <b/>
      <sz val="14"/>
      <color theme="1"/>
      <name val="Calibri"/>
      <family val="2"/>
      <scheme val="minor"/>
    </font>
  </fonts>
  <fills count="2">
    <fill>
      <patternFill patternType="none"/>
    </fill>
    <fill>
      <patternFill patternType="gray125"/>
    </fill>
  </fills>
  <borders count="4">
    <border>
      <left/>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left"/>
    </xf>
    <xf numFmtId="0" fontId="1" fillId="0" borderId="0" xfId="0" applyFont="1" applyAlignment="1">
      <alignment horizontal="left"/>
    </xf>
    <xf numFmtId="0" fontId="1" fillId="0" borderId="0" xfId="0" applyFont="1"/>
    <xf numFmtId="0" fontId="1" fillId="0" borderId="2" xfId="0" applyFont="1" applyBorder="1" applyAlignment="1">
      <alignment horizontal="left"/>
    </xf>
    <xf numFmtId="0" fontId="1" fillId="0" borderId="3" xfId="0" applyFont="1" applyBorder="1" applyAlignment="1">
      <alignment horizontal="left"/>
    </xf>
    <xf numFmtId="0" fontId="1" fillId="0" borderId="3" xfId="0" quotePrefix="1" applyFont="1" applyBorder="1" applyAlignment="1">
      <alignment horizontal="left"/>
    </xf>
    <xf numFmtId="0" fontId="1" fillId="0" borderId="3" xfId="0" applyFont="1" applyBorder="1"/>
    <xf numFmtId="0" fontId="1" fillId="0" borderId="0" xfId="0" quotePrefix="1" applyFont="1" applyAlignment="1">
      <alignment horizontal="left"/>
    </xf>
    <xf numFmtId="0" fontId="1" fillId="0" borderId="1" xfId="0" applyFont="1" applyBorder="1"/>
    <xf numFmtId="0" fontId="0" fillId="0" borderId="0" xfId="0" applyAlignment="1">
      <alignment horizontal="left"/>
    </xf>
    <xf numFmtId="0" fontId="0" fillId="0" borderId="3" xfId="0" applyBorder="1" applyAlignment="1">
      <alignment horizontal="left"/>
    </xf>
    <xf numFmtId="0" fontId="1" fillId="0" borderId="2" xfId="0" quotePrefix="1" applyFont="1" applyBorder="1" applyAlignment="1">
      <alignment horizontal="left"/>
    </xf>
    <xf numFmtId="0" fontId="1" fillId="0" borderId="0" xfId="0" applyFont="1" applyAlignment="1">
      <alignment horizontal="center"/>
    </xf>
    <xf numFmtId="0" fontId="3" fillId="0" borderId="0" xfId="0" applyFont="1" applyAlignment="1">
      <alignment horizontal="center"/>
    </xf>
    <xf numFmtId="0" fontId="3" fillId="0" borderId="0" xfId="0" quotePrefix="1" applyFont="1" applyAlignment="1">
      <alignment horizontal="center"/>
    </xf>
    <xf numFmtId="0" fontId="1" fillId="0" borderId="3" xfId="0" applyFont="1" applyBorder="1" applyAlignment="1">
      <alignment horizontal="center"/>
    </xf>
    <xf numFmtId="0" fontId="3" fillId="0" borderId="3" xfId="0" applyFont="1" applyBorder="1" applyAlignment="1">
      <alignment horizontal="center"/>
    </xf>
    <xf numFmtId="0" fontId="3" fillId="0" borderId="3" xfId="0" applyFont="1" applyBorder="1" applyAlignment="1">
      <alignment horizontal="left"/>
    </xf>
    <xf numFmtId="16" fontId="1" fillId="0" borderId="0" xfId="0" applyNumberFormat="1" applyFont="1" applyAlignment="1">
      <alignment horizontal="left"/>
    </xf>
    <xf numFmtId="16" fontId="1" fillId="0" borderId="1" xfId="0" applyNumberFormat="1" applyFont="1" applyBorder="1" applyAlignment="1">
      <alignment horizontal="left"/>
    </xf>
    <xf numFmtId="0" fontId="1" fillId="0" borderId="0" xfId="0" quotePrefix="1" applyFont="1" applyAlignment="1">
      <alignment horizontal="center"/>
    </xf>
    <xf numFmtId="0" fontId="1" fillId="0" borderId="0" xfId="0" applyFont="1" applyAlignment="1">
      <alignment horizontal="left"/>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s://5e.tools/item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6C441-44E9-4216-B37F-83945CF09B66}">
  <dimension ref="A1:T91"/>
  <sheetViews>
    <sheetView topLeftCell="A22" workbookViewId="0">
      <selection activeCell="J50" sqref="J50"/>
    </sheetView>
  </sheetViews>
  <sheetFormatPr defaultColWidth="13.140625" defaultRowHeight="18.75" x14ac:dyDescent="0.3"/>
  <cols>
    <col min="1" max="1" width="15" style="2" bestFit="1" customWidth="1"/>
    <col min="2" max="2" width="21.140625" style="2" customWidth="1"/>
    <col min="3" max="3" width="20" style="2" bestFit="1" customWidth="1"/>
    <col min="4" max="4" width="23.7109375" style="2" bestFit="1" customWidth="1"/>
    <col min="5" max="5" width="17.140625" style="2" bestFit="1" customWidth="1"/>
    <col min="6" max="6" width="17.140625" style="2" customWidth="1"/>
    <col min="7" max="7" width="14.7109375" style="2" bestFit="1" customWidth="1"/>
    <col min="8" max="8" width="16.28515625" style="2" bestFit="1" customWidth="1"/>
    <col min="9" max="9" width="18.7109375" style="2" bestFit="1" customWidth="1"/>
    <col min="10" max="10" width="20.140625" style="2" bestFit="1" customWidth="1"/>
    <col min="11" max="11" width="19.140625" style="2" bestFit="1" customWidth="1"/>
    <col min="12" max="12" width="18.5703125" style="2" bestFit="1" customWidth="1"/>
    <col min="13" max="13" width="18" style="2" bestFit="1" customWidth="1"/>
    <col min="14" max="14" width="29.7109375" style="2" bestFit="1" customWidth="1"/>
    <col min="15" max="19" width="15.28515625" style="2" customWidth="1"/>
    <col min="20" max="20" width="201.140625" style="2" bestFit="1" customWidth="1"/>
    <col min="21" max="21" width="170.28515625" style="2" bestFit="1" customWidth="1"/>
    <col min="22" max="22" width="16.85546875" style="2" bestFit="1" customWidth="1"/>
    <col min="23" max="23" width="14.140625" style="2" bestFit="1" customWidth="1"/>
    <col min="24" max="24" width="11" style="2" bestFit="1" customWidth="1"/>
    <col min="25" max="25" width="11.85546875" style="2" bestFit="1" customWidth="1"/>
    <col min="26" max="16384" width="13.140625" style="2"/>
  </cols>
  <sheetData>
    <row r="1" spans="1:2" s="22" customFormat="1" x14ac:dyDescent="0.3">
      <c r="A1" s="22" t="s">
        <v>336</v>
      </c>
    </row>
    <row r="2" spans="1:2" s="22" customFormat="1" x14ac:dyDescent="0.3">
      <c r="A2" s="22" t="s">
        <v>335</v>
      </c>
    </row>
    <row r="3" spans="1:2" s="22" customFormat="1" x14ac:dyDescent="0.3">
      <c r="A3" s="22" t="s">
        <v>334</v>
      </c>
    </row>
    <row r="4" spans="1:2" s="22" customFormat="1" x14ac:dyDescent="0.3">
      <c r="A4" s="22" t="s">
        <v>333</v>
      </c>
    </row>
    <row r="5" spans="1:2" s="22" customFormat="1" x14ac:dyDescent="0.3">
      <c r="A5" s="2"/>
      <c r="B5" s="22" t="s">
        <v>332</v>
      </c>
    </row>
    <row r="6" spans="1:2" s="22" customFormat="1" x14ac:dyDescent="0.3">
      <c r="A6" s="2"/>
      <c r="B6" s="22" t="s">
        <v>331</v>
      </c>
    </row>
    <row r="7" spans="1:2" s="22" customFormat="1" x14ac:dyDescent="0.3">
      <c r="A7" s="2"/>
      <c r="B7" s="22" t="s">
        <v>330</v>
      </c>
    </row>
    <row r="8" spans="1:2" s="22" customFormat="1" x14ac:dyDescent="0.3">
      <c r="A8" s="2"/>
      <c r="B8" s="22" t="s">
        <v>329</v>
      </c>
    </row>
    <row r="9" spans="1:2" s="22" customFormat="1" x14ac:dyDescent="0.3">
      <c r="A9" s="2"/>
      <c r="B9" s="22" t="s">
        <v>328</v>
      </c>
    </row>
    <row r="10" spans="1:2" s="22" customFormat="1" x14ac:dyDescent="0.3">
      <c r="A10" s="2"/>
      <c r="B10" s="22" t="s">
        <v>327</v>
      </c>
    </row>
    <row r="11" spans="1:2" s="22" customFormat="1" x14ac:dyDescent="0.3">
      <c r="A11"/>
      <c r="B11" s="22" t="s">
        <v>326</v>
      </c>
    </row>
    <row r="12" spans="1:2" s="22" customFormat="1" x14ac:dyDescent="0.3">
      <c r="A12" s="2"/>
      <c r="B12" s="22" t="s">
        <v>325</v>
      </c>
    </row>
    <row r="13" spans="1:2" s="22" customFormat="1" x14ac:dyDescent="0.3">
      <c r="A13" s="22" t="s">
        <v>324</v>
      </c>
    </row>
    <row r="14" spans="1:2" s="22" customFormat="1" x14ac:dyDescent="0.3">
      <c r="A14"/>
      <c r="B14" s="22" t="s">
        <v>323</v>
      </c>
    </row>
    <row r="15" spans="1:2" s="22" customFormat="1" x14ac:dyDescent="0.3">
      <c r="A15" s="22" t="s">
        <v>322</v>
      </c>
    </row>
    <row r="16" spans="1:2" s="22" customFormat="1" x14ac:dyDescent="0.3">
      <c r="A16" s="2"/>
      <c r="B16" s="22" t="s">
        <v>321</v>
      </c>
    </row>
    <row r="17" spans="1:3" s="22" customFormat="1" x14ac:dyDescent="0.3">
      <c r="A17" s="2"/>
      <c r="B17" s="22" t="s">
        <v>320</v>
      </c>
    </row>
    <row r="18" spans="1:3" s="22" customFormat="1" x14ac:dyDescent="0.3">
      <c r="A18" s="2"/>
      <c r="B18" s="22" t="s">
        <v>319</v>
      </c>
    </row>
    <row r="19" spans="1:3" s="22" customFormat="1" x14ac:dyDescent="0.3">
      <c r="A19" s="2"/>
      <c r="B19" s="22" t="s">
        <v>318</v>
      </c>
    </row>
    <row r="20" spans="1:3" s="22" customFormat="1" x14ac:dyDescent="0.3">
      <c r="A20" s="2"/>
      <c r="B20" s="22" t="s">
        <v>317</v>
      </c>
    </row>
    <row r="21" spans="1:3" s="22" customFormat="1" x14ac:dyDescent="0.3">
      <c r="A21" s="23"/>
      <c r="B21" s="23"/>
      <c r="C21" s="22" t="s">
        <v>316</v>
      </c>
    </row>
    <row r="22" spans="1:3" s="22" customFormat="1" x14ac:dyDescent="0.3">
      <c r="A22" s="23"/>
      <c r="B22" s="23"/>
      <c r="C22" s="22" t="s">
        <v>315</v>
      </c>
    </row>
    <row r="23" spans="1:3" s="22" customFormat="1" x14ac:dyDescent="0.3">
      <c r="A23" s="23"/>
      <c r="B23" s="23"/>
      <c r="C23" s="22" t="s">
        <v>314</v>
      </c>
    </row>
    <row r="24" spans="1:3" s="22" customFormat="1" x14ac:dyDescent="0.3">
      <c r="A24" s="23"/>
      <c r="B24" s="23"/>
      <c r="C24" s="22" t="s">
        <v>313</v>
      </c>
    </row>
    <row r="25" spans="1:3" s="22" customFormat="1" x14ac:dyDescent="0.3">
      <c r="A25" s="23"/>
      <c r="B25" s="23"/>
      <c r="C25" s="22" t="s">
        <v>312</v>
      </c>
    </row>
    <row r="26" spans="1:3" s="22" customFormat="1" x14ac:dyDescent="0.3">
      <c r="A26" s="2"/>
      <c r="B26" s="22" t="s">
        <v>311</v>
      </c>
    </row>
    <row r="27" spans="1:3" s="22" customFormat="1" x14ac:dyDescent="0.3">
      <c r="A27" s="22" t="s">
        <v>310</v>
      </c>
    </row>
    <row r="28" spans="1:3" s="22" customFormat="1" x14ac:dyDescent="0.3">
      <c r="A28" s="2"/>
      <c r="B28" s="22" t="s">
        <v>309</v>
      </c>
    </row>
    <row r="29" spans="1:3" s="22" customFormat="1" x14ac:dyDescent="0.3">
      <c r="A29" s="2"/>
      <c r="B29" s="22" t="s">
        <v>308</v>
      </c>
    </row>
    <row r="30" spans="1:3" x14ac:dyDescent="0.3">
      <c r="B30" s="2" t="s">
        <v>307</v>
      </c>
    </row>
    <row r="31" spans="1:3" s="22" customFormat="1" x14ac:dyDescent="0.3">
      <c r="A31" s="2"/>
      <c r="B31" s="22" t="s">
        <v>306</v>
      </c>
    </row>
    <row r="32" spans="1:3" s="22" customFormat="1" x14ac:dyDescent="0.3">
      <c r="A32" s="2"/>
      <c r="B32" s="22" t="s">
        <v>305</v>
      </c>
    </row>
    <row r="33" spans="1:19" s="22" customFormat="1" x14ac:dyDescent="0.3">
      <c r="A33" s="22" t="s">
        <v>304</v>
      </c>
    </row>
    <row r="34" spans="1:19" s="22" customFormat="1" x14ac:dyDescent="0.3">
      <c r="A34" s="2"/>
      <c r="B34" s="22" t="s">
        <v>303</v>
      </c>
    </row>
    <row r="35" spans="1:19" s="22" customFormat="1" x14ac:dyDescent="0.3">
      <c r="A35" s="2"/>
      <c r="B35" s="22" t="s">
        <v>302</v>
      </c>
    </row>
    <row r="36" spans="1:19" s="22" customFormat="1" x14ac:dyDescent="0.3">
      <c r="A36" s="2"/>
      <c r="B36" s="22" t="s">
        <v>301</v>
      </c>
    </row>
    <row r="37" spans="1:19" s="22" customFormat="1" x14ac:dyDescent="0.3">
      <c r="A37" s="2"/>
      <c r="B37" s="22" t="s">
        <v>300</v>
      </c>
    </row>
    <row r="38" spans="1:19" s="22" customFormat="1" x14ac:dyDescent="0.3">
      <c r="A38" s="2"/>
    </row>
    <row r="39" spans="1:19" s="5" customFormat="1" x14ac:dyDescent="0.3">
      <c r="B39" s="5" t="s">
        <v>299</v>
      </c>
      <c r="C39" s="5" t="s">
        <v>298</v>
      </c>
      <c r="D39" s="5" t="s">
        <v>297</v>
      </c>
      <c r="E39" s="5" t="s">
        <v>296</v>
      </c>
      <c r="G39" s="18" t="s">
        <v>295</v>
      </c>
      <c r="H39" s="18" t="s">
        <v>294</v>
      </c>
      <c r="I39" s="18" t="s">
        <v>293</v>
      </c>
      <c r="J39" s="18" t="s">
        <v>292</v>
      </c>
      <c r="K39" s="18" t="s">
        <v>291</v>
      </c>
      <c r="L39" s="18" t="s">
        <v>290</v>
      </c>
      <c r="M39" s="18" t="s">
        <v>289</v>
      </c>
      <c r="N39" s="18" t="s">
        <v>288</v>
      </c>
      <c r="O39" s="18" t="s">
        <v>451</v>
      </c>
    </row>
    <row r="40" spans="1:19" x14ac:dyDescent="0.3">
      <c r="A40" s="2" t="s">
        <v>287</v>
      </c>
      <c r="B40" s="2">
        <v>10</v>
      </c>
      <c r="C40" s="2" t="str">
        <f t="shared" ref="C40:C48" si="0">"2d4 x " &amp; B40 &amp; " gp"</f>
        <v>2d4 x 10 gp</v>
      </c>
      <c r="D40" s="2" t="str">
        <f t="shared" ref="D40:D48" si="1">2*B40 &amp; "-" &amp; 8*B40 &amp; " gp"</f>
        <v>20-80 gp</v>
      </c>
      <c r="E40" s="2" t="str">
        <f t="shared" ref="E40:E48" si="2">5*B40 &amp; " gp"</f>
        <v>50 gp</v>
      </c>
      <c r="G40" s="2">
        <v>0</v>
      </c>
      <c r="H40" s="2">
        <v>0</v>
      </c>
      <c r="I40" s="2" t="s">
        <v>286</v>
      </c>
      <c r="J40" s="2" t="s">
        <v>257</v>
      </c>
      <c r="K40" s="2" t="s">
        <v>257</v>
      </c>
      <c r="L40" s="2" t="s">
        <v>257</v>
      </c>
      <c r="M40" s="2" t="s">
        <v>257</v>
      </c>
      <c r="N40" s="2" t="s">
        <v>257</v>
      </c>
      <c r="O40" s="14"/>
      <c r="P40" s="14" t="s">
        <v>259</v>
      </c>
      <c r="Q40" s="14" t="s">
        <v>258</v>
      </c>
      <c r="R40" s="14" t="s">
        <v>266</v>
      </c>
      <c r="S40" s="14" t="s">
        <v>263</v>
      </c>
    </row>
    <row r="41" spans="1:19" x14ac:dyDescent="0.3">
      <c r="A41" s="2" t="s">
        <v>285</v>
      </c>
      <c r="B41" s="2">
        <v>25</v>
      </c>
      <c r="C41" s="2" t="str">
        <f t="shared" si="0"/>
        <v>2d4 x 25 gp</v>
      </c>
      <c r="D41" s="2" t="str">
        <f t="shared" si="1"/>
        <v>50-200 gp</v>
      </c>
      <c r="E41" s="2" t="str">
        <f t="shared" si="2"/>
        <v>125 gp</v>
      </c>
      <c r="G41" s="2">
        <v>1</v>
      </c>
      <c r="H41" s="2">
        <v>0</v>
      </c>
      <c r="I41" s="2" t="s">
        <v>284</v>
      </c>
      <c r="J41" s="2" t="s">
        <v>257</v>
      </c>
      <c r="K41" s="2" t="s">
        <v>257</v>
      </c>
      <c r="L41" s="2" t="s">
        <v>257</v>
      </c>
      <c r="M41" s="2" t="s">
        <v>257</v>
      </c>
      <c r="N41" s="2" t="s">
        <v>257</v>
      </c>
      <c r="O41" s="17" t="s">
        <v>283</v>
      </c>
      <c r="P41" s="16">
        <v>10</v>
      </c>
      <c r="Q41" s="16">
        <v>15</v>
      </c>
      <c r="R41" s="16">
        <v>20</v>
      </c>
      <c r="S41" s="16">
        <v>25</v>
      </c>
    </row>
    <row r="42" spans="1:19" x14ac:dyDescent="0.3">
      <c r="A42" s="2" t="s">
        <v>282</v>
      </c>
      <c r="B42" s="2">
        <v>100</v>
      </c>
      <c r="C42" s="2" t="str">
        <f t="shared" si="0"/>
        <v>2d4 x 100 gp</v>
      </c>
      <c r="D42" s="2" t="str">
        <f t="shared" si="1"/>
        <v>200-800 gp</v>
      </c>
      <c r="E42" s="2" t="str">
        <f t="shared" si="2"/>
        <v>500 gp</v>
      </c>
      <c r="G42" s="2">
        <v>2</v>
      </c>
      <c r="H42" s="2">
        <v>1</v>
      </c>
      <c r="I42" s="2" t="s">
        <v>279</v>
      </c>
      <c r="J42" s="2">
        <v>2</v>
      </c>
      <c r="K42" s="2" t="s">
        <v>258</v>
      </c>
      <c r="L42" s="2" t="s">
        <v>266</v>
      </c>
      <c r="M42" s="2" t="s">
        <v>263</v>
      </c>
      <c r="N42" s="2" t="s">
        <v>259</v>
      </c>
      <c r="O42" s="14" t="s">
        <v>281</v>
      </c>
      <c r="P42" s="13">
        <v>-1</v>
      </c>
      <c r="Q42" s="13">
        <v>-2</v>
      </c>
      <c r="R42" s="13">
        <v>-3</v>
      </c>
      <c r="S42" s="13">
        <v>-4</v>
      </c>
    </row>
    <row r="43" spans="1:19" x14ac:dyDescent="0.3">
      <c r="A43" s="2" t="s">
        <v>280</v>
      </c>
      <c r="B43" s="2">
        <v>250</v>
      </c>
      <c r="C43" s="2" t="str">
        <f t="shared" si="0"/>
        <v>2d4 x 250 gp</v>
      </c>
      <c r="D43" s="2" t="str">
        <f t="shared" si="1"/>
        <v>500-2000 gp</v>
      </c>
      <c r="E43" s="2" t="str">
        <f t="shared" si="2"/>
        <v>1250 gp</v>
      </c>
      <c r="G43" s="2">
        <v>3</v>
      </c>
      <c r="H43" s="2">
        <v>2</v>
      </c>
      <c r="I43" s="2" t="s">
        <v>279</v>
      </c>
      <c r="J43" s="2">
        <v>3</v>
      </c>
      <c r="K43" s="2" t="s">
        <v>258</v>
      </c>
      <c r="L43" s="2" t="s">
        <v>266</v>
      </c>
      <c r="M43" s="2" t="s">
        <v>263</v>
      </c>
      <c r="N43" s="2" t="s">
        <v>259</v>
      </c>
      <c r="O43" s="15" t="s">
        <v>278</v>
      </c>
      <c r="P43" s="13">
        <v>0</v>
      </c>
      <c r="Q43" s="13">
        <v>-1</v>
      </c>
      <c r="R43" s="13">
        <v>-2</v>
      </c>
      <c r="S43" s="13">
        <v>-3</v>
      </c>
    </row>
    <row r="44" spans="1:19" x14ac:dyDescent="0.3">
      <c r="A44" s="2" t="s">
        <v>277</v>
      </c>
      <c r="B44" s="2">
        <v>1000</v>
      </c>
      <c r="C44" s="2" t="str">
        <f t="shared" si="0"/>
        <v>2d4 x 1000 gp</v>
      </c>
      <c r="D44" s="2" t="str">
        <f t="shared" si="1"/>
        <v>2000-8000 gp</v>
      </c>
      <c r="E44" s="2" t="str">
        <f t="shared" si="2"/>
        <v>5000 gp</v>
      </c>
      <c r="G44" s="2">
        <v>4</v>
      </c>
      <c r="H44" s="2">
        <v>3</v>
      </c>
      <c r="I44" s="2" t="s">
        <v>272</v>
      </c>
      <c r="J44" s="2">
        <v>4</v>
      </c>
      <c r="K44" s="2" t="s">
        <v>258</v>
      </c>
      <c r="L44" s="2" t="s">
        <v>258</v>
      </c>
      <c r="M44" s="2" t="s">
        <v>266</v>
      </c>
      <c r="N44" s="2" t="s">
        <v>258</v>
      </c>
      <c r="O44" s="15" t="s">
        <v>276</v>
      </c>
      <c r="P44" s="21" t="s">
        <v>452</v>
      </c>
      <c r="Q44" s="13">
        <v>0</v>
      </c>
      <c r="R44" s="13">
        <v>-1</v>
      </c>
      <c r="S44" s="13">
        <v>-2</v>
      </c>
    </row>
    <row r="45" spans="1:19" x14ac:dyDescent="0.3">
      <c r="A45" s="2" t="s">
        <v>275</v>
      </c>
      <c r="B45" s="2">
        <v>2500</v>
      </c>
      <c r="C45" s="2" t="str">
        <f t="shared" si="0"/>
        <v>2d4 x 2500 gp</v>
      </c>
      <c r="D45" s="2" t="str">
        <f t="shared" si="1"/>
        <v>5000-20000 gp</v>
      </c>
      <c r="E45" s="2" t="str">
        <f t="shared" si="2"/>
        <v>12500 gp</v>
      </c>
      <c r="G45" s="2">
        <v>5</v>
      </c>
      <c r="H45" s="2">
        <v>4</v>
      </c>
      <c r="I45" s="2" t="s">
        <v>272</v>
      </c>
      <c r="J45" s="2">
        <v>5</v>
      </c>
      <c r="K45" s="2" t="s">
        <v>258</v>
      </c>
      <c r="L45" s="2" t="s">
        <v>258</v>
      </c>
      <c r="M45" s="2" t="s">
        <v>266</v>
      </c>
      <c r="N45" s="2" t="s">
        <v>258</v>
      </c>
      <c r="O45" s="15" t="s">
        <v>274</v>
      </c>
      <c r="P45" s="21" t="s">
        <v>453</v>
      </c>
      <c r="Q45" s="21" t="s">
        <v>452</v>
      </c>
      <c r="R45" s="13">
        <v>0</v>
      </c>
      <c r="S45" s="13">
        <v>-1</v>
      </c>
    </row>
    <row r="46" spans="1:19" x14ac:dyDescent="0.3">
      <c r="A46" s="2" t="s">
        <v>273</v>
      </c>
      <c r="B46" s="2">
        <v>10000</v>
      </c>
      <c r="C46" s="2" t="str">
        <f t="shared" si="0"/>
        <v>2d4 x 10000 gp</v>
      </c>
      <c r="D46" s="2" t="str">
        <f t="shared" si="1"/>
        <v>20000-80000 gp</v>
      </c>
      <c r="E46" s="2" t="str">
        <f t="shared" si="2"/>
        <v>50000 gp</v>
      </c>
      <c r="G46" s="2">
        <v>6</v>
      </c>
      <c r="H46" s="2">
        <v>3</v>
      </c>
      <c r="I46" s="2" t="s">
        <v>272</v>
      </c>
      <c r="J46" s="2">
        <v>6</v>
      </c>
      <c r="K46" s="2" t="s">
        <v>258</v>
      </c>
      <c r="L46" s="2" t="s">
        <v>258</v>
      </c>
      <c r="M46" s="2" t="s">
        <v>266</v>
      </c>
      <c r="N46" s="2" t="s">
        <v>258</v>
      </c>
      <c r="O46" s="15" t="s">
        <v>271</v>
      </c>
      <c r="P46" s="21" t="s">
        <v>454</v>
      </c>
      <c r="Q46" s="21" t="s">
        <v>453</v>
      </c>
      <c r="R46" s="21" t="s">
        <v>452</v>
      </c>
      <c r="S46" s="13">
        <v>0</v>
      </c>
    </row>
    <row r="47" spans="1:19" x14ac:dyDescent="0.3">
      <c r="A47" s="2" t="s">
        <v>270</v>
      </c>
      <c r="B47" s="2">
        <v>25000</v>
      </c>
      <c r="C47" s="2" t="str">
        <f t="shared" si="0"/>
        <v>2d4 x 25000 gp</v>
      </c>
      <c r="D47" s="2" t="str">
        <f t="shared" si="1"/>
        <v>50000-200000 gp</v>
      </c>
      <c r="E47" s="2" t="str">
        <f t="shared" si="2"/>
        <v>125000 gp</v>
      </c>
      <c r="G47" s="2">
        <v>7</v>
      </c>
      <c r="H47" s="2">
        <v>2</v>
      </c>
      <c r="I47" s="2" t="s">
        <v>267</v>
      </c>
      <c r="J47" s="2">
        <v>7</v>
      </c>
      <c r="K47" s="2" t="s">
        <v>259</v>
      </c>
      <c r="L47" s="2" t="s">
        <v>258</v>
      </c>
      <c r="M47" s="2" t="s">
        <v>258</v>
      </c>
      <c r="N47" s="2" t="s">
        <v>266</v>
      </c>
      <c r="O47" s="14" t="s">
        <v>269</v>
      </c>
      <c r="P47" s="21" t="s">
        <v>455</v>
      </c>
      <c r="Q47" s="21" t="s">
        <v>454</v>
      </c>
      <c r="R47" s="21" t="s">
        <v>453</v>
      </c>
      <c r="S47" s="21" t="s">
        <v>452</v>
      </c>
    </row>
    <row r="48" spans="1:19" x14ac:dyDescent="0.3">
      <c r="A48" s="2" t="s">
        <v>268</v>
      </c>
      <c r="B48" s="2">
        <v>100000</v>
      </c>
      <c r="C48" s="2" t="str">
        <f t="shared" si="0"/>
        <v>2d4 x 100000 gp</v>
      </c>
      <c r="D48" s="2" t="str">
        <f t="shared" si="1"/>
        <v>200000-800000 gp</v>
      </c>
      <c r="E48" s="2" t="str">
        <f t="shared" si="2"/>
        <v>500000 gp</v>
      </c>
      <c r="G48" s="2">
        <v>8</v>
      </c>
      <c r="H48" s="2">
        <v>1</v>
      </c>
      <c r="I48" s="2" t="s">
        <v>267</v>
      </c>
      <c r="J48" s="2">
        <v>8</v>
      </c>
      <c r="K48" s="2" t="s">
        <v>259</v>
      </c>
      <c r="L48" s="2" t="s">
        <v>258</v>
      </c>
      <c r="M48" s="2" t="s">
        <v>258</v>
      </c>
      <c r="N48" s="2" t="s">
        <v>266</v>
      </c>
    </row>
    <row r="49" spans="1:14" x14ac:dyDescent="0.3">
      <c r="G49" s="2">
        <v>9</v>
      </c>
      <c r="H49" s="2">
        <v>0</v>
      </c>
      <c r="I49" s="2" t="s">
        <v>265</v>
      </c>
      <c r="J49" s="2" t="s">
        <v>264</v>
      </c>
      <c r="K49" s="2" t="s">
        <v>259</v>
      </c>
      <c r="L49" s="2" t="s">
        <v>258</v>
      </c>
      <c r="M49" s="2" t="s">
        <v>258</v>
      </c>
      <c r="N49" s="2" t="s">
        <v>456</v>
      </c>
    </row>
    <row r="50" spans="1:14" x14ac:dyDescent="0.3">
      <c r="A50" s="2" t="s">
        <v>262</v>
      </c>
      <c r="G50" s="2">
        <v>10</v>
      </c>
      <c r="H50" s="2">
        <v>0</v>
      </c>
      <c r="I50" s="2" t="s">
        <v>261</v>
      </c>
      <c r="J50" s="2" t="s">
        <v>260</v>
      </c>
      <c r="K50" s="2" t="s">
        <v>259</v>
      </c>
      <c r="L50" s="2" t="s">
        <v>258</v>
      </c>
      <c r="M50" s="2" t="s">
        <v>258</v>
      </c>
      <c r="N50" s="2" t="s">
        <v>257</v>
      </c>
    </row>
    <row r="51" spans="1:14" x14ac:dyDescent="0.3">
      <c r="A51" s="2" t="s">
        <v>256</v>
      </c>
      <c r="B51" s="2" t="s">
        <v>255</v>
      </c>
    </row>
    <row r="52" spans="1:14" x14ac:dyDescent="0.3">
      <c r="A52" s="2" t="s">
        <v>254</v>
      </c>
      <c r="B52" s="2" t="s">
        <v>253</v>
      </c>
    </row>
    <row r="53" spans="1:14" x14ac:dyDescent="0.3">
      <c r="A53" s="2" t="s">
        <v>252</v>
      </c>
      <c r="B53" s="2" t="s">
        <v>251</v>
      </c>
    </row>
    <row r="54" spans="1:14" x14ac:dyDescent="0.3">
      <c r="A54" s="2" t="s">
        <v>250</v>
      </c>
      <c r="B54" s="2" t="s">
        <v>249</v>
      </c>
    </row>
    <row r="55" spans="1:14" x14ac:dyDescent="0.3">
      <c r="A55" s="2" t="s">
        <v>248</v>
      </c>
      <c r="B55" s="2" t="s">
        <v>247</v>
      </c>
    </row>
    <row r="71" spans="20:20" ht="15.75" customHeight="1" x14ac:dyDescent="0.3"/>
    <row r="80" spans="20:20" x14ac:dyDescent="0.3">
      <c r="T80" s="2" t="s">
        <v>246</v>
      </c>
    </row>
    <row r="81" spans="20:20" x14ac:dyDescent="0.3">
      <c r="T81" s="2" t="s">
        <v>245</v>
      </c>
    </row>
    <row r="82" spans="20:20" x14ac:dyDescent="0.3">
      <c r="T82" s="2" t="s">
        <v>244</v>
      </c>
    </row>
    <row r="83" spans="20:20" x14ac:dyDescent="0.3">
      <c r="T83" s="2" t="s">
        <v>243</v>
      </c>
    </row>
    <row r="84" spans="20:20" x14ac:dyDescent="0.3">
      <c r="T84" s="2" t="s">
        <v>242</v>
      </c>
    </row>
    <row r="85" spans="20:20" x14ac:dyDescent="0.3">
      <c r="T85" s="2" t="s">
        <v>241</v>
      </c>
    </row>
    <row r="86" spans="20:20" x14ac:dyDescent="0.3">
      <c r="T86" s="2" t="s">
        <v>240</v>
      </c>
    </row>
    <row r="87" spans="20:20" x14ac:dyDescent="0.3">
      <c r="T87" s="2" t="s">
        <v>239</v>
      </c>
    </row>
    <row r="88" spans="20:20" x14ac:dyDescent="0.3">
      <c r="T88" s="2" t="s">
        <v>238</v>
      </c>
    </row>
    <row r="89" spans="20:20" x14ac:dyDescent="0.3">
      <c r="T89" s="2" t="s">
        <v>237</v>
      </c>
    </row>
    <row r="90" spans="20:20" x14ac:dyDescent="0.3">
      <c r="T90" s="2" t="s">
        <v>236</v>
      </c>
    </row>
    <row r="91" spans="20:20" x14ac:dyDescent="0.3">
      <c r="T91" s="2" t="s">
        <v>235</v>
      </c>
    </row>
  </sheetData>
  <mergeCells count="42">
    <mergeCell ref="A3:XFD3"/>
    <mergeCell ref="A2:XFD2"/>
    <mergeCell ref="A4:XFD4"/>
    <mergeCell ref="B6:XFD6"/>
    <mergeCell ref="B8:XFD8"/>
    <mergeCell ref="B5:XFD5"/>
    <mergeCell ref="B7:XFD7"/>
    <mergeCell ref="B17:XFD17"/>
    <mergeCell ref="B18:XFD18"/>
    <mergeCell ref="B19:XFD19"/>
    <mergeCell ref="B9:XFD9"/>
    <mergeCell ref="B10:XFD10"/>
    <mergeCell ref="B12:XFD12"/>
    <mergeCell ref="A1:XFD1"/>
    <mergeCell ref="B11:XFD11"/>
    <mergeCell ref="A33:XFD33"/>
    <mergeCell ref="A21:B21"/>
    <mergeCell ref="A22:B22"/>
    <mergeCell ref="A23:B23"/>
    <mergeCell ref="B16:XFD16"/>
    <mergeCell ref="B14:XFD14"/>
    <mergeCell ref="A13:XFD13"/>
    <mergeCell ref="A15:XFD15"/>
    <mergeCell ref="B20:XFD20"/>
    <mergeCell ref="A24:B24"/>
    <mergeCell ref="A25:B25"/>
    <mergeCell ref="B26:XFD26"/>
    <mergeCell ref="C25:XFD25"/>
    <mergeCell ref="C21:XFD21"/>
    <mergeCell ref="C22:XFD22"/>
    <mergeCell ref="B35:XFD35"/>
    <mergeCell ref="B37:XFD37"/>
    <mergeCell ref="B38:XFD38"/>
    <mergeCell ref="B36:XFD36"/>
    <mergeCell ref="B34:XFD34"/>
    <mergeCell ref="C24:XFD24"/>
    <mergeCell ref="C23:XFD23"/>
    <mergeCell ref="B28:XFD28"/>
    <mergeCell ref="A27:XFD27"/>
    <mergeCell ref="B32:XFD32"/>
    <mergeCell ref="B31:XFD31"/>
    <mergeCell ref="B29:XFD29"/>
  </mergeCells>
  <pageMargins left="0.7" right="0.7" top="0.75" bottom="0.75" header="0.3" footer="0.3"/>
  <ignoredErrors>
    <ignoredError sqref="P44 P45:S4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5495-FC53-4621-8FEB-287555504271}">
  <dimension ref="A1:AS21"/>
  <sheetViews>
    <sheetView workbookViewId="0">
      <selection activeCell="S14" sqref="S14"/>
    </sheetView>
  </sheetViews>
  <sheetFormatPr defaultColWidth="11.42578125" defaultRowHeight="18.75" x14ac:dyDescent="0.3"/>
  <cols>
    <col min="1" max="1" width="14.28515625" style="2" bestFit="1" customWidth="1"/>
    <col min="2" max="2" width="19.140625" style="2" bestFit="1" customWidth="1"/>
    <col min="3" max="3" width="22.85546875" style="2" bestFit="1" customWidth="1"/>
    <col min="4" max="4" width="17.140625" style="2" bestFit="1" customWidth="1"/>
    <col min="5" max="5" width="21.85546875" style="1" bestFit="1" customWidth="1"/>
    <col min="6" max="6" width="2.7109375" style="2" bestFit="1" customWidth="1"/>
    <col min="7" max="7" width="17.28515625" style="2" bestFit="1" customWidth="1"/>
    <col min="8" max="8" width="9.140625" style="2" bestFit="1" customWidth="1"/>
    <col min="9" max="9" width="9.28515625" style="2" bestFit="1" customWidth="1"/>
    <col min="10" max="10" width="85.42578125" style="1" bestFit="1" customWidth="1"/>
    <col min="11" max="11" width="4.140625" style="2" bestFit="1" customWidth="1"/>
    <col min="12" max="12" width="17.28515625" style="2" bestFit="1" customWidth="1"/>
    <col min="13" max="13" width="9.140625" style="2" bestFit="1" customWidth="1"/>
    <col min="14" max="14" width="9.28515625" style="2" bestFit="1" customWidth="1"/>
    <col min="15" max="15" width="86.85546875" style="1" bestFit="1" customWidth="1"/>
    <col min="16" max="16" width="4.140625" style="2" bestFit="1" customWidth="1"/>
    <col min="17" max="17" width="18.85546875" style="2" bestFit="1" customWidth="1"/>
    <col min="18" max="18" width="9.140625" style="2" bestFit="1" customWidth="1"/>
    <col min="19" max="19" width="9.28515625" style="2" bestFit="1" customWidth="1"/>
    <col min="20" max="20" width="89" style="1" bestFit="1" customWidth="1"/>
    <col min="21" max="21" width="5.5703125" style="2" bestFit="1" customWidth="1"/>
    <col min="22" max="22" width="18.85546875" style="2" bestFit="1" customWidth="1"/>
    <col min="23" max="23" width="9.140625" style="2" bestFit="1" customWidth="1"/>
    <col min="24" max="24" width="9.28515625" style="2" bestFit="1" customWidth="1"/>
    <col min="25" max="25" width="90.42578125" style="1" bestFit="1" customWidth="1"/>
    <col min="26" max="26" width="5.5703125" style="2" bestFit="1" customWidth="1"/>
    <col min="27" max="27" width="20.28515625" style="2" bestFit="1" customWidth="1"/>
    <col min="28" max="28" width="9.140625" style="2" bestFit="1" customWidth="1"/>
    <col min="29" max="29" width="9.28515625" style="2" bestFit="1" customWidth="1"/>
    <col min="30" max="30" width="91.85546875" style="1" bestFit="1" customWidth="1"/>
    <col min="31" max="31" width="7" style="2" bestFit="1" customWidth="1"/>
    <col min="32" max="32" width="20.28515625" style="2" bestFit="1" customWidth="1"/>
    <col min="33" max="33" width="9.140625" style="2" bestFit="1" customWidth="1"/>
    <col min="34" max="34" width="7.85546875" style="2" bestFit="1" customWidth="1"/>
    <col min="35" max="35" width="93.42578125" style="1" bestFit="1" customWidth="1"/>
    <col min="36" max="36" width="7" style="2" bestFit="1" customWidth="1"/>
    <col min="37" max="37" width="21.85546875" style="2" bestFit="1" customWidth="1"/>
    <col min="38" max="38" width="9.140625" style="2" bestFit="1" customWidth="1"/>
    <col min="39" max="39" width="5.5703125" style="2" bestFit="1" customWidth="1"/>
    <col min="40" max="40" width="94.85546875" style="1" bestFit="1" customWidth="1"/>
    <col min="41" max="41" width="8.42578125" style="2" bestFit="1" customWidth="1"/>
    <col min="42" max="42" width="21.85546875" style="2" bestFit="1" customWidth="1"/>
    <col min="43" max="43" width="9.140625" style="2" bestFit="1" customWidth="1"/>
    <col min="44" max="44" width="5.5703125" style="2" bestFit="1" customWidth="1"/>
    <col min="45" max="45" width="96.42578125" style="1" bestFit="1" customWidth="1"/>
    <col min="46" max="16384" width="11.42578125" style="2"/>
  </cols>
  <sheetData>
    <row r="1" spans="1:45" s="5" customFormat="1" x14ac:dyDescent="0.3">
      <c r="A1" s="5" t="s">
        <v>361</v>
      </c>
      <c r="B1" s="5" t="s">
        <v>360</v>
      </c>
      <c r="C1" s="5" t="s">
        <v>359</v>
      </c>
      <c r="D1" s="5" t="s">
        <v>296</v>
      </c>
      <c r="E1" s="4" t="s">
        <v>358</v>
      </c>
      <c r="F1" s="5">
        <f>$B$2</f>
        <v>5</v>
      </c>
      <c r="G1" s="5" t="str">
        <f xml:space="preserve"> "Gems-1-" &amp; F$1*5 &amp; "-gp"</f>
        <v>Gems-1-25-gp</v>
      </c>
      <c r="H1" s="5" t="s">
        <v>18</v>
      </c>
      <c r="I1" s="5" t="str">
        <f>"d" &amp; SUM(H:H)</f>
        <v>d100</v>
      </c>
      <c r="J1" s="4" t="str">
        <f>"!import-table --" &amp; G1 &amp; " --hide"</f>
        <v>!import-table --Gems-1-25-gp --hide</v>
      </c>
      <c r="K1" s="5">
        <f>$B$3</f>
        <v>10</v>
      </c>
      <c r="L1" s="5" t="str">
        <f xml:space="preserve"> "Gems-2-" &amp; K$1*5 &amp; "-gp"</f>
        <v>Gems-2-50-gp</v>
      </c>
      <c r="M1" s="5" t="s">
        <v>18</v>
      </c>
      <c r="N1" s="5" t="str">
        <f>"d" &amp; SUM(M:M)</f>
        <v>d100</v>
      </c>
      <c r="O1" s="4" t="str">
        <f>"!import-table --" &amp; L1 &amp; " --hide"</f>
        <v>!import-table --Gems-2-50-gp --hide</v>
      </c>
      <c r="P1" s="5">
        <f>$B$4</f>
        <v>25</v>
      </c>
      <c r="Q1" s="5" t="str">
        <f xml:space="preserve"> "Gems-3-" &amp; P$1*5 &amp; "-gp"</f>
        <v>Gems-3-125-gp</v>
      </c>
      <c r="R1" s="5" t="s">
        <v>18</v>
      </c>
      <c r="S1" s="5" t="str">
        <f>"d" &amp; SUM(R:R)</f>
        <v>d100</v>
      </c>
      <c r="T1" s="4" t="str">
        <f>"!import-table --" &amp; Q1 &amp; " --hide"</f>
        <v>!import-table --Gems-3-125-gp --hide</v>
      </c>
      <c r="U1" s="5">
        <f>$B$5</f>
        <v>100</v>
      </c>
      <c r="V1" s="5" t="str">
        <f xml:space="preserve"> "Gems-4-" &amp; U$1*5 &amp; "-gp"</f>
        <v>Gems-4-500-gp</v>
      </c>
      <c r="W1" s="5" t="s">
        <v>18</v>
      </c>
      <c r="X1" s="5" t="str">
        <f>"d" &amp; SUM(W:W)</f>
        <v>d100</v>
      </c>
      <c r="Y1" s="4" t="str">
        <f>"!import-table --" &amp; V1 &amp; " --hide"</f>
        <v>!import-table --Gems-4-500-gp --hide</v>
      </c>
      <c r="Z1" s="5">
        <f>$B$6</f>
        <v>250</v>
      </c>
      <c r="AA1" s="5" t="str">
        <f xml:space="preserve"> "Gems-5-" &amp; Z$1*5 &amp; "-gp"</f>
        <v>Gems-5-1250-gp</v>
      </c>
      <c r="AB1" s="5" t="s">
        <v>18</v>
      </c>
      <c r="AC1" s="5" t="str">
        <f>"d" &amp; SUM(AB:AB)</f>
        <v>d100</v>
      </c>
      <c r="AD1" s="4" t="str">
        <f>"!import-table --" &amp; AA1 &amp; " --hide"</f>
        <v>!import-table --Gems-5-1250-gp --hide</v>
      </c>
      <c r="AE1" s="5">
        <f>$B$7</f>
        <v>1000</v>
      </c>
      <c r="AF1" s="5" t="str">
        <f xml:space="preserve"> "Gems-6-" &amp; AE$1*5 &amp; "-gp"</f>
        <v>Gems-6-5000-gp</v>
      </c>
      <c r="AG1" s="5" t="s">
        <v>18</v>
      </c>
      <c r="AH1" s="5" t="str">
        <f>"d" &amp; SUM(AG:AG)</f>
        <v>d98</v>
      </c>
      <c r="AI1" s="4" t="str">
        <f>"!import-table --" &amp; AF1 &amp; " --hide"</f>
        <v>!import-table --Gems-6-5000-gp --hide</v>
      </c>
      <c r="AJ1" s="5">
        <f>$B$8</f>
        <v>2500</v>
      </c>
      <c r="AK1" s="5" t="str">
        <f xml:space="preserve"> "Gems-7-" &amp; AJ$1*5 &amp; "-gp"</f>
        <v>Gems-7-12500-gp</v>
      </c>
      <c r="AL1" s="5" t="s">
        <v>18</v>
      </c>
      <c r="AM1" s="5" t="str">
        <f>"d" &amp; SUM(AL:AL)</f>
        <v>d20</v>
      </c>
      <c r="AN1" s="4" t="str">
        <f>"!import-table --" &amp; AK1 &amp; " --hide"</f>
        <v>!import-table --Gems-7-12500-gp --hide</v>
      </c>
      <c r="AO1" s="5">
        <f>$B$9</f>
        <v>10000</v>
      </c>
      <c r="AP1" s="5" t="str">
        <f xml:space="preserve"> "Gems-8-" &amp; AO$1*5 &amp; "-gp"</f>
        <v>Gems-8-50000-gp</v>
      </c>
      <c r="AQ1" s="5" t="s">
        <v>18</v>
      </c>
      <c r="AR1" s="5" t="str">
        <f>"d" &amp; SUM(AQ:AQ)</f>
        <v>d20</v>
      </c>
      <c r="AS1" s="4" t="str">
        <f>"!import-table --" &amp; AP1 &amp; " --hide"</f>
        <v>!import-table --Gems-8-50000-gp --hide</v>
      </c>
    </row>
    <row r="2" spans="1:45" x14ac:dyDescent="0.3">
      <c r="A2" s="2" t="s">
        <v>256</v>
      </c>
      <c r="B2" s="2">
        <v>5</v>
      </c>
      <c r="C2" s="19" t="str">
        <f t="shared" ref="C2:C9" si="0">B2*1 &amp; " - " &amp; B2*10 &amp; " gp"</f>
        <v>5 - 50 gp</v>
      </c>
      <c r="D2" s="2" t="str">
        <f t="shared" ref="D2:D9" si="1">B2*5 &amp; " gp"</f>
        <v>25 gp</v>
      </c>
      <c r="E2" s="1" t="str">
        <f>"Gems-1-" &amp; B2*5 &amp; "-gp"</f>
        <v>Gems-1-25-gp</v>
      </c>
      <c r="G2" s="2" t="s">
        <v>357</v>
      </c>
      <c r="H2" s="2">
        <v>4</v>
      </c>
      <c r="I2" s="2" t="str">
        <f>IF(H2=0,"-",IF(H2=1,SUM(H$1:H1)+1,SUM(H$1:H1)+1 &amp; "-" &amp; SUM(H$1:H2)))</f>
        <v>1-4</v>
      </c>
      <c r="J2" s="1" t="str">
        <f>"!import-table-item --" &amp; G$1 &amp; " --" &amp; G2 &amp; " (" &amp; F$1 &amp; "gp x[[5+1d6-1d6]])" &amp; " --" &amp; H2</f>
        <v>!import-table-item --Gems-1-25-gp --Agate (5gp x[[5+1d6-1d6]]) --4</v>
      </c>
      <c r="L2" s="2" t="s">
        <v>357</v>
      </c>
      <c r="M2" s="2">
        <v>4</v>
      </c>
      <c r="N2" s="2" t="str">
        <f>IF(M2=0,"-",IF(M2=1,SUM(M$1:M1)+1,SUM(M$1:M1)+1 &amp; "-" &amp; SUM(M$1:M2)))</f>
        <v>1-4</v>
      </c>
      <c r="O2" s="1" t="str">
        <f>"!import-table-item --" &amp; L$1 &amp; " --" &amp; L2 &amp; " (" &amp; K$1 &amp; "gp x[[5+1d6-1d6]])" &amp; " --" &amp; M2</f>
        <v>!import-table-item --Gems-2-50-gp --Agate (10gp x[[5+1d6-1d6]]) --4</v>
      </c>
      <c r="Q2" s="2" t="s">
        <v>357</v>
      </c>
      <c r="R2" s="2">
        <v>4</v>
      </c>
      <c r="S2" s="2" t="str">
        <f>IF(R2=0,"-",IF(R2=1,SUM(R$1:R1)+1,SUM(R$1:R1)+1 &amp; "-" &amp; SUM(R$1:R2)))</f>
        <v>1-4</v>
      </c>
      <c r="T2" s="1" t="str">
        <f>"!import-table-item --" &amp; Q$1 &amp; " --" &amp; Q2 &amp; " (" &amp; P$1 &amp; "gp x[[5+1d6-1d6]])" &amp; " --" &amp; R2</f>
        <v>!import-table-item --Gems-3-125-gp --Agate (25gp x[[5+1d6-1d6]]) --4</v>
      </c>
      <c r="V2" s="2" t="s">
        <v>357</v>
      </c>
      <c r="W2" s="2">
        <v>2</v>
      </c>
      <c r="X2" s="2" t="str">
        <f>IF(W2=0,"-",IF(W2=1,SUM(W$1:W1)+1,SUM(W$1:W1)+1 &amp; "-" &amp; SUM(W$1:W2)))</f>
        <v>1-2</v>
      </c>
      <c r="Y2" s="1" t="str">
        <f>"!import-table-item --" &amp; V$1 &amp; " --" &amp; V2 &amp; " (" &amp; U$1 &amp; "gp x[[5+1d6-1d6]])" &amp; " --" &amp; W2</f>
        <v>!import-table-item --Gems-4-500-gp --Agate (100gp x[[5+1d6-1d6]]) --2</v>
      </c>
      <c r="AA2" s="2" t="s">
        <v>357</v>
      </c>
      <c r="AB2" s="2">
        <v>15</v>
      </c>
      <c r="AC2" s="2" t="str">
        <f>IF(AB2=0,"-",IF(AB2=1,SUM(AB$1:AB1)+1,SUM(AB$1:AB1)+1 &amp; "-" &amp; SUM(AB$1:AB2)))</f>
        <v>1-15</v>
      </c>
      <c r="AD2" s="1" t="str">
        <f>"!import-table-item --" &amp; AA$1 &amp; " --" &amp; AA2 &amp; " (" &amp; Z$1 &amp; "gp x[[4]])" &amp; " --" &amp; AB2</f>
        <v>!import-table-item --Gems-5-1250-gp --Agate (250gp x[[4]]) --15</v>
      </c>
      <c r="AF2" s="2" t="s">
        <v>357</v>
      </c>
      <c r="AG2" s="2">
        <v>3</v>
      </c>
      <c r="AH2" s="2" t="str">
        <f>IF(AG2=0,"-",IF(AG2=1,SUM(AG$1:AG1)+1,SUM(AG$1:AG1)+1 &amp; "-" &amp; SUM(AG$1:AG2)))</f>
        <v>1-3</v>
      </c>
      <c r="AI2" s="1" t="str">
        <f t="shared" ref="AI2:AI21" si="2">"!import-table-item --" &amp; AF$1 &amp; " --" &amp; AF2 &amp; " (" &amp; AE$1 &amp; "gp x[[5+1d6-1d6]])" &amp; " --" &amp; AG2</f>
        <v>!import-table-item --Gems-6-5000-gp --Agate (1000gp x[[5+1d6-1d6]]) --3</v>
      </c>
      <c r="AK2" s="2" t="s">
        <v>357</v>
      </c>
      <c r="AL2" s="2">
        <v>1</v>
      </c>
      <c r="AM2" s="2">
        <f>IF(AL2=0,"-",IF(AL2=1,SUM(AL$1:AL1)+1,SUM(AL$1:AL1)+1 &amp; "-" &amp; SUM(AL$1:AL2)))</f>
        <v>1</v>
      </c>
      <c r="AN2" s="1" t="str">
        <f t="shared" ref="AN2:AN21" si="3">"!import-table-item --" &amp; AK$1 &amp; " --" &amp; AK2 &amp; " (" &amp; AJ$1 &amp; "gp x[[5+1d6-1d6]])" &amp; " --" &amp; AL2</f>
        <v>!import-table-item --Gems-7-12500-gp --Agate (2500gp x[[5+1d6-1d6]]) --1</v>
      </c>
      <c r="AP2" s="2" t="s">
        <v>357</v>
      </c>
      <c r="AQ2" s="2">
        <v>1</v>
      </c>
      <c r="AR2" s="2">
        <f>IF(AQ2=0,"-",IF(AQ2=1,SUM(AQ$1:AQ1)+1,SUM(AQ$1:AQ1)+1 &amp; "-" &amp; SUM(AQ$1:AQ2)))</f>
        <v>1</v>
      </c>
      <c r="AS2" s="1" t="str">
        <f t="shared" ref="AS2:AS21" si="4">"!import-table-item --" &amp; AP$1 &amp; " --" &amp; AP2 &amp; " (" &amp; AO$1 &amp; "gp x[[5+1d6-1d6]])" &amp; " --" &amp; AQ2</f>
        <v>!import-table-item --Gems-8-50000-gp --Agate (10000gp x[[5+1d6-1d6]]) --1</v>
      </c>
    </row>
    <row r="3" spans="1:45" x14ac:dyDescent="0.3">
      <c r="A3" s="2" t="s">
        <v>254</v>
      </c>
      <c r="B3" s="2">
        <v>10</v>
      </c>
      <c r="C3" s="19" t="str">
        <f t="shared" si="0"/>
        <v>10 - 100 gp</v>
      </c>
      <c r="D3" s="2" t="str">
        <f t="shared" si="1"/>
        <v>50 gp</v>
      </c>
      <c r="E3" s="1" t="str">
        <f>"Gems-2-" &amp; B3*5 &amp; "-gp"</f>
        <v>Gems-2-50-gp</v>
      </c>
      <c r="G3" s="2" t="s">
        <v>356</v>
      </c>
      <c r="H3" s="2">
        <v>4</v>
      </c>
      <c r="I3" s="2" t="str">
        <f>IF(H3=0,"-",IF(H3=1,SUM(H$1:H2)+1,SUM(H$1:H2)+1 &amp; "-" &amp; SUM(H$1:H3)))</f>
        <v>5-8</v>
      </c>
      <c r="J3" s="1" t="str">
        <f t="shared" ref="J3:J4" si="5">"!import-table-item --" &amp; G$1 &amp; " --" &amp; G3 &amp; " (" &amp; F$1 &amp; "gp x[[5+1d6-1d6]])" &amp; " --" &amp; H3</f>
        <v>!import-table-item --Gems-1-25-gp --Amethyst (5gp x[[5+1d6-1d6]]) --4</v>
      </c>
      <c r="L3" s="2" t="s">
        <v>356</v>
      </c>
      <c r="M3" s="2">
        <v>4</v>
      </c>
      <c r="N3" s="2" t="str">
        <f>IF(M3=0,"-",IF(M3=1,SUM(M$1:M2)+1,SUM(M$1:M2)+1 &amp; "-" &amp; SUM(M$1:M3)))</f>
        <v>5-8</v>
      </c>
      <c r="O3" s="1" t="str">
        <f t="shared" ref="O3:O21" si="6">"!import-table-item --" &amp; L$1 &amp; " --" &amp; L3 &amp; " (" &amp; K$1 &amp; "gp x[[5+1d6-1d6]])" &amp; " --" &amp; M3</f>
        <v>!import-table-item --Gems-2-50-gp --Amethyst (10gp x[[5+1d6-1d6]]) --4</v>
      </c>
      <c r="Q3" s="2" t="s">
        <v>356</v>
      </c>
      <c r="R3" s="2">
        <v>5</v>
      </c>
      <c r="S3" s="2" t="str">
        <f>IF(R3=0,"-",IF(R3=1,SUM(R$1:R2)+1,SUM(R$1:R2)+1 &amp; "-" &amp; SUM(R$1:R3)))</f>
        <v>5-9</v>
      </c>
      <c r="T3" s="1" t="str">
        <f t="shared" ref="T3:T21" si="7">"!import-table-item --" &amp; Q$1 &amp; " --" &amp; Q3 &amp; " (" &amp; P$1 &amp; "gp x[[5+1d6-1d6]])" &amp; " --" &amp; R3</f>
        <v>!import-table-item --Gems-3-125-gp --Amethyst (25gp x[[5+1d6-1d6]]) --5</v>
      </c>
      <c r="V3" s="2" t="s">
        <v>356</v>
      </c>
      <c r="W3" s="2">
        <v>5</v>
      </c>
      <c r="X3" s="2" t="str">
        <f>IF(W3=0,"-",IF(W3=1,SUM(W$1:W2)+1,SUM(W$1:W2)+1 &amp; "-" &amp; SUM(W$1:W3)))</f>
        <v>3-7</v>
      </c>
      <c r="Y3" s="1" t="str">
        <f t="shared" ref="Y3:Y21" si="8">"!import-table-item --" &amp; V$1 &amp; " --" &amp; V3 &amp; " (" &amp; U$1 &amp; "gp x[[5+1d6-1d6]])" &amp; " --" &amp; W3</f>
        <v>!import-table-item --Gems-4-500-gp --Amethyst (100gp x[[5+1d6-1d6]]) --5</v>
      </c>
      <c r="AA3" s="2" t="s">
        <v>356</v>
      </c>
      <c r="AB3" s="2">
        <v>3</v>
      </c>
      <c r="AC3" s="2" t="str">
        <f>IF(AB3=0,"-",IF(AB3=1,SUM(AB$1:AB2)+1,SUM(AB$1:AB2)+1 &amp; "-" &amp; SUM(AB$1:AB3)))</f>
        <v>16-18</v>
      </c>
      <c r="AD3" s="1" t="str">
        <f t="shared" ref="AD3:AD21" si="9">"!import-table-item --" &amp; AA$1 &amp; " --" &amp; AA3 &amp; " (" &amp; Z$1 &amp; "gp x[[5+1d6-1d6]])" &amp; " --" &amp; AB3</f>
        <v>!import-table-item --Gems-5-1250-gp --Amethyst (250gp x[[5+1d6-1d6]]) --3</v>
      </c>
      <c r="AF3" s="2" t="s">
        <v>356</v>
      </c>
      <c r="AG3" s="2">
        <v>5</v>
      </c>
      <c r="AH3" s="2" t="str">
        <f>IF(AG3=0,"-",IF(AG3=1,SUM(AG$1:AG2)+1,SUM(AG$1:AG2)+1 &amp; "-" &amp; SUM(AG$1:AG3)))</f>
        <v>4-8</v>
      </c>
      <c r="AI3" s="1" t="str">
        <f t="shared" si="2"/>
        <v>!import-table-item --Gems-6-5000-gp --Amethyst (1000gp x[[5+1d6-1d6]]) --5</v>
      </c>
      <c r="AK3" s="2" t="s">
        <v>356</v>
      </c>
      <c r="AL3" s="2">
        <v>1</v>
      </c>
      <c r="AM3" s="2">
        <f>IF(AL3=0,"-",IF(AL3=1,SUM(AL$1:AL2)+1,SUM(AL$1:AL2)+1 &amp; "-" &amp; SUM(AL$1:AL3)))</f>
        <v>2</v>
      </c>
      <c r="AN3" s="1" t="str">
        <f t="shared" si="3"/>
        <v>!import-table-item --Gems-7-12500-gp --Amethyst (2500gp x[[5+1d6-1d6]]) --1</v>
      </c>
      <c r="AP3" s="2" t="s">
        <v>356</v>
      </c>
      <c r="AQ3" s="2">
        <v>1</v>
      </c>
      <c r="AR3" s="2">
        <f>IF(AQ3=0,"-",IF(AQ3=1,SUM(AQ$1:AQ2)+1,SUM(AQ$1:AQ2)+1 &amp; "-" &amp; SUM(AQ$1:AQ3)))</f>
        <v>2</v>
      </c>
      <c r="AS3" s="1" t="str">
        <f t="shared" si="4"/>
        <v>!import-table-item --Gems-8-50000-gp --Amethyst (10000gp x[[5+1d6-1d6]]) --1</v>
      </c>
    </row>
    <row r="4" spans="1:45" x14ac:dyDescent="0.3">
      <c r="A4" s="2" t="s">
        <v>254</v>
      </c>
      <c r="B4" s="2">
        <v>25</v>
      </c>
      <c r="C4" s="19" t="str">
        <f t="shared" si="0"/>
        <v>25 - 250 gp</v>
      </c>
      <c r="D4" s="2" t="str">
        <f t="shared" si="1"/>
        <v>125 gp</v>
      </c>
      <c r="E4" s="1" t="str">
        <f>"Gems-3-" &amp; B4*5 &amp; "-gp"</f>
        <v>Gems-3-125-gp</v>
      </c>
      <c r="G4" s="2" t="s">
        <v>355</v>
      </c>
      <c r="H4" s="2">
        <v>4</v>
      </c>
      <c r="I4" s="2" t="str">
        <f>IF(H4=0,"-",IF(H4=1,SUM(H$1:H3)+1,SUM(H$1:H3)+1 &amp; "-" &amp; SUM(H$1:H4)))</f>
        <v>9-12</v>
      </c>
      <c r="J4" s="1" t="str">
        <f t="shared" si="5"/>
        <v>!import-table-item --Gems-1-25-gp --Aquamarine (5gp x[[5+1d6-1d6]]) --4</v>
      </c>
      <c r="L4" s="2" t="s">
        <v>355</v>
      </c>
      <c r="M4" s="2">
        <v>4</v>
      </c>
      <c r="N4" s="2" t="str">
        <f>IF(M4=0,"-",IF(M4=1,SUM(M$1:M3)+1,SUM(M$1:M3)+1 &amp; "-" &amp; SUM(M$1:M4)))</f>
        <v>9-12</v>
      </c>
      <c r="O4" s="1" t="str">
        <f t="shared" si="6"/>
        <v>!import-table-item --Gems-2-50-gp --Aquamarine (10gp x[[5+1d6-1d6]]) --4</v>
      </c>
      <c r="Q4" s="2" t="s">
        <v>355</v>
      </c>
      <c r="R4" s="2">
        <v>4</v>
      </c>
      <c r="S4" s="2" t="str">
        <f>IF(R4=0,"-",IF(R4=1,SUM(R$1:R3)+1,SUM(R$1:R3)+1 &amp; "-" &amp; SUM(R$1:R4)))</f>
        <v>10-13</v>
      </c>
      <c r="T4" s="1" t="str">
        <f t="shared" si="7"/>
        <v>!import-table-item --Gems-3-125-gp --Aquamarine (25gp x[[5+1d6-1d6]]) --4</v>
      </c>
      <c r="V4" s="2" t="s">
        <v>355</v>
      </c>
      <c r="W4" s="2">
        <v>4</v>
      </c>
      <c r="X4" s="2" t="str">
        <f>IF(W4=0,"-",IF(W4=1,SUM(W$1:W3)+1,SUM(W$1:W3)+1 &amp; "-" &amp; SUM(W$1:W4)))</f>
        <v>8-11</v>
      </c>
      <c r="Y4" s="1" t="str">
        <f t="shared" si="8"/>
        <v>!import-table-item --Gems-4-500-gp --Aquamarine (100gp x[[5+1d6-1d6]]) --4</v>
      </c>
      <c r="AA4" s="2" t="s">
        <v>355</v>
      </c>
      <c r="AB4" s="2">
        <v>3</v>
      </c>
      <c r="AC4" s="2" t="str">
        <f>IF(AB4=0,"-",IF(AB4=1,SUM(AB$1:AB3)+1,SUM(AB$1:AB3)+1 &amp; "-" &amp; SUM(AB$1:AB4)))</f>
        <v>19-21</v>
      </c>
      <c r="AD4" s="1" t="str">
        <f t="shared" si="9"/>
        <v>!import-table-item --Gems-5-1250-gp --Aquamarine (250gp x[[5+1d6-1d6]]) --3</v>
      </c>
      <c r="AF4" s="2" t="s">
        <v>355</v>
      </c>
      <c r="AG4" s="2">
        <v>4</v>
      </c>
      <c r="AH4" s="2" t="str">
        <f>IF(AG4=0,"-",IF(AG4=1,SUM(AG$1:AG3)+1,SUM(AG$1:AG3)+1 &amp; "-" &amp; SUM(AG$1:AG4)))</f>
        <v>9-12</v>
      </c>
      <c r="AI4" s="1" t="str">
        <f t="shared" si="2"/>
        <v>!import-table-item --Gems-6-5000-gp --Aquamarine (1000gp x[[5+1d6-1d6]]) --4</v>
      </c>
      <c r="AK4" s="2" t="s">
        <v>355</v>
      </c>
      <c r="AL4" s="2">
        <v>1</v>
      </c>
      <c r="AM4" s="2">
        <f>IF(AL4=0,"-",IF(AL4=1,SUM(AL$1:AL3)+1,SUM(AL$1:AL3)+1 &amp; "-" &amp; SUM(AL$1:AL4)))</f>
        <v>3</v>
      </c>
      <c r="AN4" s="1" t="str">
        <f t="shared" si="3"/>
        <v>!import-table-item --Gems-7-12500-gp --Aquamarine (2500gp x[[5+1d6-1d6]]) --1</v>
      </c>
      <c r="AP4" s="2" t="s">
        <v>355</v>
      </c>
      <c r="AQ4" s="2">
        <v>1</v>
      </c>
      <c r="AR4" s="2">
        <f>IF(AQ4=0,"-",IF(AQ4=1,SUM(AQ$1:AQ3)+1,SUM(AQ$1:AQ3)+1 &amp; "-" &amp; SUM(AQ$1:AQ4)))</f>
        <v>3</v>
      </c>
      <c r="AS4" s="1" t="str">
        <f t="shared" si="4"/>
        <v>!import-table-item --Gems-8-50000-gp --Aquamarine (10000gp x[[5+1d6-1d6]]) --1</v>
      </c>
    </row>
    <row r="5" spans="1:45" x14ac:dyDescent="0.3">
      <c r="A5" s="2" t="s">
        <v>252</v>
      </c>
      <c r="B5" s="2">
        <v>100</v>
      </c>
      <c r="C5" s="19" t="str">
        <f t="shared" si="0"/>
        <v>100 - 1000 gp</v>
      </c>
      <c r="D5" s="2" t="str">
        <f t="shared" si="1"/>
        <v>500 gp</v>
      </c>
      <c r="E5" s="1" t="str">
        <f>"Gems-4-" &amp; B5*5 &amp; "-gp"</f>
        <v>Gems-4-500-gp</v>
      </c>
      <c r="G5" s="2" t="s">
        <v>354</v>
      </c>
      <c r="H5" s="2">
        <v>4</v>
      </c>
      <c r="I5" s="2" t="str">
        <f>IF(H5=0,"-",IF(H5=1,SUM(H$1:H4)+1,SUM(H$1:H4)+1 &amp; "-" &amp; SUM(H$1:H5)))</f>
        <v>13-16</v>
      </c>
      <c r="J5" s="1" t="str">
        <f>"!import-table-item --" &amp; G$1 &amp; " --" &amp; G5 &amp; " (" &amp; F$1 &amp; "gp x[[5+1d6-1d6]])" &amp; " --" &amp; H5</f>
        <v>!import-table-item --Gems-1-25-gp --Citrine (5gp x[[5+1d6-1d6]]) --4</v>
      </c>
      <c r="L5" s="2" t="s">
        <v>354</v>
      </c>
      <c r="M5" s="2">
        <v>4</v>
      </c>
      <c r="N5" s="2" t="str">
        <f>IF(M5=0,"-",IF(M5=1,SUM(M$1:M4)+1,SUM(M$1:M4)+1 &amp; "-" &amp; SUM(M$1:M5)))</f>
        <v>13-16</v>
      </c>
      <c r="O5" s="1" t="str">
        <f t="shared" si="6"/>
        <v>!import-table-item --Gems-2-50-gp --Citrine (10gp x[[5+1d6-1d6]]) --4</v>
      </c>
      <c r="Q5" s="2" t="s">
        <v>354</v>
      </c>
      <c r="R5" s="2">
        <v>3</v>
      </c>
      <c r="S5" s="2" t="str">
        <f>IF(R5=0,"-",IF(R5=1,SUM(R$1:R4)+1,SUM(R$1:R4)+1 &amp; "-" &amp; SUM(R$1:R5)))</f>
        <v>14-16</v>
      </c>
      <c r="T5" s="1" t="str">
        <f t="shared" si="7"/>
        <v>!import-table-item --Gems-3-125-gp --Citrine (25gp x[[5+1d6-1d6]]) --3</v>
      </c>
      <c r="V5" s="2" t="s">
        <v>354</v>
      </c>
      <c r="W5" s="2">
        <v>3</v>
      </c>
      <c r="X5" s="2" t="str">
        <f>IF(W5=0,"-",IF(W5=1,SUM(W$1:W4)+1,SUM(W$1:W4)+1 &amp; "-" &amp; SUM(W$1:W5)))</f>
        <v>12-14</v>
      </c>
      <c r="Y5" s="1" t="str">
        <f t="shared" si="8"/>
        <v>!import-table-item --Gems-4-500-gp --Citrine (100gp x[[5+1d6-1d6]]) --3</v>
      </c>
      <c r="AA5" s="2" t="s">
        <v>354</v>
      </c>
      <c r="AB5" s="2">
        <v>2</v>
      </c>
      <c r="AC5" s="2" t="str">
        <f>IF(AB5=0,"-",IF(AB5=1,SUM(AB$1:AB4)+1,SUM(AB$1:AB4)+1 &amp; "-" &amp; SUM(AB$1:AB5)))</f>
        <v>22-23</v>
      </c>
      <c r="AD5" s="1" t="str">
        <f t="shared" si="9"/>
        <v>!import-table-item --Gems-5-1250-gp --Citrine (250gp x[[5+1d6-1d6]]) --2</v>
      </c>
      <c r="AF5" s="2" t="s">
        <v>354</v>
      </c>
      <c r="AG5" s="2">
        <v>4</v>
      </c>
      <c r="AH5" s="2" t="str">
        <f>IF(AG5=0,"-",IF(AG5=1,SUM(AG$1:AG4)+1,SUM(AG$1:AG4)+1 &amp; "-" &amp; SUM(AG$1:AG5)))</f>
        <v>13-16</v>
      </c>
      <c r="AI5" s="1" t="str">
        <f t="shared" si="2"/>
        <v>!import-table-item --Gems-6-5000-gp --Citrine (1000gp x[[5+1d6-1d6]]) --4</v>
      </c>
      <c r="AK5" s="2" t="s">
        <v>354</v>
      </c>
      <c r="AL5" s="2">
        <v>1</v>
      </c>
      <c r="AM5" s="2">
        <f>IF(AL5=0,"-",IF(AL5=1,SUM(AL$1:AL4)+1,SUM(AL$1:AL4)+1 &amp; "-" &amp; SUM(AL$1:AL5)))</f>
        <v>4</v>
      </c>
      <c r="AN5" s="1" t="str">
        <f t="shared" si="3"/>
        <v>!import-table-item --Gems-7-12500-gp --Citrine (2500gp x[[5+1d6-1d6]]) --1</v>
      </c>
      <c r="AP5" s="2" t="s">
        <v>354</v>
      </c>
      <c r="AQ5" s="2">
        <v>1</v>
      </c>
      <c r="AR5" s="2">
        <f>IF(AQ5=0,"-",IF(AQ5=1,SUM(AQ$1:AQ4)+1,SUM(AQ$1:AQ4)+1 &amp; "-" &amp; SUM(AQ$1:AQ5)))</f>
        <v>4</v>
      </c>
      <c r="AS5" s="1" t="str">
        <f t="shared" si="4"/>
        <v>!import-table-item --Gems-8-50000-gp --Citrine (10000gp x[[5+1d6-1d6]]) --1</v>
      </c>
    </row>
    <row r="6" spans="1:45" x14ac:dyDescent="0.3">
      <c r="A6" s="2" t="s">
        <v>252</v>
      </c>
      <c r="B6" s="2">
        <v>250</v>
      </c>
      <c r="C6" s="19" t="str">
        <f t="shared" si="0"/>
        <v>250 - 2500 gp</v>
      </c>
      <c r="D6" s="2" t="str">
        <f t="shared" si="1"/>
        <v>1250 gp</v>
      </c>
      <c r="E6" s="1" t="str">
        <f>"Gems-5-" &amp; B6*5 &amp; "-gp"</f>
        <v>Gems-5-1250-gp</v>
      </c>
      <c r="G6" s="2" t="s">
        <v>353</v>
      </c>
      <c r="H6" s="2">
        <v>24</v>
      </c>
      <c r="I6" s="2" t="str">
        <f>IF(H6=0,"-",IF(H6=1,SUM(H$1:H5)+1,SUM(H$1:H5)+1 &amp; "-" &amp; SUM(H$1:H6)))</f>
        <v>17-40</v>
      </c>
      <c r="J6" s="1" t="str">
        <f>"!import-table-item --" &amp; G$1 &amp; " --" &amp; G6 &amp; " (" &amp; F$1 &amp; "gp x[[5]])" &amp; " --" &amp; H6</f>
        <v>!import-table-item --Gems-1-25-gp --Diamond (5gp x[[5]]) --24</v>
      </c>
      <c r="L6" s="2" t="s">
        <v>353</v>
      </c>
      <c r="M6" s="2">
        <v>20</v>
      </c>
      <c r="N6" s="2" t="str">
        <f>IF(M6=0,"-",IF(M6=1,SUM(M$1:M5)+1,SUM(M$1:M5)+1 &amp; "-" &amp; SUM(M$1:M6)))</f>
        <v>17-36</v>
      </c>
      <c r="O6" s="1" t="str">
        <f>"!import-table-item --" &amp; L$1 &amp; " --" &amp; L6 &amp; " (" &amp; K$1 &amp; "gp x[[5]])" &amp; " --" &amp; M6</f>
        <v>!import-table-item --Gems-2-50-gp --Diamond (10gp x[[5]]) --20</v>
      </c>
      <c r="Q6" s="2" t="s">
        <v>353</v>
      </c>
      <c r="R6" s="2">
        <v>4</v>
      </c>
      <c r="S6" s="2" t="str">
        <f>IF(R6=0,"-",IF(R6=1,SUM(R$1:R5)+1,SUM(R$1:R5)+1 &amp; "-" &amp; SUM(R$1:R6)))</f>
        <v>17-20</v>
      </c>
      <c r="T6" s="1" t="str">
        <f t="shared" si="7"/>
        <v>!import-table-item --Gems-3-125-gp --Diamond (25gp x[[5+1d6-1d6]]) --4</v>
      </c>
      <c r="V6" s="2" t="s">
        <v>353</v>
      </c>
      <c r="W6" s="2">
        <v>25</v>
      </c>
      <c r="X6" s="2" t="str">
        <f>IF(W6=0,"-",IF(W6=1,SUM(W$1:W5)+1,SUM(W$1:W5)+1 &amp; "-" &amp; SUM(W$1:W6)))</f>
        <v>15-39</v>
      </c>
      <c r="Y6" s="1" t="str">
        <f>"!import-table-item --" &amp; V$1 &amp; " --" &amp; V6 &amp; " (" &amp; U$1 &amp; "gp x[[5]])" &amp; " --" &amp; W6</f>
        <v>!import-table-item --Gems-4-500-gp --Diamond (100gp x[[5]]) --25</v>
      </c>
      <c r="AA6" s="2" t="s">
        <v>353</v>
      </c>
      <c r="AB6" s="2">
        <v>25</v>
      </c>
      <c r="AC6" s="2" t="str">
        <f>IF(AB6=0,"-",IF(AB6=1,SUM(AB$1:AB5)+1,SUM(AB$1:AB5)+1 &amp; "-" &amp; SUM(AB$1:AB6)))</f>
        <v>24-48</v>
      </c>
      <c r="AD6" s="1" t="str">
        <f>"!import-table-item --" &amp; AA$1 &amp; " --" &amp; AA6 &amp; " (" &amp; Z$1 &amp; "gp x[[4]])" &amp; " --" &amp; AB6</f>
        <v>!import-table-item --Gems-5-1250-gp --Diamond (250gp x[[4]]) --25</v>
      </c>
      <c r="AF6" s="2" t="s">
        <v>353</v>
      </c>
      <c r="AG6" s="2">
        <v>25</v>
      </c>
      <c r="AH6" s="2" t="str">
        <f>IF(AG6=0,"-",IF(AG6=1,SUM(AG$1:AG5)+1,SUM(AG$1:AG5)+1 &amp; "-" &amp; SUM(AG$1:AG6)))</f>
        <v>17-41</v>
      </c>
      <c r="AI6" s="1" t="str">
        <f>"!import-table-item --" &amp; AF$1 &amp; " --" &amp; AF6 &amp; " (" &amp; AE$1 &amp; "gp x[[5]])" &amp; " --" &amp; AG6</f>
        <v>!import-table-item --Gems-6-5000-gp --Diamond (1000gp x[[5]]) --25</v>
      </c>
      <c r="AK6" s="2" t="s">
        <v>353</v>
      </c>
      <c r="AL6" s="2">
        <v>2</v>
      </c>
      <c r="AM6" s="2" t="str">
        <f>IF(AL6=0,"-",IF(AL6=1,SUM(AL$1:AL5)+1,SUM(AL$1:AL5)+1 &amp; "-" &amp; SUM(AL$1:AL6)))</f>
        <v>5-6</v>
      </c>
      <c r="AN6" s="1" t="str">
        <f t="shared" si="3"/>
        <v>!import-table-item --Gems-7-12500-gp --Diamond (2500gp x[[5+1d6-1d6]]) --2</v>
      </c>
      <c r="AP6" s="2" t="s">
        <v>353</v>
      </c>
      <c r="AQ6" s="2">
        <v>2</v>
      </c>
      <c r="AR6" s="2" t="str">
        <f>IF(AQ6=0,"-",IF(AQ6=1,SUM(AQ$1:AQ5)+1,SUM(AQ$1:AQ5)+1 &amp; "-" &amp; SUM(AQ$1:AQ6)))</f>
        <v>5-6</v>
      </c>
      <c r="AS6" s="1" t="str">
        <f t="shared" si="4"/>
        <v>!import-table-item --Gems-8-50000-gp --Diamond (10000gp x[[5+1d6-1d6]]) --2</v>
      </c>
    </row>
    <row r="7" spans="1:45" x14ac:dyDescent="0.3">
      <c r="A7" s="2" t="s">
        <v>250</v>
      </c>
      <c r="B7" s="2">
        <v>1000</v>
      </c>
      <c r="C7" s="19" t="str">
        <f t="shared" si="0"/>
        <v>1000 - 10000 gp</v>
      </c>
      <c r="D7" s="2" t="str">
        <f t="shared" si="1"/>
        <v>5000 gp</v>
      </c>
      <c r="E7" s="1" t="str">
        <f>"Gems-6-" &amp; B7*5 &amp; "-gp"</f>
        <v>Gems-6-5000-gp</v>
      </c>
      <c r="G7" s="2" t="s">
        <v>352</v>
      </c>
      <c r="H7" s="2">
        <v>4</v>
      </c>
      <c r="I7" s="2" t="str">
        <f>IF(H7=0,"-",IF(H7=1,SUM(H$1:H6)+1,SUM(H$1:H6)+1 &amp; "-" &amp; SUM(H$1:H7)))</f>
        <v>41-44</v>
      </c>
      <c r="J7" s="1" t="str">
        <f>"!import-table-item --" &amp; G$1 &amp; " --" &amp; G7 &amp; " (" &amp; F$1 &amp; "gp x[[5+1d6-1d6]])" &amp; " --" &amp; H7</f>
        <v>!import-table-item --Gems-1-25-gp --Emerald (5gp x[[5+1d6-1d6]]) --4</v>
      </c>
      <c r="L7" s="2" t="s">
        <v>352</v>
      </c>
      <c r="M7" s="2">
        <v>4</v>
      </c>
      <c r="N7" s="2" t="str">
        <f>IF(M7=0,"-",IF(M7=1,SUM(M$1:M6)+1,SUM(M$1:M6)+1 &amp; "-" &amp; SUM(M$1:M7)))</f>
        <v>37-40</v>
      </c>
      <c r="O7" s="1" t="str">
        <f t="shared" si="6"/>
        <v>!import-table-item --Gems-2-50-gp --Emerald (10gp x[[5+1d6-1d6]]) --4</v>
      </c>
      <c r="Q7" s="2" t="s">
        <v>352</v>
      </c>
      <c r="R7" s="2">
        <v>5</v>
      </c>
      <c r="S7" s="2" t="str">
        <f>IF(R7=0,"-",IF(R7=1,SUM(R$1:R6)+1,SUM(R$1:R6)+1 &amp; "-" &amp; SUM(R$1:R7)))</f>
        <v>21-25</v>
      </c>
      <c r="T7" s="1" t="str">
        <f t="shared" si="7"/>
        <v>!import-table-item --Gems-3-125-gp --Emerald (25gp x[[5+1d6-1d6]]) --5</v>
      </c>
      <c r="V7" s="2" t="s">
        <v>352</v>
      </c>
      <c r="W7" s="2">
        <v>5</v>
      </c>
      <c r="X7" s="2" t="str">
        <f>IF(W7=0,"-",IF(W7=1,SUM(W$1:W6)+1,SUM(W$1:W6)+1 &amp; "-" &amp; SUM(W$1:W7)))</f>
        <v>40-44</v>
      </c>
      <c r="Y7" s="1" t="str">
        <f t="shared" si="8"/>
        <v>!import-table-item --Gems-4-500-gp --Emerald (100gp x[[5+1d6-1d6]]) --5</v>
      </c>
      <c r="AA7" s="2" t="s">
        <v>352</v>
      </c>
      <c r="AB7" s="2">
        <v>3</v>
      </c>
      <c r="AC7" s="2" t="str">
        <f>IF(AB7=0,"-",IF(AB7=1,SUM(AB$1:AB6)+1,SUM(AB$1:AB6)+1 &amp; "-" &amp; SUM(AB$1:AB7)))</f>
        <v>49-51</v>
      </c>
      <c r="AD7" s="1" t="str">
        <f t="shared" si="9"/>
        <v>!import-table-item --Gems-5-1250-gp --Emerald (250gp x[[5+1d6-1d6]]) --3</v>
      </c>
      <c r="AF7" s="2" t="s">
        <v>352</v>
      </c>
      <c r="AG7" s="2">
        <v>10</v>
      </c>
      <c r="AH7" s="2" t="str">
        <f>IF(AG7=0,"-",IF(AG7=1,SUM(AG$1:AG6)+1,SUM(AG$1:AG6)+1 &amp; "-" &amp; SUM(AG$1:AG7)))</f>
        <v>42-51</v>
      </c>
      <c r="AI7" s="1" t="str">
        <f>"!import-table-item --" &amp; AF$1 &amp; " --" &amp; AF7 &amp; " (" &amp; AE$1 &amp; "gp x[[5]])" &amp; " --" &amp; AG7</f>
        <v>!import-table-item --Gems-6-5000-gp --Emerald (1000gp x[[5]]) --10</v>
      </c>
      <c r="AK7" s="2" t="s">
        <v>352</v>
      </c>
      <c r="AL7" s="2">
        <v>1</v>
      </c>
      <c r="AM7" s="2">
        <f>IF(AL7=0,"-",IF(AL7=1,SUM(AL$1:AL6)+1,SUM(AL$1:AL6)+1 &amp; "-" &amp; SUM(AL$1:AL7)))</f>
        <v>7</v>
      </c>
      <c r="AN7" s="1" t="str">
        <f t="shared" si="3"/>
        <v>!import-table-item --Gems-7-12500-gp --Emerald (2500gp x[[5+1d6-1d6]]) --1</v>
      </c>
      <c r="AP7" s="2" t="s">
        <v>352</v>
      </c>
      <c r="AQ7" s="2">
        <v>1</v>
      </c>
      <c r="AR7" s="2">
        <f>IF(AQ7=0,"-",IF(AQ7=1,SUM(AQ$1:AQ6)+1,SUM(AQ$1:AQ6)+1 &amp; "-" &amp; SUM(AQ$1:AQ7)))</f>
        <v>7</v>
      </c>
      <c r="AS7" s="1" t="str">
        <f t="shared" si="4"/>
        <v>!import-table-item --Gems-8-50000-gp --Emerald (10000gp x[[5+1d6-1d6]]) --1</v>
      </c>
    </row>
    <row r="8" spans="1:45" x14ac:dyDescent="0.3">
      <c r="A8" s="2" t="s">
        <v>250</v>
      </c>
      <c r="B8" s="2">
        <v>2500</v>
      </c>
      <c r="C8" s="19" t="str">
        <f t="shared" si="0"/>
        <v>2500 - 25000 gp</v>
      </c>
      <c r="D8" s="2" t="str">
        <f t="shared" si="1"/>
        <v>12500 gp</v>
      </c>
      <c r="E8" s="1" t="str">
        <f>"Gems-7-" &amp; B8*5 &amp; "-gp"</f>
        <v>Gems-7-12500-gp</v>
      </c>
      <c r="G8" s="2" t="s">
        <v>351</v>
      </c>
      <c r="H8" s="2">
        <v>4</v>
      </c>
      <c r="I8" s="2" t="str">
        <f>IF(H8=0,"-",IF(H8=1,SUM(H$1:H7)+1,SUM(H$1:H7)+1 &amp; "-" &amp; SUM(H$1:H8)))</f>
        <v>45-48</v>
      </c>
      <c r="J8" s="1" t="str">
        <f t="shared" ref="J8:J21" si="10">"!import-table-item --" &amp; G$1 &amp; " --" &amp; G8 &amp; " (" &amp; F$1 &amp; "gp x[[5+1d6-1d6]])" &amp; " --" &amp; H8</f>
        <v>!import-table-item --Gems-1-25-gp --Garnet (5gp x[[5+1d6-1d6]]) --4</v>
      </c>
      <c r="L8" s="2" t="s">
        <v>351</v>
      </c>
      <c r="M8" s="2">
        <v>4</v>
      </c>
      <c r="N8" s="2" t="str">
        <f>IF(M8=0,"-",IF(M8=1,SUM(M$1:M7)+1,SUM(M$1:M7)+1 &amp; "-" &amp; SUM(M$1:M8)))</f>
        <v>41-44</v>
      </c>
      <c r="O8" s="1" t="str">
        <f t="shared" si="6"/>
        <v>!import-table-item --Gems-2-50-gp --Garnet (10gp x[[5+1d6-1d6]]) --4</v>
      </c>
      <c r="Q8" s="2" t="s">
        <v>351</v>
      </c>
      <c r="R8" s="2">
        <v>4</v>
      </c>
      <c r="S8" s="2" t="str">
        <f>IF(R8=0,"-",IF(R8=1,SUM(R$1:R7)+1,SUM(R$1:R7)+1 &amp; "-" &amp; SUM(R$1:R8)))</f>
        <v>26-29</v>
      </c>
      <c r="T8" s="1" t="str">
        <f t="shared" si="7"/>
        <v>!import-table-item --Gems-3-125-gp --Garnet (25gp x[[5+1d6-1d6]]) --4</v>
      </c>
      <c r="V8" s="2" t="s">
        <v>351</v>
      </c>
      <c r="W8" s="2">
        <v>3</v>
      </c>
      <c r="X8" s="2" t="str">
        <f>IF(W8=0,"-",IF(W8=1,SUM(W$1:W7)+1,SUM(W$1:W7)+1 &amp; "-" &amp; SUM(W$1:W8)))</f>
        <v>45-47</v>
      </c>
      <c r="Y8" s="1" t="str">
        <f t="shared" si="8"/>
        <v>!import-table-item --Gems-4-500-gp --Garnet (100gp x[[5+1d6-1d6]]) --3</v>
      </c>
      <c r="AA8" s="2" t="s">
        <v>351</v>
      </c>
      <c r="AB8" s="2">
        <v>0</v>
      </c>
      <c r="AC8" s="2" t="str">
        <f>IF(AB8=0,"-",IF(AB8=1,SUM(AB$1:AB7)+1,SUM(AB$1:AB7)+1 &amp; "-" &amp; SUM(AB$1:AB8)))</f>
        <v>-</v>
      </c>
      <c r="AD8" s="1" t="str">
        <f t="shared" si="9"/>
        <v>!import-table-item --Gems-5-1250-gp --Garnet (250gp x[[5+1d6-1d6]]) --0</v>
      </c>
      <c r="AF8" s="2" t="s">
        <v>351</v>
      </c>
      <c r="AG8" s="2">
        <v>3</v>
      </c>
      <c r="AH8" s="2" t="str">
        <f>IF(AG8=0,"-",IF(AG8=1,SUM(AG$1:AG7)+1,SUM(AG$1:AG7)+1 &amp; "-" &amp; SUM(AG$1:AG8)))</f>
        <v>52-54</v>
      </c>
      <c r="AI8" s="1" t="str">
        <f t="shared" si="2"/>
        <v>!import-table-item --Gems-6-5000-gp --Garnet (1000gp x[[5+1d6-1d6]]) --3</v>
      </c>
      <c r="AK8" s="2" t="s">
        <v>351</v>
      </c>
      <c r="AL8" s="2">
        <v>1</v>
      </c>
      <c r="AM8" s="2">
        <f>IF(AL8=0,"-",IF(AL8=1,SUM(AL$1:AL7)+1,SUM(AL$1:AL7)+1 &amp; "-" &amp; SUM(AL$1:AL8)))</f>
        <v>8</v>
      </c>
      <c r="AN8" s="1" t="str">
        <f t="shared" si="3"/>
        <v>!import-table-item --Gems-7-12500-gp --Garnet (2500gp x[[5+1d6-1d6]]) --1</v>
      </c>
      <c r="AP8" s="2" t="s">
        <v>351</v>
      </c>
      <c r="AQ8" s="2">
        <v>1</v>
      </c>
      <c r="AR8" s="2">
        <f>IF(AQ8=0,"-",IF(AQ8=1,SUM(AQ$1:AQ7)+1,SUM(AQ$1:AQ7)+1 &amp; "-" &amp; SUM(AQ$1:AQ8)))</f>
        <v>8</v>
      </c>
      <c r="AS8" s="1" t="str">
        <f t="shared" si="4"/>
        <v>!import-table-item --Gems-8-50000-gp --Garnet (10000gp x[[5+1d6-1d6]]) --1</v>
      </c>
    </row>
    <row r="9" spans="1:45" x14ac:dyDescent="0.3">
      <c r="A9" s="2" t="s">
        <v>248</v>
      </c>
      <c r="B9" s="2">
        <v>10000</v>
      </c>
      <c r="C9" s="19" t="str">
        <f t="shared" si="0"/>
        <v>10000 - 100000 gp</v>
      </c>
      <c r="D9" s="2" t="str">
        <f t="shared" si="1"/>
        <v>50000 gp</v>
      </c>
      <c r="E9" s="1" t="str">
        <f>"Gems-8-" &amp; B9*5 &amp; "-gp"</f>
        <v>Gems-8-50000-gp</v>
      </c>
      <c r="G9" s="2" t="s">
        <v>350</v>
      </c>
      <c r="H9" s="2">
        <v>0</v>
      </c>
      <c r="I9" s="2" t="str">
        <f>IF(H9=0,"-",IF(H9=1,SUM(H$1:H8)+1,SUM(H$1:H8)+1 &amp; "-" &amp; SUM(H$1:H9)))</f>
        <v>-</v>
      </c>
      <c r="J9" s="1" t="str">
        <f t="shared" si="10"/>
        <v>!import-table-item --Gems-1-25-gp --Jacinth (5gp x[[5+1d6-1d6]]) --0</v>
      </c>
      <c r="L9" s="2" t="s">
        <v>350</v>
      </c>
      <c r="M9" s="2">
        <v>0</v>
      </c>
      <c r="N9" s="2" t="str">
        <f>IF(M9=0,"-",IF(M9=1,SUM(M$1:M8)+1,SUM(M$1:M8)+1 &amp; "-" &amp; SUM(M$1:M9)))</f>
        <v>-</v>
      </c>
      <c r="O9" s="1" t="str">
        <f t="shared" si="6"/>
        <v>!import-table-item --Gems-2-50-gp --Jacinth (10gp x[[5+1d6-1d6]]) --0</v>
      </c>
      <c r="Q9" s="2" t="s">
        <v>350</v>
      </c>
      <c r="R9" s="2">
        <v>0</v>
      </c>
      <c r="S9" s="2" t="str">
        <f>IF(R9=0,"-",IF(R9=1,SUM(R$1:R8)+1,SUM(R$1:R8)+1 &amp; "-" &amp; SUM(R$1:R9)))</f>
        <v>-</v>
      </c>
      <c r="T9" s="1" t="str">
        <f t="shared" si="7"/>
        <v>!import-table-item --Gems-3-125-gp --Jacinth (25gp x[[5+1d6-1d6]]) --0</v>
      </c>
      <c r="V9" s="2" t="s">
        <v>350</v>
      </c>
      <c r="W9" s="2">
        <v>0</v>
      </c>
      <c r="X9" s="2" t="str">
        <f>IF(W9=0,"-",IF(W9=1,SUM(W$1:W8)+1,SUM(W$1:W8)+1 &amp; "-" &amp; SUM(W$1:W9)))</f>
        <v>-</v>
      </c>
      <c r="Y9" s="1" t="str">
        <f t="shared" si="8"/>
        <v>!import-table-item --Gems-4-500-gp --Jacinth (100gp x[[5+1d6-1d6]]) --0</v>
      </c>
      <c r="AA9" s="2" t="s">
        <v>350</v>
      </c>
      <c r="AB9" s="2">
        <v>10</v>
      </c>
      <c r="AC9" s="2" t="str">
        <f>IF(AB9=0,"-",IF(AB9=1,SUM(AB$1:AB8)+1,SUM(AB$1:AB8)+1 &amp; "-" &amp; SUM(AB$1:AB9)))</f>
        <v>52-61</v>
      </c>
      <c r="AD9" s="1" t="str">
        <f>"!import-table-item --" &amp; AA$1 &amp; " --" &amp; AA9 &amp; " (" &amp; Z$1 &amp; "gp x[[5]])" &amp; " --" &amp; AB9</f>
        <v>!import-table-item --Gems-5-1250-gp --Jacinth (250gp x[[5]]) --10</v>
      </c>
      <c r="AF9" s="2" t="s">
        <v>350</v>
      </c>
      <c r="AG9" s="2">
        <v>0</v>
      </c>
      <c r="AH9" s="2" t="str">
        <f>IF(AG9=0,"-",IF(AG9=1,SUM(AG$1:AG8)+1,SUM(AG$1:AG8)+1 &amp; "-" &amp; SUM(AG$1:AG9)))</f>
        <v>-</v>
      </c>
      <c r="AI9" s="1" t="str">
        <f t="shared" si="2"/>
        <v>!import-table-item --Gems-6-5000-gp --Jacinth (1000gp x[[5+1d6-1d6]]) --0</v>
      </c>
      <c r="AK9" s="2" t="s">
        <v>350</v>
      </c>
      <c r="AL9" s="2">
        <v>1</v>
      </c>
      <c r="AM9" s="2">
        <f>IF(AL9=0,"-",IF(AL9=1,SUM(AL$1:AL8)+1,SUM(AL$1:AL8)+1 &amp; "-" &amp; SUM(AL$1:AL9)))</f>
        <v>9</v>
      </c>
      <c r="AN9" s="1" t="str">
        <f t="shared" si="3"/>
        <v>!import-table-item --Gems-7-12500-gp --Jacinth (2500gp x[[5+1d6-1d6]]) --1</v>
      </c>
      <c r="AP9" s="2" t="s">
        <v>350</v>
      </c>
      <c r="AQ9" s="2">
        <v>1</v>
      </c>
      <c r="AR9" s="2">
        <f>IF(AQ9=0,"-",IF(AQ9=1,SUM(AQ$1:AQ8)+1,SUM(AQ$1:AQ8)+1 &amp; "-" &amp; SUM(AQ$1:AQ9)))</f>
        <v>9</v>
      </c>
      <c r="AS9" s="1" t="str">
        <f t="shared" si="4"/>
        <v>!import-table-item --Gems-8-50000-gp --Jacinth (10000gp x[[5+1d6-1d6]]) --1</v>
      </c>
    </row>
    <row r="10" spans="1:45" x14ac:dyDescent="0.3">
      <c r="D10" s="19"/>
      <c r="E10" s="20"/>
      <c r="F10" s="19"/>
      <c r="G10" s="2" t="s">
        <v>349</v>
      </c>
      <c r="H10" s="2">
        <v>10</v>
      </c>
      <c r="I10" s="2" t="str">
        <f>IF(H10=0,"-",IF(H10=1,SUM(H$1:H9)+1,SUM(H$1:H9)+1 &amp; "-" &amp; SUM(H$1:H10)))</f>
        <v>49-58</v>
      </c>
      <c r="J10" s="1" t="str">
        <f>"!import-table-item --" &amp; G$1 &amp; " --" &amp; G10 &amp; " (" &amp; F$1 &amp; "gp x[[2]])" &amp; " --" &amp; H10</f>
        <v>!import-table-item --Gems-1-25-gp --Jade (5gp x[[2]]) --10</v>
      </c>
      <c r="K10" s="19"/>
      <c r="L10" s="2" t="s">
        <v>349</v>
      </c>
      <c r="M10" s="2">
        <v>10</v>
      </c>
      <c r="N10" s="2" t="str">
        <f>IF(M10=0,"-",IF(M10=1,SUM(M$1:M9)+1,SUM(M$1:M9)+1 &amp; "-" &amp; SUM(M$1:M10)))</f>
        <v>45-54</v>
      </c>
      <c r="O10" s="1" t="str">
        <f>"!import-table-item --" &amp; L$1 &amp; " --" &amp; L10 &amp; " (" &amp; K$1 &amp; "gp x[[5]])" &amp; " --" &amp; M10</f>
        <v>!import-table-item --Gems-2-50-gp --Jade (10gp x[[5]]) --10</v>
      </c>
      <c r="P10" s="19"/>
      <c r="Q10" s="2" t="s">
        <v>349</v>
      </c>
      <c r="R10" s="2">
        <v>4</v>
      </c>
      <c r="S10" s="2" t="str">
        <f>IF(R10=0,"-",IF(R10=1,SUM(R$1:R9)+1,SUM(R$1:R9)+1 &amp; "-" &amp; SUM(R$1:R10)))</f>
        <v>30-33</v>
      </c>
      <c r="T10" s="1" t="str">
        <f t="shared" si="7"/>
        <v>!import-table-item --Gems-3-125-gp --Jade (25gp x[[5+1d6-1d6]]) --4</v>
      </c>
      <c r="U10" s="19"/>
      <c r="V10" s="2" t="s">
        <v>349</v>
      </c>
      <c r="W10" s="2">
        <v>3</v>
      </c>
      <c r="X10" s="2" t="str">
        <f>IF(W10=0,"-",IF(W10=1,SUM(W$1:W9)+1,SUM(W$1:W9)+1 &amp; "-" &amp; SUM(W$1:W10)))</f>
        <v>48-50</v>
      </c>
      <c r="Y10" s="1" t="str">
        <f t="shared" si="8"/>
        <v>!import-table-item --Gems-4-500-gp --Jade (100gp x[[5+1d6-1d6]]) --3</v>
      </c>
      <c r="Z10" s="19"/>
      <c r="AA10" s="2" t="s">
        <v>349</v>
      </c>
      <c r="AB10" s="2">
        <v>2</v>
      </c>
      <c r="AC10" s="2" t="str">
        <f>IF(AB10=0,"-",IF(AB10=1,SUM(AB$1:AB9)+1,SUM(AB$1:AB9)+1 &amp; "-" &amp; SUM(AB$1:AB10)))</f>
        <v>62-63</v>
      </c>
      <c r="AD10" s="1" t="str">
        <f t="shared" si="9"/>
        <v>!import-table-item --Gems-5-1250-gp --Jade (250gp x[[5+1d6-1d6]]) --2</v>
      </c>
      <c r="AE10" s="19"/>
      <c r="AF10" s="2" t="s">
        <v>349</v>
      </c>
      <c r="AG10" s="2">
        <v>4</v>
      </c>
      <c r="AH10" s="2" t="str">
        <f>IF(AG10=0,"-",IF(AG10=1,SUM(AG$1:AG9)+1,SUM(AG$1:AG9)+1 &amp; "-" &amp; SUM(AG$1:AG10)))</f>
        <v>55-58</v>
      </c>
      <c r="AI10" s="1" t="str">
        <f t="shared" si="2"/>
        <v>!import-table-item --Gems-6-5000-gp --Jade (1000gp x[[5+1d6-1d6]]) --4</v>
      </c>
      <c r="AJ10" s="19"/>
      <c r="AK10" s="2" t="s">
        <v>349</v>
      </c>
      <c r="AL10" s="2">
        <v>1</v>
      </c>
      <c r="AM10" s="2">
        <f>IF(AL10=0,"-",IF(AL10=1,SUM(AL$1:AL9)+1,SUM(AL$1:AL9)+1 &amp; "-" &amp; SUM(AL$1:AL10)))</f>
        <v>10</v>
      </c>
      <c r="AN10" s="1" t="str">
        <f t="shared" si="3"/>
        <v>!import-table-item --Gems-7-12500-gp --Jade (2500gp x[[5+1d6-1d6]]) --1</v>
      </c>
      <c r="AO10" s="19"/>
      <c r="AP10" s="2" t="s">
        <v>349</v>
      </c>
      <c r="AQ10" s="2">
        <v>1</v>
      </c>
      <c r="AR10" s="2">
        <f>IF(AQ10=0,"-",IF(AQ10=1,SUM(AQ$1:AQ9)+1,SUM(AQ$1:AQ9)+1 &amp; "-" &amp; SUM(AQ$1:AQ10)))</f>
        <v>10</v>
      </c>
      <c r="AS10" s="1" t="str">
        <f t="shared" si="4"/>
        <v>!import-table-item --Gems-8-50000-gp --Jade (10000gp x[[5+1d6-1d6]]) --1</v>
      </c>
    </row>
    <row r="11" spans="1:45" x14ac:dyDescent="0.3">
      <c r="G11" s="2" t="s">
        <v>348</v>
      </c>
      <c r="H11" s="2">
        <v>3</v>
      </c>
      <c r="I11" s="2" t="str">
        <f>IF(H11=0,"-",IF(H11=1,SUM(H$1:H10)+1,SUM(H$1:H10)+1 &amp; "-" &amp; SUM(H$1:H11)))</f>
        <v>59-61</v>
      </c>
      <c r="J11" s="1" t="str">
        <f t="shared" si="10"/>
        <v>!import-table-item --Gems-1-25-gp --Jet (5gp x[[5+1d6-1d6]]) --3</v>
      </c>
      <c r="L11" s="2" t="s">
        <v>348</v>
      </c>
      <c r="M11" s="2">
        <v>3</v>
      </c>
      <c r="N11" s="2" t="str">
        <f>IF(M11=0,"-",IF(M11=1,SUM(M$1:M10)+1,SUM(M$1:M10)+1 &amp; "-" &amp; SUM(M$1:M11)))</f>
        <v>55-57</v>
      </c>
      <c r="O11" s="1" t="str">
        <f t="shared" si="6"/>
        <v>!import-table-item --Gems-2-50-gp --Jet (10gp x[[5+1d6-1d6]]) --3</v>
      </c>
      <c r="Q11" s="2" t="s">
        <v>348</v>
      </c>
      <c r="R11" s="2">
        <v>0</v>
      </c>
      <c r="S11" s="2" t="str">
        <f>IF(R11=0,"-",IF(R11=1,SUM(R$1:R10)+1,SUM(R$1:R10)+1 &amp; "-" &amp; SUM(R$1:R11)))</f>
        <v>-</v>
      </c>
      <c r="T11" s="1" t="str">
        <f t="shared" si="7"/>
        <v>!import-table-item --Gems-3-125-gp --Jet (25gp x[[5+1d6-1d6]]) --0</v>
      </c>
      <c r="V11" s="2" t="s">
        <v>348</v>
      </c>
      <c r="W11" s="2">
        <v>0</v>
      </c>
      <c r="X11" s="2" t="str">
        <f>IF(W11=0,"-",IF(W11=1,SUM(W$1:W10)+1,SUM(W$1:W10)+1 &amp; "-" &amp; SUM(W$1:W11)))</f>
        <v>-</v>
      </c>
      <c r="Y11" s="1" t="str">
        <f t="shared" si="8"/>
        <v>!import-table-item --Gems-4-500-gp --Jet (100gp x[[5+1d6-1d6]]) --0</v>
      </c>
      <c r="AA11" s="2" t="s">
        <v>348</v>
      </c>
      <c r="AB11" s="2">
        <v>0</v>
      </c>
      <c r="AC11" s="2" t="str">
        <f>IF(AB11=0,"-",IF(AB11=1,SUM(AB$1:AB10)+1,SUM(AB$1:AB10)+1 &amp; "-" &amp; SUM(AB$1:AB11)))</f>
        <v>-</v>
      </c>
      <c r="AD11" s="1" t="str">
        <f t="shared" si="9"/>
        <v>!import-table-item --Gems-5-1250-gp --Jet (250gp x[[5+1d6-1d6]]) --0</v>
      </c>
      <c r="AF11" s="2" t="s">
        <v>348</v>
      </c>
      <c r="AG11" s="2">
        <v>0</v>
      </c>
      <c r="AH11" s="2" t="str">
        <f>IF(AG11=0,"-",IF(AG11=1,SUM(AG$1:AG10)+1,SUM(AG$1:AG10)+1 &amp; "-" &amp; SUM(AG$1:AG11)))</f>
        <v>-</v>
      </c>
      <c r="AI11" s="1" t="str">
        <f t="shared" si="2"/>
        <v>!import-table-item --Gems-6-5000-gp --Jet (1000gp x[[5+1d6-1d6]]) --0</v>
      </c>
      <c r="AK11" s="2" t="s">
        <v>348</v>
      </c>
      <c r="AL11" s="2">
        <v>1</v>
      </c>
      <c r="AM11" s="2">
        <f>IF(AL11=0,"-",IF(AL11=1,SUM(AL$1:AL10)+1,SUM(AL$1:AL10)+1 &amp; "-" &amp; SUM(AL$1:AL11)))</f>
        <v>11</v>
      </c>
      <c r="AN11" s="1" t="str">
        <f t="shared" si="3"/>
        <v>!import-table-item --Gems-7-12500-gp --Jet (2500gp x[[5+1d6-1d6]]) --1</v>
      </c>
      <c r="AP11" s="2" t="s">
        <v>348</v>
      </c>
      <c r="AQ11" s="2">
        <v>1</v>
      </c>
      <c r="AR11" s="2">
        <f>IF(AQ11=0,"-",IF(AQ11=1,SUM(AQ$1:AQ10)+1,SUM(AQ$1:AQ10)+1 &amp; "-" &amp; SUM(AQ$1:AQ11)))</f>
        <v>11</v>
      </c>
      <c r="AS11" s="1" t="str">
        <f t="shared" si="4"/>
        <v>!import-table-item --Gems-8-50000-gp --Jet (10000gp x[[5+1d6-1d6]]) --1</v>
      </c>
    </row>
    <row r="12" spans="1:45" x14ac:dyDescent="0.3">
      <c r="G12" s="2" t="s">
        <v>347</v>
      </c>
      <c r="H12" s="2">
        <v>4</v>
      </c>
      <c r="I12" s="2" t="str">
        <f>IF(H12=0,"-",IF(H12=1,SUM(H$1:H11)+1,SUM(H$1:H11)+1 &amp; "-" &amp; SUM(H$1:H12)))</f>
        <v>62-65</v>
      </c>
      <c r="J12" s="1" t="str">
        <f t="shared" si="10"/>
        <v>!import-table-item --Gems-1-25-gp --Onyx (5gp x[[5+1d6-1d6]]) --4</v>
      </c>
      <c r="L12" s="2" t="s">
        <v>347</v>
      </c>
      <c r="M12" s="2">
        <v>3</v>
      </c>
      <c r="N12" s="2" t="str">
        <f>IF(M12=0,"-",IF(M12=1,SUM(M$1:M11)+1,SUM(M$1:M11)+1 &amp; "-" &amp; SUM(M$1:M12)))</f>
        <v>58-60</v>
      </c>
      <c r="O12" s="1" t="str">
        <f t="shared" si="6"/>
        <v>!import-table-item --Gems-2-50-gp --Onyx (10gp x[[5+1d6-1d6]]) --3</v>
      </c>
      <c r="Q12" s="2" t="s">
        <v>347</v>
      </c>
      <c r="R12" s="2">
        <v>10</v>
      </c>
      <c r="S12" s="2" t="str">
        <f>IF(R12=0,"-",IF(R12=1,SUM(R$1:R11)+1,SUM(R$1:R11)+1 &amp; "-" &amp; SUM(R$1:R12)))</f>
        <v>34-43</v>
      </c>
      <c r="T12" s="1" t="str">
        <f>"!import-table-item --" &amp; Q$1 &amp; " --" &amp; Q12 &amp; " (" &amp; P$1 &amp; "gp x[[6]])" &amp; " --" &amp; R12</f>
        <v>!import-table-item --Gems-3-125-gp --Onyx (25gp x[[6]]) --10</v>
      </c>
      <c r="V12" s="2" t="s">
        <v>347</v>
      </c>
      <c r="W12" s="2">
        <v>2</v>
      </c>
      <c r="X12" s="2" t="str">
        <f>IF(W12=0,"-",IF(W12=1,SUM(W$1:W11)+1,SUM(W$1:W11)+1 &amp; "-" &amp; SUM(W$1:W12)))</f>
        <v>51-52</v>
      </c>
      <c r="Y12" s="1" t="str">
        <f t="shared" si="8"/>
        <v>!import-table-item --Gems-4-500-gp --Onyx (100gp x[[5+1d6-1d6]]) --2</v>
      </c>
      <c r="AA12" s="2" t="s">
        <v>347</v>
      </c>
      <c r="AB12" s="2">
        <v>0</v>
      </c>
      <c r="AC12" s="2" t="str">
        <f>IF(AB12=0,"-",IF(AB12=1,SUM(AB$1:AB11)+1,SUM(AB$1:AB11)+1 &amp; "-" &amp; SUM(AB$1:AB12)))</f>
        <v>-</v>
      </c>
      <c r="AD12" s="1" t="str">
        <f t="shared" si="9"/>
        <v>!import-table-item --Gems-5-1250-gp --Onyx (250gp x[[5+1d6-1d6]]) --0</v>
      </c>
      <c r="AF12" s="2" t="s">
        <v>347</v>
      </c>
      <c r="AG12" s="2">
        <v>0</v>
      </c>
      <c r="AH12" s="2" t="str">
        <f>IF(AG12=0,"-",IF(AG12=1,SUM(AG$1:AG11)+1,SUM(AG$1:AG11)+1 &amp; "-" &amp; SUM(AG$1:AG12)))</f>
        <v>-</v>
      </c>
      <c r="AI12" s="1" t="str">
        <f t="shared" si="2"/>
        <v>!import-table-item --Gems-6-5000-gp --Onyx (1000gp x[[5+1d6-1d6]]) --0</v>
      </c>
      <c r="AK12" s="2" t="s">
        <v>347</v>
      </c>
      <c r="AL12" s="2">
        <v>1</v>
      </c>
      <c r="AM12" s="2">
        <f>IF(AL12=0,"-",IF(AL12=1,SUM(AL$1:AL11)+1,SUM(AL$1:AL11)+1 &amp; "-" &amp; SUM(AL$1:AL12)))</f>
        <v>12</v>
      </c>
      <c r="AN12" s="1" t="str">
        <f t="shared" si="3"/>
        <v>!import-table-item --Gems-7-12500-gp --Onyx (2500gp x[[5+1d6-1d6]]) --1</v>
      </c>
      <c r="AP12" s="2" t="s">
        <v>347</v>
      </c>
      <c r="AQ12" s="2">
        <v>1</v>
      </c>
      <c r="AR12" s="2">
        <f>IF(AQ12=0,"-",IF(AQ12=1,SUM(AQ$1:AQ11)+1,SUM(AQ$1:AQ11)+1 &amp; "-" &amp; SUM(AQ$1:AQ12)))</f>
        <v>12</v>
      </c>
      <c r="AS12" s="1" t="str">
        <f t="shared" si="4"/>
        <v>!import-table-item --Gems-8-50000-gp --Onyx (10000gp x[[5+1d6-1d6]]) --1</v>
      </c>
    </row>
    <row r="13" spans="1:45" x14ac:dyDescent="0.3">
      <c r="G13" s="2" t="s">
        <v>346</v>
      </c>
      <c r="H13" s="2">
        <v>4</v>
      </c>
      <c r="I13" s="2" t="str">
        <f>IF(H13=0,"-",IF(H13=1,SUM(H$1:H12)+1,SUM(H$1:H12)+1 &amp; "-" &amp; SUM(H$1:H13)))</f>
        <v>66-69</v>
      </c>
      <c r="J13" s="1" t="str">
        <f t="shared" si="10"/>
        <v>!import-table-item --Gems-1-25-gp --Opal (5gp x[[5+1d6-1d6]]) --4</v>
      </c>
      <c r="L13" s="2" t="s">
        <v>346</v>
      </c>
      <c r="M13" s="2">
        <v>4</v>
      </c>
      <c r="N13" s="2" t="str">
        <f>IF(M13=0,"-",IF(M13=1,SUM(M$1:M12)+1,SUM(M$1:M12)+1 &amp; "-" &amp; SUM(M$1:M13)))</f>
        <v>61-64</v>
      </c>
      <c r="O13" s="1" t="str">
        <f t="shared" si="6"/>
        <v>!import-table-item --Gems-2-50-gp --Opal (10gp x[[5+1d6-1d6]]) --4</v>
      </c>
      <c r="Q13" s="2" t="s">
        <v>346</v>
      </c>
      <c r="R13" s="2">
        <v>4</v>
      </c>
      <c r="S13" s="2" t="str">
        <f>IF(R13=0,"-",IF(R13=1,SUM(R$1:R12)+1,SUM(R$1:R12)+1 &amp; "-" &amp; SUM(R$1:R13)))</f>
        <v>44-47</v>
      </c>
      <c r="T13" s="1" t="str">
        <f t="shared" si="7"/>
        <v>!import-table-item --Gems-3-125-gp --Opal (25gp x[[5+1d6-1d6]]) --4</v>
      </c>
      <c r="V13" s="2" t="s">
        <v>346</v>
      </c>
      <c r="W13" s="2">
        <v>3</v>
      </c>
      <c r="X13" s="2" t="str">
        <f>IF(W13=0,"-",IF(W13=1,SUM(W$1:W12)+1,SUM(W$1:W12)+1 &amp; "-" &amp; SUM(W$1:W13)))</f>
        <v>53-55</v>
      </c>
      <c r="Y13" s="1" t="str">
        <f t="shared" si="8"/>
        <v>!import-table-item --Gems-4-500-gp --Opal (100gp x[[5+1d6-1d6]]) --3</v>
      </c>
      <c r="AA13" s="2" t="s">
        <v>346</v>
      </c>
      <c r="AB13" s="2">
        <v>0</v>
      </c>
      <c r="AC13" s="2" t="str">
        <f>IF(AB13=0,"-",IF(AB13=1,SUM(AB$1:AB12)+1,SUM(AB$1:AB12)+1 &amp; "-" &amp; SUM(AB$1:AB13)))</f>
        <v>-</v>
      </c>
      <c r="AD13" s="1" t="str">
        <f t="shared" si="9"/>
        <v>!import-table-item --Gems-5-1250-gp --Opal (250gp x[[5+1d6-1d6]]) --0</v>
      </c>
      <c r="AF13" s="2" t="s">
        <v>346</v>
      </c>
      <c r="AG13" s="2">
        <v>4</v>
      </c>
      <c r="AH13" s="2" t="str">
        <f>IF(AG13=0,"-",IF(AG13=1,SUM(AG$1:AG12)+1,SUM(AG$1:AG12)+1 &amp; "-" &amp; SUM(AG$1:AG13)))</f>
        <v>59-62</v>
      </c>
      <c r="AI13" s="1" t="str">
        <f t="shared" si="2"/>
        <v>!import-table-item --Gems-6-5000-gp --Opal (1000gp x[[5+1d6-1d6]]) --4</v>
      </c>
      <c r="AK13" s="2" t="s">
        <v>346</v>
      </c>
      <c r="AL13" s="2">
        <v>1</v>
      </c>
      <c r="AM13" s="2">
        <f>IF(AL13=0,"-",IF(AL13=1,SUM(AL$1:AL12)+1,SUM(AL$1:AL12)+1 &amp; "-" &amp; SUM(AL$1:AL13)))</f>
        <v>13</v>
      </c>
      <c r="AN13" s="1" t="str">
        <f t="shared" si="3"/>
        <v>!import-table-item --Gems-7-12500-gp --Opal (2500gp x[[5+1d6-1d6]]) --1</v>
      </c>
      <c r="AP13" s="2" t="s">
        <v>346</v>
      </c>
      <c r="AQ13" s="2">
        <v>1</v>
      </c>
      <c r="AR13" s="2">
        <f>IF(AQ13=0,"-",IF(AQ13=1,SUM(AQ$1:AQ12)+1,SUM(AQ$1:AQ12)+1 &amp; "-" &amp; SUM(AQ$1:AQ13)))</f>
        <v>13</v>
      </c>
      <c r="AS13" s="1" t="str">
        <f t="shared" si="4"/>
        <v>!import-table-item --Gems-8-50000-gp --Opal (10000gp x[[5+1d6-1d6]]) --1</v>
      </c>
    </row>
    <row r="14" spans="1:45" x14ac:dyDescent="0.3">
      <c r="G14" s="2" t="s">
        <v>344</v>
      </c>
      <c r="H14" s="2">
        <v>4</v>
      </c>
      <c r="I14" s="2" t="str">
        <f>IF(H14=0,"-",IF(H14=1,SUM(H$1:H13)+1,SUM(H$1:H13)+1 &amp; "-" &amp; SUM(H$1:H14)))</f>
        <v>70-73</v>
      </c>
      <c r="J14" s="1" t="str">
        <f>"!import-table-item --" &amp; G$1 &amp; " --" &amp; G14 &amp; " (" &amp; F$1 &amp; "gp x[[5+1d4-1d4]])" &amp; " --" &amp; H14</f>
        <v>!import-table-item --Gems-1-25-gp --Pearl (5gp x[[5+1d4-1d4]]) --4</v>
      </c>
      <c r="L14" s="2" t="s">
        <v>344</v>
      </c>
      <c r="M14" s="2">
        <v>4</v>
      </c>
      <c r="N14" s="2" t="str">
        <f>IF(M14=0,"-",IF(M14=1,SUM(M$1:M13)+1,SUM(M$1:M13)+1 &amp; "-" &amp; SUM(M$1:M14)))</f>
        <v>65-68</v>
      </c>
      <c r="O14" s="1" t="str">
        <f>"!import-table-item --" &amp; L$1 &amp; " --" &amp; L14 &amp; " (" &amp; K$1 &amp; "gp x[[5+1d4-1d4]])" &amp; " --" &amp; M14</f>
        <v>!import-table-item --Gems-2-50-gp --Pearl (10gp x[[5+1d4-1d4]]) --4</v>
      </c>
      <c r="Q14" s="2" t="s">
        <v>344</v>
      </c>
      <c r="R14" s="2">
        <v>25</v>
      </c>
      <c r="S14" s="2" t="str">
        <f>IF(R14=0,"-",IF(R14=1,SUM(R$1:R13)+1,SUM(R$1:R13)+1 &amp; "-" &amp; SUM(R$1:R14)))</f>
        <v>48-72</v>
      </c>
      <c r="T14" s="1" t="str">
        <f>"!import-table-item --" &amp; Q$1 &amp; " --" &amp; Q14 &amp; " (" &amp; P$1 &amp; "gp x[[4]])" &amp; " --" &amp; R14</f>
        <v>!import-table-item --Gems-3-125-gp --Pearl (25gp x[[4]]) --25</v>
      </c>
      <c r="V14" s="2" t="s">
        <v>345</v>
      </c>
      <c r="W14" s="2">
        <v>15</v>
      </c>
      <c r="X14" s="2" t="str">
        <f>IF(W14=0,"-",IF(W14=1,SUM(W$1:W13)+1,SUM(W$1:W13)+1 &amp; "-" &amp; SUM(W$1:W14)))</f>
        <v>56-70</v>
      </c>
      <c r="Y14" s="1" t="str">
        <f>"!import-table-item --" &amp; V$1 &amp; " --" &amp; V14 &amp; " (" &amp; U$1 &amp; "gp x[[5]])" &amp; " --" &amp; W14</f>
        <v>!import-table-item --Gems-4-500-gp --Black Pearl (100gp x[[5]]) --15</v>
      </c>
      <c r="AA14" s="2" t="s">
        <v>345</v>
      </c>
      <c r="AB14" s="2">
        <v>2</v>
      </c>
      <c r="AC14" s="2" t="str">
        <f>IF(AB14=0,"-",IF(AB14=1,SUM(AB$1:AB13)+1,SUM(AB$1:AB13)+1 &amp; "-" &amp; SUM(AB$1:AB14)))</f>
        <v>64-65</v>
      </c>
      <c r="AD14" s="1" t="str">
        <f>"!import-table-item --" &amp; AA$1 &amp; " --" &amp; AA14 &amp; " (" &amp; Z$1 &amp; "gp x[[2]])" &amp; " --" &amp; AB14</f>
        <v>!import-table-item --Gems-5-1250-gp --Black Pearl (250gp x[[2]]) --2</v>
      </c>
      <c r="AF14" s="2" t="s">
        <v>344</v>
      </c>
      <c r="AG14" s="2">
        <v>0</v>
      </c>
      <c r="AH14" s="2" t="str">
        <f>IF(AG14=0,"-",IF(AG14=1,SUM(AG$1:AG13)+1,SUM(AG$1:AG13)+1 &amp; "-" &amp; SUM(AG$1:AG14)))</f>
        <v>-</v>
      </c>
      <c r="AI14" s="1" t="str">
        <f>"!import-table-item --" &amp; AF$1 &amp; " --" &amp; AF14 &amp; " (" &amp; AE$1 &amp; "gp x[[5+1d4-1d4]])" &amp; " --" &amp; AG14</f>
        <v>!import-table-item --Gems-6-5000-gp --Pearl (1000gp x[[5+1d4-1d4]]) --0</v>
      </c>
      <c r="AK14" s="2" t="s">
        <v>344</v>
      </c>
      <c r="AL14" s="2">
        <v>0</v>
      </c>
      <c r="AM14" s="2" t="str">
        <f>IF(AL14=0,"-",IF(AL14=1,SUM(AL$1:AL13)+1,SUM(AL$1:AL13)+1 &amp; "-" &amp; SUM(AL$1:AL14)))</f>
        <v>-</v>
      </c>
      <c r="AN14" s="1" t="str">
        <f>"!import-table-item --" &amp; AK$1 &amp; " --" &amp; AK14 &amp; " (" &amp; AJ$1 &amp; "gp x[[5+1d4-1d4]])" &amp; " --" &amp; AL14</f>
        <v>!import-table-item --Gems-7-12500-gp --Pearl (2500gp x[[5+1d4-1d4]]) --0</v>
      </c>
      <c r="AP14" s="2" t="s">
        <v>344</v>
      </c>
      <c r="AQ14" s="2">
        <v>0</v>
      </c>
      <c r="AR14" s="2" t="str">
        <f>IF(AQ14=0,"-",IF(AQ14=1,SUM(AQ$1:AQ13)+1,SUM(AQ$1:AQ13)+1 &amp; "-" &amp; SUM(AQ$1:AQ14)))</f>
        <v>-</v>
      </c>
      <c r="AS14" s="1" t="str">
        <f>"!import-table-item --" &amp; AP$1 &amp; " --" &amp; AP14 &amp; " (" &amp; AO$1 &amp; "gp x[[5+1d4-1d4]])" &amp; " --" &amp; AQ14</f>
        <v>!import-table-item --Gems-8-50000-gp --Pearl (10000gp x[[5+1d4-1d4]]) --0</v>
      </c>
    </row>
    <row r="15" spans="1:45" x14ac:dyDescent="0.3">
      <c r="G15" s="2" t="s">
        <v>343</v>
      </c>
      <c r="H15" s="2">
        <v>4</v>
      </c>
      <c r="I15" s="2" t="str">
        <f>IF(H15=0,"-",IF(H15=1,SUM(H$1:H14)+1,SUM(H$1:H14)+1 &amp; "-" &amp; SUM(H$1:H15)))</f>
        <v>74-77</v>
      </c>
      <c r="J15" s="1" t="str">
        <f t="shared" si="10"/>
        <v>!import-table-item --Gems-1-25-gp --Peridot (5gp x[[5+1d6-1d6]]) --4</v>
      </c>
      <c r="L15" s="2" t="s">
        <v>343</v>
      </c>
      <c r="M15" s="2">
        <v>3</v>
      </c>
      <c r="N15" s="2" t="str">
        <f>IF(M15=0,"-",IF(M15=1,SUM(M$1:M14)+1,SUM(M$1:M14)+1 &amp; "-" &amp; SUM(M$1:M15)))</f>
        <v>69-71</v>
      </c>
      <c r="O15" s="1" t="str">
        <f t="shared" si="6"/>
        <v>!import-table-item --Gems-2-50-gp --Peridot (10gp x[[5+1d6-1d6]]) --3</v>
      </c>
      <c r="Q15" s="2" t="s">
        <v>343</v>
      </c>
      <c r="R15" s="2">
        <v>3</v>
      </c>
      <c r="S15" s="2" t="str">
        <f>IF(R15=0,"-",IF(R15=1,SUM(R$1:R14)+1,SUM(R$1:R14)+1 &amp; "-" &amp; SUM(R$1:R15)))</f>
        <v>73-75</v>
      </c>
      <c r="T15" s="1" t="str">
        <f t="shared" si="7"/>
        <v>!import-table-item --Gems-3-125-gp --Peridot (25gp x[[5+1d6-1d6]]) --3</v>
      </c>
      <c r="V15" s="2" t="s">
        <v>343</v>
      </c>
      <c r="W15" s="2">
        <v>2</v>
      </c>
      <c r="X15" s="2" t="str">
        <f>IF(W15=0,"-",IF(W15=1,SUM(W$1:W14)+1,SUM(W$1:W14)+1 &amp; "-" &amp; SUM(W$1:W15)))</f>
        <v>71-72</v>
      </c>
      <c r="Y15" s="1" t="str">
        <f t="shared" si="8"/>
        <v>!import-table-item --Gems-4-500-gp --Peridot (100gp x[[5+1d6-1d6]]) --2</v>
      </c>
      <c r="AA15" s="2" t="s">
        <v>343</v>
      </c>
      <c r="AB15" s="2">
        <v>0</v>
      </c>
      <c r="AC15" s="2" t="str">
        <f>IF(AB15=0,"-",IF(AB15=1,SUM(AB$1:AB14)+1,SUM(AB$1:AB14)+1 &amp; "-" &amp; SUM(AB$1:AB15)))</f>
        <v>-</v>
      </c>
      <c r="AD15" s="1" t="str">
        <f t="shared" si="9"/>
        <v>!import-table-item --Gems-5-1250-gp --Peridot (250gp x[[5+1d6-1d6]]) --0</v>
      </c>
      <c r="AF15" s="2" t="s">
        <v>343</v>
      </c>
      <c r="AG15" s="2">
        <v>3</v>
      </c>
      <c r="AH15" s="2" t="str">
        <f>IF(AG15=0,"-",IF(AG15=1,SUM(AG$1:AG14)+1,SUM(AG$1:AG14)+1 &amp; "-" &amp; SUM(AG$1:AG15)))</f>
        <v>63-65</v>
      </c>
      <c r="AI15" s="1" t="str">
        <f t="shared" si="2"/>
        <v>!import-table-item --Gems-6-5000-gp --Peridot (1000gp x[[5+1d6-1d6]]) --3</v>
      </c>
      <c r="AK15" s="2" t="s">
        <v>343</v>
      </c>
      <c r="AL15" s="2">
        <v>1</v>
      </c>
      <c r="AM15" s="2">
        <f>IF(AL15=0,"-",IF(AL15=1,SUM(AL$1:AL14)+1,SUM(AL$1:AL14)+1 &amp; "-" &amp; SUM(AL$1:AL15)))</f>
        <v>14</v>
      </c>
      <c r="AN15" s="1" t="str">
        <f t="shared" si="3"/>
        <v>!import-table-item --Gems-7-12500-gp --Peridot (2500gp x[[5+1d6-1d6]]) --1</v>
      </c>
      <c r="AP15" s="2" t="s">
        <v>343</v>
      </c>
      <c r="AQ15" s="2">
        <v>1</v>
      </c>
      <c r="AR15" s="2">
        <f>IF(AQ15=0,"-",IF(AQ15=1,SUM(AQ$1:AQ14)+1,SUM(AQ$1:AQ14)+1 &amp; "-" &amp; SUM(AQ$1:AQ15)))</f>
        <v>14</v>
      </c>
      <c r="AS15" s="1" t="str">
        <f t="shared" si="4"/>
        <v>!import-table-item --Gems-8-50000-gp --Peridot (10000gp x[[5+1d6-1d6]]) --1</v>
      </c>
    </row>
    <row r="16" spans="1:45" x14ac:dyDescent="0.3">
      <c r="G16" s="2" t="s">
        <v>342</v>
      </c>
      <c r="H16" s="2">
        <v>3</v>
      </c>
      <c r="I16" s="2" t="str">
        <f>IF(H16=0,"-",IF(H16=1,SUM(H$1:H15)+1,SUM(H$1:H15)+1 &amp; "-" &amp; SUM(H$1:H16)))</f>
        <v>78-80</v>
      </c>
      <c r="J16" s="1" t="str">
        <f t="shared" si="10"/>
        <v>!import-table-item --Gems-1-25-gp --Quartz (5gp x[[5+1d6-1d6]]) --3</v>
      </c>
      <c r="L16" s="2" t="s">
        <v>342</v>
      </c>
      <c r="M16" s="2">
        <v>3</v>
      </c>
      <c r="N16" s="2" t="str">
        <f>IF(M16=0,"-",IF(M16=1,SUM(M$1:M15)+1,SUM(M$1:M15)+1 &amp; "-" &amp; SUM(M$1:M16)))</f>
        <v>72-74</v>
      </c>
      <c r="O16" s="1" t="str">
        <f t="shared" si="6"/>
        <v>!import-table-item --Gems-2-50-gp --Quartz (10gp x[[5+1d6-1d6]]) --3</v>
      </c>
      <c r="Q16" s="2" t="s">
        <v>342</v>
      </c>
      <c r="R16" s="2">
        <v>3</v>
      </c>
      <c r="S16" s="2" t="str">
        <f>IF(R16=0,"-",IF(R16=1,SUM(R$1:R15)+1,SUM(R$1:R15)+1 &amp; "-" &amp; SUM(R$1:R16)))</f>
        <v>76-78</v>
      </c>
      <c r="T16" s="1" t="str">
        <f t="shared" si="7"/>
        <v>!import-table-item --Gems-3-125-gp --Quartz (25gp x[[5+1d6-1d6]]) --3</v>
      </c>
      <c r="V16" s="2" t="s">
        <v>342</v>
      </c>
      <c r="W16" s="2">
        <v>2</v>
      </c>
      <c r="X16" s="2" t="str">
        <f>IF(W16=0,"-",IF(W16=1,SUM(W$1:W15)+1,SUM(W$1:W15)+1 &amp; "-" &amp; SUM(W$1:W16)))</f>
        <v>73-74</v>
      </c>
      <c r="Y16" s="1" t="str">
        <f t="shared" si="8"/>
        <v>!import-table-item --Gems-4-500-gp --Quartz (100gp x[[5+1d6-1d6]]) --2</v>
      </c>
      <c r="AA16" s="2" t="s">
        <v>342</v>
      </c>
      <c r="AB16" s="2">
        <v>0</v>
      </c>
      <c r="AC16" s="2" t="str">
        <f>IF(AB16=0,"-",IF(AB16=1,SUM(AB$1:AB15)+1,SUM(AB$1:AB15)+1 &amp; "-" &amp; SUM(AB$1:AB16)))</f>
        <v>-</v>
      </c>
      <c r="AD16" s="1" t="str">
        <f t="shared" si="9"/>
        <v>!import-table-item --Gems-5-1250-gp --Quartz (250gp x[[5+1d6-1d6]]) --0</v>
      </c>
      <c r="AF16" s="2" t="s">
        <v>342</v>
      </c>
      <c r="AG16" s="2">
        <v>0</v>
      </c>
      <c r="AH16" s="2" t="str">
        <f>IF(AG16=0,"-",IF(AG16=1,SUM(AG$1:AG15)+1,SUM(AG$1:AG15)+1 &amp; "-" &amp; SUM(AG$1:AG16)))</f>
        <v>-</v>
      </c>
      <c r="AI16" s="1" t="str">
        <f t="shared" si="2"/>
        <v>!import-table-item --Gems-6-5000-gp --Quartz (1000gp x[[5+1d6-1d6]]) --0</v>
      </c>
      <c r="AK16" s="2" t="s">
        <v>342</v>
      </c>
      <c r="AL16" s="2">
        <v>1</v>
      </c>
      <c r="AM16" s="2">
        <f>IF(AL16=0,"-",IF(AL16=1,SUM(AL$1:AL15)+1,SUM(AL$1:AL15)+1 &amp; "-" &amp; SUM(AL$1:AL16)))</f>
        <v>15</v>
      </c>
      <c r="AN16" s="1" t="str">
        <f t="shared" si="3"/>
        <v>!import-table-item --Gems-7-12500-gp --Quartz (2500gp x[[5+1d6-1d6]]) --1</v>
      </c>
      <c r="AP16" s="2" t="s">
        <v>342</v>
      </c>
      <c r="AQ16" s="2">
        <v>1</v>
      </c>
      <c r="AR16" s="2">
        <f>IF(AQ16=0,"-",IF(AQ16=1,SUM(AQ$1:AQ15)+1,SUM(AQ$1:AQ15)+1 &amp; "-" &amp; SUM(AQ$1:AQ16)))</f>
        <v>15</v>
      </c>
      <c r="AS16" s="1" t="str">
        <f t="shared" si="4"/>
        <v>!import-table-item --Gems-8-50000-gp --Quartz (10000gp x[[5+1d6-1d6]]) --1</v>
      </c>
    </row>
    <row r="17" spans="7:45" x14ac:dyDescent="0.3">
      <c r="G17" s="2" t="s">
        <v>341</v>
      </c>
      <c r="H17" s="2">
        <v>4</v>
      </c>
      <c r="I17" s="2" t="str">
        <f>IF(H17=0,"-",IF(H17=1,SUM(H$1:H16)+1,SUM(H$1:H16)+1 &amp; "-" &amp; SUM(H$1:H17)))</f>
        <v>81-84</v>
      </c>
      <c r="J17" s="1" t="str">
        <f t="shared" si="10"/>
        <v>!import-table-item --Gems-1-25-gp --Ruby (5gp x[[5+1d6-1d6]]) --4</v>
      </c>
      <c r="L17" s="2" t="s">
        <v>341</v>
      </c>
      <c r="M17" s="2">
        <v>10</v>
      </c>
      <c r="N17" s="2" t="str">
        <f>IF(M17=0,"-",IF(M17=1,SUM(M$1:M16)+1,SUM(M$1:M16)+1 &amp; "-" &amp; SUM(M$1:M17)))</f>
        <v>75-84</v>
      </c>
      <c r="O17" s="1" t="str">
        <f>"!import-table-item --" &amp; L$1 &amp; " --" &amp; L17 &amp; " (" &amp; K$1 &amp; "gp x[[5]])" &amp; " --" &amp; M17</f>
        <v>!import-table-item --Gems-2-50-gp --Ruby (10gp x[[5]]) --10</v>
      </c>
      <c r="Q17" s="2" t="s">
        <v>341</v>
      </c>
      <c r="R17" s="2">
        <v>5</v>
      </c>
      <c r="S17" s="2" t="str">
        <f>IF(R17=0,"-",IF(R17=1,SUM(R$1:R16)+1,SUM(R$1:R16)+1 &amp; "-" &amp; SUM(R$1:R17)))</f>
        <v>79-83</v>
      </c>
      <c r="T17" s="1" t="str">
        <f t="shared" si="7"/>
        <v>!import-table-item --Gems-3-125-gp --Ruby (25gp x[[5+1d6-1d6]]) --5</v>
      </c>
      <c r="V17" s="2" t="s">
        <v>341</v>
      </c>
      <c r="W17" s="2">
        <v>10</v>
      </c>
      <c r="X17" s="2" t="str">
        <f>IF(W17=0,"-",IF(W17=1,SUM(W$1:W16)+1,SUM(W$1:W16)+1 &amp; "-" &amp; SUM(W$1:W17)))</f>
        <v>75-84</v>
      </c>
      <c r="Y17" s="1" t="str">
        <f>"!import-table-item --" &amp; V$1 &amp; " --" &amp; V17 &amp; " (" &amp; U$1 &amp; "gp x[[6]])" &amp; " --" &amp; W17</f>
        <v>!import-table-item --Gems-4-500-gp --Ruby (100gp x[[6]]) --10</v>
      </c>
      <c r="AA17" s="2" t="s">
        <v>341</v>
      </c>
      <c r="AB17" s="2">
        <v>15</v>
      </c>
      <c r="AC17" s="2" t="str">
        <f>IF(AB17=0,"-",IF(AB17=1,SUM(AB$1:AB16)+1,SUM(AB$1:AB16)+1 &amp; "-" &amp; SUM(AB$1:AB17)))</f>
        <v>66-80</v>
      </c>
      <c r="AD17" s="1" t="str">
        <f>"!import-table-item --" &amp; AA$1 &amp; " --" &amp; AA17 &amp; " (" &amp; Z$1 &amp; "gp x[[4]])" &amp; " --" &amp; AB17</f>
        <v>!import-table-item --Gems-5-1250-gp --Ruby (250gp x[[4]]) --15</v>
      </c>
      <c r="AF17" s="2" t="s">
        <v>341</v>
      </c>
      <c r="AG17" s="2">
        <v>10</v>
      </c>
      <c r="AH17" s="2" t="str">
        <f>IF(AG17=0,"-",IF(AG17=1,SUM(AG$1:AG16)+1,SUM(AG$1:AG16)+1 &amp; "-" &amp; SUM(AG$1:AG17)))</f>
        <v>66-75</v>
      </c>
      <c r="AI17" s="1" t="str">
        <f>"!import-table-item --" &amp; AF$1 &amp; " --" &amp; AF17 &amp; " (" &amp; AE$1 &amp; "gp x[[5]])" &amp; " --" &amp; AG17</f>
        <v>!import-table-item --Gems-6-5000-gp --Ruby (1000gp x[[5]]) --10</v>
      </c>
      <c r="AK17" s="2" t="s">
        <v>341</v>
      </c>
      <c r="AL17" s="2">
        <v>1</v>
      </c>
      <c r="AM17" s="2">
        <f>IF(AL17=0,"-",IF(AL17=1,SUM(AL$1:AL16)+1,SUM(AL$1:AL16)+1 &amp; "-" &amp; SUM(AL$1:AL17)))</f>
        <v>16</v>
      </c>
      <c r="AN17" s="1" t="str">
        <f t="shared" si="3"/>
        <v>!import-table-item --Gems-7-12500-gp --Ruby (2500gp x[[5+1d6-1d6]]) --1</v>
      </c>
      <c r="AP17" s="2" t="s">
        <v>341</v>
      </c>
      <c r="AQ17" s="2">
        <v>1</v>
      </c>
      <c r="AR17" s="2">
        <f>IF(AQ17=0,"-",IF(AQ17=1,SUM(AQ$1:AQ16)+1,SUM(AQ$1:AQ16)+1 &amp; "-" &amp; SUM(AQ$1:AQ17)))</f>
        <v>16</v>
      </c>
      <c r="AS17" s="1" t="str">
        <f t="shared" si="4"/>
        <v>!import-table-item --Gems-8-50000-gp --Ruby (10000gp x[[5+1d6-1d6]]) --1</v>
      </c>
    </row>
    <row r="18" spans="7:45" x14ac:dyDescent="0.3">
      <c r="G18" s="2" t="s">
        <v>340</v>
      </c>
      <c r="H18" s="2">
        <v>4</v>
      </c>
      <c r="I18" s="2" t="str">
        <f>IF(H18=0,"-",IF(H18=1,SUM(H$1:H17)+1,SUM(H$1:H17)+1 &amp; "-" &amp; SUM(H$1:H18)))</f>
        <v>85-88</v>
      </c>
      <c r="J18" s="1" t="str">
        <f t="shared" si="10"/>
        <v>!import-table-item --Gems-1-25-gp --Sapphire (5gp x[[5+1d6-1d6]]) --4</v>
      </c>
      <c r="L18" s="2" t="s">
        <v>340</v>
      </c>
      <c r="M18" s="2">
        <v>4</v>
      </c>
      <c r="N18" s="2" t="str">
        <f>IF(M18=0,"-",IF(M18=1,SUM(M$1:M17)+1,SUM(M$1:M17)+1 &amp; "-" &amp; SUM(M$1:M18)))</f>
        <v>85-88</v>
      </c>
      <c r="O18" s="1" t="str">
        <f t="shared" si="6"/>
        <v>!import-table-item --Gems-2-50-gp --Sapphire (10gp x[[5+1d6-1d6]]) --4</v>
      </c>
      <c r="Q18" s="2" t="s">
        <v>340</v>
      </c>
      <c r="R18" s="2">
        <v>5</v>
      </c>
      <c r="S18" s="2" t="str">
        <f>IF(R18=0,"-",IF(R18=1,SUM(R$1:R17)+1,SUM(R$1:R17)+1 &amp; "-" &amp; SUM(R$1:R18)))</f>
        <v>84-88</v>
      </c>
      <c r="T18" s="1" t="str">
        <f t="shared" si="7"/>
        <v>!import-table-item --Gems-3-125-gp --Sapphire (25gp x[[5+1d6-1d6]]) --5</v>
      </c>
      <c r="V18" s="2" t="s">
        <v>340</v>
      </c>
      <c r="W18" s="2">
        <v>5</v>
      </c>
      <c r="X18" s="2" t="str">
        <f>IF(W18=0,"-",IF(W18=1,SUM(W$1:W17)+1,SUM(W$1:W17)+1 &amp; "-" &amp; SUM(W$1:W18)))</f>
        <v>85-89</v>
      </c>
      <c r="Y18" s="1" t="str">
        <f t="shared" si="8"/>
        <v>!import-table-item --Gems-4-500-gp --Sapphire (100gp x[[5+1d6-1d6]]) --5</v>
      </c>
      <c r="AA18" s="2" t="s">
        <v>340</v>
      </c>
      <c r="AB18" s="2">
        <v>15</v>
      </c>
      <c r="AC18" s="2" t="str">
        <f>IF(AB18=0,"-",IF(AB18=1,SUM(AB$1:AB17)+1,SUM(AB$1:AB17)+1 &amp; "-" &amp; SUM(AB$1:AB18)))</f>
        <v>81-95</v>
      </c>
      <c r="AD18" s="1" t="str">
        <f>"!import-table-item --" &amp; AA$1 &amp; " --" &amp; AA18 &amp; " (" &amp; Z$1 &amp; "gp x[[4]])" &amp; " --" &amp; AB18</f>
        <v>!import-table-item --Gems-5-1250-gp --Sapphire (250gp x[[4]]) --15</v>
      </c>
      <c r="AF18" s="2" t="s">
        <v>340</v>
      </c>
      <c r="AG18" s="2">
        <v>10</v>
      </c>
      <c r="AH18" s="2" t="str">
        <f>IF(AG18=0,"-",IF(AG18=1,SUM(AG$1:AG17)+1,SUM(AG$1:AG17)+1 &amp; "-" &amp; SUM(AG$1:AG18)))</f>
        <v>76-85</v>
      </c>
      <c r="AI18" s="1" t="str">
        <f>"!import-table-item --" &amp; AF$1 &amp; " --" &amp; AF18 &amp; " (" &amp; AE$1 &amp; "gp x[[5]])" &amp; " --" &amp; AG18</f>
        <v>!import-table-item --Gems-6-5000-gp --Sapphire (1000gp x[[5]]) --10</v>
      </c>
      <c r="AK18" s="2" t="s">
        <v>340</v>
      </c>
      <c r="AL18" s="2">
        <v>1</v>
      </c>
      <c r="AM18" s="2">
        <f>IF(AL18=0,"-",IF(AL18=1,SUM(AL$1:AL17)+1,SUM(AL$1:AL17)+1 &amp; "-" &amp; SUM(AL$1:AL18)))</f>
        <v>17</v>
      </c>
      <c r="AN18" s="1" t="str">
        <f t="shared" si="3"/>
        <v>!import-table-item --Gems-7-12500-gp --Sapphire (2500gp x[[5+1d6-1d6]]) --1</v>
      </c>
      <c r="AP18" s="2" t="s">
        <v>340</v>
      </c>
      <c r="AQ18" s="2">
        <v>1</v>
      </c>
      <c r="AR18" s="2">
        <f>IF(AQ18=0,"-",IF(AQ18=1,SUM(AQ$1:AQ17)+1,SUM(AQ$1:AQ17)+1 &amp; "-" &amp; SUM(AQ$1:AQ18)))</f>
        <v>17</v>
      </c>
      <c r="AS18" s="1" t="str">
        <f t="shared" si="4"/>
        <v>!import-table-item --Gems-8-50000-gp --Sapphire (10000gp x[[5+1d6-1d6]]) --1</v>
      </c>
    </row>
    <row r="19" spans="7:45" x14ac:dyDescent="0.3">
      <c r="G19" s="2" t="s">
        <v>339</v>
      </c>
      <c r="H19" s="2">
        <v>4</v>
      </c>
      <c r="I19" s="2" t="str">
        <f>IF(H19=0,"-",IF(H19=1,SUM(H$1:H18)+1,SUM(H$1:H18)+1 &amp; "-" &amp; SUM(H$1:H19)))</f>
        <v>89-92</v>
      </c>
      <c r="J19" s="1" t="str">
        <f t="shared" si="10"/>
        <v>!import-table-item --Gems-1-25-gp --Spinel (5gp x[[5+1d6-1d6]]) --4</v>
      </c>
      <c r="L19" s="2" t="s">
        <v>339</v>
      </c>
      <c r="M19" s="2">
        <v>4</v>
      </c>
      <c r="N19" s="2" t="str">
        <f>IF(M19=0,"-",IF(M19=1,SUM(M$1:M18)+1,SUM(M$1:M18)+1 &amp; "-" &amp; SUM(M$1:M19)))</f>
        <v>89-92</v>
      </c>
      <c r="O19" s="1" t="str">
        <f t="shared" si="6"/>
        <v>!import-table-item --Gems-2-50-gp --Spinel (10gp x[[5+1d6-1d6]]) --4</v>
      </c>
      <c r="Q19" s="2" t="s">
        <v>339</v>
      </c>
      <c r="R19" s="2">
        <v>4</v>
      </c>
      <c r="S19" s="2" t="str">
        <f>IF(R19=0,"-",IF(R19=1,SUM(R$1:R18)+1,SUM(R$1:R18)+1 &amp; "-" &amp; SUM(R$1:R19)))</f>
        <v>89-92</v>
      </c>
      <c r="T19" s="1" t="str">
        <f t="shared" si="7"/>
        <v>!import-table-item --Gems-3-125-gp --Spinel (25gp x[[5+1d6-1d6]]) --4</v>
      </c>
      <c r="V19" s="2" t="s">
        <v>339</v>
      </c>
      <c r="W19" s="2">
        <v>3</v>
      </c>
      <c r="X19" s="2" t="str">
        <f>IF(W19=0,"-",IF(W19=1,SUM(W$1:W18)+1,SUM(W$1:W18)+1 &amp; "-" &amp; SUM(W$1:W19)))</f>
        <v>90-92</v>
      </c>
      <c r="Y19" s="1" t="str">
        <f t="shared" si="8"/>
        <v>!import-table-item --Gems-4-500-gp --Spinel (100gp x[[5+1d6-1d6]]) --3</v>
      </c>
      <c r="AA19" s="2" t="s">
        <v>339</v>
      </c>
      <c r="AB19" s="2">
        <v>2</v>
      </c>
      <c r="AC19" s="2" t="str">
        <f>IF(AB19=0,"-",IF(AB19=1,SUM(AB$1:AB18)+1,SUM(AB$1:AB18)+1 &amp; "-" &amp; SUM(AB$1:AB19)))</f>
        <v>96-97</v>
      </c>
      <c r="AD19" s="1" t="str">
        <f t="shared" si="9"/>
        <v>!import-table-item --Gems-5-1250-gp --Spinel (250gp x[[5+1d6-1d6]]) --2</v>
      </c>
      <c r="AF19" s="2" t="s">
        <v>339</v>
      </c>
      <c r="AG19" s="2">
        <v>4</v>
      </c>
      <c r="AH19" s="2" t="str">
        <f>IF(AG19=0,"-",IF(AG19=1,SUM(AG$1:AG18)+1,SUM(AG$1:AG18)+1 &amp; "-" &amp; SUM(AG$1:AG19)))</f>
        <v>86-89</v>
      </c>
      <c r="AI19" s="1" t="str">
        <f t="shared" si="2"/>
        <v>!import-table-item --Gems-6-5000-gp --Spinel (1000gp x[[5+1d6-1d6]]) --4</v>
      </c>
      <c r="AK19" s="2" t="s">
        <v>339</v>
      </c>
      <c r="AL19" s="2">
        <v>1</v>
      </c>
      <c r="AM19" s="2">
        <f>IF(AL19=0,"-",IF(AL19=1,SUM(AL$1:AL18)+1,SUM(AL$1:AL18)+1 &amp; "-" &amp; SUM(AL$1:AL19)))</f>
        <v>18</v>
      </c>
      <c r="AN19" s="1" t="str">
        <f t="shared" si="3"/>
        <v>!import-table-item --Gems-7-12500-gp --Spinel (2500gp x[[5+1d6-1d6]]) --1</v>
      </c>
      <c r="AP19" s="2" t="s">
        <v>339</v>
      </c>
      <c r="AQ19" s="2">
        <v>1</v>
      </c>
      <c r="AR19" s="2">
        <f>IF(AQ19=0,"-",IF(AQ19=1,SUM(AQ$1:AQ18)+1,SUM(AQ$1:AQ18)+1 &amp; "-" &amp; SUM(AQ$1:AQ19)))</f>
        <v>18</v>
      </c>
      <c r="AS19" s="1" t="str">
        <f t="shared" si="4"/>
        <v>!import-table-item --Gems-8-50000-gp --Spinel (10000gp x[[5+1d6-1d6]]) --1</v>
      </c>
    </row>
    <row r="20" spans="7:45" x14ac:dyDescent="0.3">
      <c r="G20" s="2" t="s">
        <v>338</v>
      </c>
      <c r="H20" s="2">
        <v>4</v>
      </c>
      <c r="I20" s="2" t="str">
        <f>IF(H20=0,"-",IF(H20=1,SUM(H$1:H19)+1,SUM(H$1:H19)+1 &amp; "-" &amp; SUM(H$1:H20)))</f>
        <v>93-96</v>
      </c>
      <c r="J20" s="1" t="str">
        <f t="shared" si="10"/>
        <v>!import-table-item --Gems-1-25-gp --Topaz (5gp x[[5+1d6-1d6]]) --4</v>
      </c>
      <c r="L20" s="2" t="s">
        <v>338</v>
      </c>
      <c r="M20" s="2">
        <v>4</v>
      </c>
      <c r="N20" s="2" t="str">
        <f>IF(M20=0,"-",IF(M20=1,SUM(M$1:M19)+1,SUM(M$1:M19)+1 &amp; "-" &amp; SUM(M$1:M20)))</f>
        <v>93-96</v>
      </c>
      <c r="O20" s="1" t="str">
        <f t="shared" si="6"/>
        <v>!import-table-item --Gems-2-50-gp --Topaz (10gp x[[5+1d6-1d6]]) --4</v>
      </c>
      <c r="Q20" s="2" t="s">
        <v>338</v>
      </c>
      <c r="R20" s="2">
        <v>5</v>
      </c>
      <c r="S20" s="2" t="str">
        <f>IF(R20=0,"-",IF(R20=1,SUM(R$1:R19)+1,SUM(R$1:R19)+1 &amp; "-" &amp; SUM(R$1:R20)))</f>
        <v>93-97</v>
      </c>
      <c r="T20" s="1" t="str">
        <f t="shared" si="7"/>
        <v>!import-table-item --Gems-3-125-gp --Topaz (25gp x[[5+1d6-1d6]]) --5</v>
      </c>
      <c r="V20" s="2" t="s">
        <v>338</v>
      </c>
      <c r="W20" s="2">
        <v>5</v>
      </c>
      <c r="X20" s="2" t="str">
        <f>IF(W20=0,"-",IF(W20=1,SUM(W$1:W19)+1,SUM(W$1:W19)+1 &amp; "-" &amp; SUM(W$1:W20)))</f>
        <v>93-97</v>
      </c>
      <c r="Y20" s="1" t="str">
        <f t="shared" si="8"/>
        <v>!import-table-item --Gems-4-500-gp --Topaz (100gp x[[5+1d6-1d6]]) --5</v>
      </c>
      <c r="AA20" s="2" t="s">
        <v>338</v>
      </c>
      <c r="AB20" s="2">
        <v>3</v>
      </c>
      <c r="AC20" s="2" t="str">
        <f>IF(AB20=0,"-",IF(AB20=1,SUM(AB$1:AB19)+1,SUM(AB$1:AB19)+1 &amp; "-" &amp; SUM(AB$1:AB20)))</f>
        <v>98-100</v>
      </c>
      <c r="AD20" s="1" t="str">
        <f t="shared" si="9"/>
        <v>!import-table-item --Gems-5-1250-gp --Topaz (250gp x[[5+1d6-1d6]]) --3</v>
      </c>
      <c r="AF20" s="2" t="s">
        <v>338</v>
      </c>
      <c r="AG20" s="2">
        <v>5</v>
      </c>
      <c r="AH20" s="2" t="str">
        <f>IF(AG20=0,"-",IF(AG20=1,SUM(AG$1:AG19)+1,SUM(AG$1:AG19)+1 &amp; "-" &amp; SUM(AG$1:AG20)))</f>
        <v>90-94</v>
      </c>
      <c r="AI20" s="1" t="str">
        <f t="shared" si="2"/>
        <v>!import-table-item --Gems-6-5000-gp --Topaz (1000gp x[[5+1d6-1d6]]) --5</v>
      </c>
      <c r="AK20" s="2" t="s">
        <v>338</v>
      </c>
      <c r="AL20" s="2">
        <v>1</v>
      </c>
      <c r="AM20" s="2">
        <f>IF(AL20=0,"-",IF(AL20=1,SUM(AL$1:AL19)+1,SUM(AL$1:AL19)+1 &amp; "-" &amp; SUM(AL$1:AL20)))</f>
        <v>19</v>
      </c>
      <c r="AN20" s="1" t="str">
        <f t="shared" si="3"/>
        <v>!import-table-item --Gems-7-12500-gp --Topaz (2500gp x[[5+1d6-1d6]]) --1</v>
      </c>
      <c r="AP20" s="2" t="s">
        <v>338</v>
      </c>
      <c r="AQ20" s="2">
        <v>1</v>
      </c>
      <c r="AR20" s="2">
        <f>IF(AQ20=0,"-",IF(AQ20=1,SUM(AQ$1:AQ19)+1,SUM(AQ$1:AQ19)+1 &amp; "-" &amp; SUM(AQ$1:AQ20)))</f>
        <v>19</v>
      </c>
      <c r="AS20" s="1" t="str">
        <f t="shared" si="4"/>
        <v>!import-table-item --Gems-8-50000-gp --Topaz (10000gp x[[5+1d6-1d6]]) --1</v>
      </c>
    </row>
    <row r="21" spans="7:45" x14ac:dyDescent="0.3">
      <c r="G21" s="2" t="s">
        <v>337</v>
      </c>
      <c r="H21" s="2">
        <v>4</v>
      </c>
      <c r="I21" s="2" t="str">
        <f>IF(H21=0,"-",IF(H21=1,SUM(H$1:H20)+1,SUM(H$1:H20)+1 &amp; "-" &amp; SUM(H$1:H21)))</f>
        <v>97-100</v>
      </c>
      <c r="J21" s="1" t="str">
        <f t="shared" si="10"/>
        <v>!import-table-item --Gems-1-25-gp --Tourmaline (5gp x[[5+1d6-1d6]]) --4</v>
      </c>
      <c r="L21" s="2" t="s">
        <v>337</v>
      </c>
      <c r="M21" s="2">
        <v>4</v>
      </c>
      <c r="N21" s="2" t="str">
        <f>IF(M21=0,"-",IF(M21=1,SUM(M$1:M20)+1,SUM(M$1:M20)+1 &amp; "-" &amp; SUM(M$1:M21)))</f>
        <v>97-100</v>
      </c>
      <c r="O21" s="1" t="str">
        <f t="shared" si="6"/>
        <v>!import-table-item --Gems-2-50-gp --Tourmaline (10gp x[[5+1d6-1d6]]) --4</v>
      </c>
      <c r="Q21" s="2" t="s">
        <v>337</v>
      </c>
      <c r="R21" s="2">
        <v>3</v>
      </c>
      <c r="S21" s="2" t="str">
        <f>IF(R21=0,"-",IF(R21=1,SUM(R$1:R20)+1,SUM(R$1:R20)+1 &amp; "-" &amp; SUM(R$1:R21)))</f>
        <v>98-100</v>
      </c>
      <c r="T21" s="1" t="str">
        <f t="shared" si="7"/>
        <v>!import-table-item --Gems-3-125-gp --Tourmaline (25gp x[[5+1d6-1d6]]) --3</v>
      </c>
      <c r="V21" s="2" t="s">
        <v>337</v>
      </c>
      <c r="W21" s="2">
        <v>3</v>
      </c>
      <c r="X21" s="2" t="str">
        <f>IF(W21=0,"-",IF(W21=1,SUM(W$1:W20)+1,SUM(W$1:W20)+1 &amp; "-" &amp; SUM(W$1:W21)))</f>
        <v>98-100</v>
      </c>
      <c r="Y21" s="1" t="str">
        <f t="shared" si="8"/>
        <v>!import-table-item --Gems-4-500-gp --Tourmaline (100gp x[[5+1d6-1d6]]) --3</v>
      </c>
      <c r="AA21" s="2" t="s">
        <v>337</v>
      </c>
      <c r="AB21" s="2">
        <v>0</v>
      </c>
      <c r="AC21" s="2" t="str">
        <f>IF(AB21=0,"-",IF(AB21=1,SUM(AB$1:AB20)+1,SUM(AB$1:AB20)+1 &amp; "-" &amp; SUM(AB$1:AB21)))</f>
        <v>-</v>
      </c>
      <c r="AD21" s="1" t="str">
        <f t="shared" si="9"/>
        <v>!import-table-item --Gems-5-1250-gp --Tourmaline (250gp x[[5+1d6-1d6]]) --0</v>
      </c>
      <c r="AF21" s="2" t="s">
        <v>337</v>
      </c>
      <c r="AG21" s="2">
        <v>4</v>
      </c>
      <c r="AH21" s="2" t="str">
        <f>IF(AG21=0,"-",IF(AG21=1,SUM(AG$1:AG20)+1,SUM(AG$1:AG20)+1 &amp; "-" &amp; SUM(AG$1:AG21)))</f>
        <v>95-98</v>
      </c>
      <c r="AI21" s="1" t="str">
        <f t="shared" si="2"/>
        <v>!import-table-item --Gems-6-5000-gp --Tourmaline (1000gp x[[5+1d6-1d6]]) --4</v>
      </c>
      <c r="AK21" s="2" t="s">
        <v>337</v>
      </c>
      <c r="AL21" s="2">
        <v>1</v>
      </c>
      <c r="AM21" s="2">
        <f>IF(AL21=0,"-",IF(AL21=1,SUM(AL$1:AL20)+1,SUM(AL$1:AL20)+1 &amp; "-" &amp; SUM(AL$1:AL21)))</f>
        <v>20</v>
      </c>
      <c r="AN21" s="1" t="str">
        <f t="shared" si="3"/>
        <v>!import-table-item --Gems-7-12500-gp --Tourmaline (2500gp x[[5+1d6-1d6]]) --1</v>
      </c>
      <c r="AP21" s="2" t="s">
        <v>337</v>
      </c>
      <c r="AQ21" s="2">
        <v>1</v>
      </c>
      <c r="AR21" s="2">
        <f>IF(AQ21=0,"-",IF(AQ21=1,SUM(AQ$1:AQ20)+1,SUM(AQ$1:AQ20)+1 &amp; "-" &amp; SUM(AQ$1:AQ21)))</f>
        <v>20</v>
      </c>
      <c r="AS21" s="1" t="str">
        <f t="shared" si="4"/>
        <v>!import-table-item --Gems-8-50000-gp --Tourmaline (10000gp x[[5+1d6-1d6]]) --1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9CE9-CD05-4A4D-B4F5-A37A00304A66}">
  <dimension ref="A1:AM15"/>
  <sheetViews>
    <sheetView workbookViewId="0">
      <selection activeCell="AI1" sqref="AI1:AI1048576"/>
    </sheetView>
  </sheetViews>
  <sheetFormatPr defaultColWidth="13.140625" defaultRowHeight="18.75" x14ac:dyDescent="0.3"/>
  <cols>
    <col min="1" max="1" width="14.28515625" style="2" bestFit="1" customWidth="1"/>
    <col min="2" max="2" width="17.28515625" style="2" bestFit="1" customWidth="1"/>
    <col min="3" max="3" width="25.5703125" style="2" bestFit="1" customWidth="1"/>
    <col min="4" max="4" width="17.140625" style="2" bestFit="1" customWidth="1"/>
    <col min="5" max="5" width="20.28515625" style="1" bestFit="1" customWidth="1"/>
    <col min="6" max="6" width="4.140625" style="2" bestFit="1" customWidth="1"/>
    <col min="7" max="7" width="19.42578125" style="2" bestFit="1" customWidth="1"/>
    <col min="8" max="8" width="9.140625" style="2" bestFit="1" customWidth="1"/>
    <col min="9" max="9" width="9.28515625" style="2" bestFit="1" customWidth="1"/>
    <col min="10" max="10" width="102.85546875" style="1" bestFit="1" customWidth="1"/>
    <col min="11" max="11" width="5.5703125" style="2" bestFit="1" customWidth="1"/>
    <col min="12" max="12" width="19.42578125" style="2" bestFit="1" customWidth="1"/>
    <col min="13" max="13" width="9.140625" style="2" bestFit="1" customWidth="1"/>
    <col min="14" max="14" width="9.28515625" style="2" bestFit="1" customWidth="1"/>
    <col min="15" max="15" width="104.28515625" style="1" bestFit="1" customWidth="1"/>
    <col min="16" max="16" width="5.5703125" style="2" bestFit="1" customWidth="1"/>
    <col min="17" max="17" width="19.42578125" style="2" bestFit="1" customWidth="1"/>
    <col min="18" max="18" width="9.140625" style="2" bestFit="1" customWidth="1"/>
    <col min="19" max="19" width="9.28515625" style="2" bestFit="1" customWidth="1"/>
    <col min="20" max="20" width="105.85546875" style="1" bestFit="1" customWidth="1"/>
    <col min="21" max="21" width="7" style="2" bestFit="1" customWidth="1"/>
    <col min="22" max="22" width="19.42578125" style="2" bestFit="1" customWidth="1"/>
    <col min="23" max="23" width="9.140625" style="2" bestFit="1" customWidth="1"/>
    <col min="24" max="24" width="9.28515625" style="2" bestFit="1" customWidth="1"/>
    <col min="25" max="25" width="107.28515625" style="1" bestFit="1" customWidth="1"/>
    <col min="26" max="26" width="7" style="2" bestFit="1" customWidth="1"/>
    <col min="27" max="27" width="19.42578125" style="2" bestFit="1" customWidth="1"/>
    <col min="28" max="28" width="9.140625" style="2" bestFit="1" customWidth="1"/>
    <col min="29" max="29" width="9.28515625" style="2" bestFit="1" customWidth="1"/>
    <col min="30" max="30" width="108.85546875" style="1" bestFit="1" customWidth="1"/>
    <col min="31" max="31" width="8.42578125" style="2" bestFit="1" customWidth="1"/>
    <col min="32" max="32" width="19.42578125" style="2" bestFit="1" customWidth="1"/>
    <col min="33" max="33" width="9.140625" style="2" bestFit="1" customWidth="1"/>
    <col min="34" max="34" width="9.28515625" style="2" bestFit="1" customWidth="1"/>
    <col min="35" max="35" width="110.28515625" style="1" bestFit="1" customWidth="1"/>
    <col min="36" max="38" width="13.140625" style="2"/>
    <col min="39" max="39" width="13.140625" style="1"/>
    <col min="40" max="16384" width="13.140625" style="3"/>
  </cols>
  <sheetData>
    <row r="1" spans="1:39" s="7" customFormat="1" x14ac:dyDescent="0.3">
      <c r="A1" s="5" t="s">
        <v>377</v>
      </c>
      <c r="B1" s="5" t="s">
        <v>376</v>
      </c>
      <c r="C1" s="5" t="s">
        <v>359</v>
      </c>
      <c r="D1" s="5" t="s">
        <v>296</v>
      </c>
      <c r="E1" s="4" t="s">
        <v>358</v>
      </c>
      <c r="F1" s="5">
        <f>$B$2</f>
        <v>20</v>
      </c>
      <c r="G1" s="5" t="str">
        <f>E2</f>
        <v>Art-1-100-gp</v>
      </c>
      <c r="H1" s="5" t="s">
        <v>18</v>
      </c>
      <c r="I1" s="5" t="str">
        <f>"d" &amp; SUM(H:H)</f>
        <v>d100</v>
      </c>
      <c r="J1" s="4" t="str">
        <f>"!import-table --" &amp; G1 &amp; " --hide"</f>
        <v>!import-table --Art-1-100-gp --hide</v>
      </c>
      <c r="K1" s="5">
        <f>B3</f>
        <v>100</v>
      </c>
      <c r="L1" s="5" t="str">
        <f>E3</f>
        <v>Art-2-500-gp</v>
      </c>
      <c r="M1" s="5" t="s">
        <v>18</v>
      </c>
      <c r="N1" s="5" t="str">
        <f>"d" &amp; SUM(M:M)</f>
        <v>d100</v>
      </c>
      <c r="O1" s="4" t="str">
        <f>"!import-table --" &amp; L1 &amp; " --hide"</f>
        <v>!import-table --Art-2-500-gp --hide</v>
      </c>
      <c r="P1" s="5">
        <f>B4</f>
        <v>250</v>
      </c>
      <c r="Q1" s="5" t="str">
        <f>E4</f>
        <v>Art-3-1250-gp</v>
      </c>
      <c r="R1" s="5" t="s">
        <v>18</v>
      </c>
      <c r="S1" s="5" t="str">
        <f>"d" &amp; SUM(R:R)</f>
        <v>d100</v>
      </c>
      <c r="T1" s="4" t="str">
        <f>"!import-table --" &amp; Q1 &amp; " --hide"</f>
        <v>!import-table --Art-3-1250-gp --hide</v>
      </c>
      <c r="U1" s="5">
        <f>B5</f>
        <v>1000</v>
      </c>
      <c r="V1" s="5" t="str">
        <f>E5</f>
        <v>Art-4-5000-gp</v>
      </c>
      <c r="W1" s="5" t="s">
        <v>18</v>
      </c>
      <c r="X1" s="5" t="str">
        <f>"d" &amp; SUM(W:W)</f>
        <v>d100</v>
      </c>
      <c r="Y1" s="4" t="str">
        <f>"!import-table --" &amp; V1 &amp; " --hide"</f>
        <v>!import-table --Art-4-5000-gp --hide</v>
      </c>
      <c r="Z1" s="5">
        <f>B6</f>
        <v>2500</v>
      </c>
      <c r="AA1" s="5" t="str">
        <f>E6</f>
        <v>Art-5-12500-gp</v>
      </c>
      <c r="AB1" s="5" t="s">
        <v>18</v>
      </c>
      <c r="AC1" s="5" t="str">
        <f>"d" &amp; SUM(AB:AB)</f>
        <v>d100</v>
      </c>
      <c r="AD1" s="4" t="str">
        <f>"!import-table --" &amp; AA1 &amp; " --hide"</f>
        <v>!import-table --Art-5-12500-gp --hide</v>
      </c>
      <c r="AE1" s="5">
        <f>B7</f>
        <v>10000</v>
      </c>
      <c r="AF1" s="5" t="str">
        <f>E7</f>
        <v>Art-6-50000-gp</v>
      </c>
      <c r="AG1" s="5" t="s">
        <v>18</v>
      </c>
      <c r="AH1" s="5" t="str">
        <f>"d" &amp; SUM(AG:AG)</f>
        <v>d100</v>
      </c>
      <c r="AI1" s="4" t="str">
        <f>"!import-table --" &amp; AF1 &amp; " --hide"</f>
        <v>!import-table --Art-6-50000-gp --hide</v>
      </c>
      <c r="AJ1" s="5"/>
      <c r="AK1" s="5"/>
      <c r="AL1" s="5"/>
      <c r="AM1" s="4"/>
    </row>
    <row r="2" spans="1:39" x14ac:dyDescent="0.3">
      <c r="A2" s="2" t="s">
        <v>256</v>
      </c>
      <c r="B2" s="2">
        <v>20</v>
      </c>
      <c r="C2" s="19" t="str">
        <f t="shared" ref="C2:C9" si="0">B2*1 &amp; " - " &amp; B2*10 &amp; " gp"</f>
        <v>20 - 200 gp</v>
      </c>
      <c r="D2" s="2" t="str">
        <f t="shared" ref="D2:D9" si="1">B2*5 &amp; " gp"</f>
        <v>100 gp</v>
      </c>
      <c r="E2" s="1" t="str">
        <f>"Art-1-" &amp; B2*5 &amp; "-gp"</f>
        <v>Art-1-100-gp</v>
      </c>
      <c r="G2" s="3" t="s">
        <v>375</v>
      </c>
      <c r="H2" s="2">
        <v>20</v>
      </c>
      <c r="I2" s="2" t="str">
        <f>IF(H2=0,"-",IF(H2=1,SUM(H$1:H1)+1,SUM(H$1:H1)+1 &amp; "-" &amp; SUM(H$1:H2)))</f>
        <v>1-20</v>
      </c>
      <c r="J2" s="1" t="str">
        <f t="shared" ref="J2:J15" si="2">"!import-table-item --" &amp; G$1 &amp; " --" &amp; F$1 &amp; " gp (x[[5+1d6-1d6]]) " &amp; G2 &amp; " Art Object" &amp; " --" &amp; H2</f>
        <v>!import-table-item --Art-1-100-gp --20 gp (x[[5+1d6-1d6]]) Bejeweled Art Object --20</v>
      </c>
      <c r="L2" s="3" t="str">
        <f t="shared" ref="L2:L15" si="3">G2</f>
        <v>Bejeweled</v>
      </c>
      <c r="M2" s="2">
        <f t="shared" ref="M2:M15" si="4">H2</f>
        <v>20</v>
      </c>
      <c r="N2" s="2" t="str">
        <f>IF(M2=0,"-",IF(M2=1,SUM(M$1:M1)+1,SUM(M$1:M1)+1 &amp; "-" &amp; SUM(M$1:M2)))</f>
        <v>1-20</v>
      </c>
      <c r="O2" s="1" t="str">
        <f t="shared" ref="O2:O15" si="5">"!import-table-item --" &amp; L$1 &amp; " --" &amp; K$1 &amp; " gp (x[[5+1d6-1d6]]) " &amp; L2 &amp; " Art Object" &amp; " --" &amp; M2</f>
        <v>!import-table-item --Art-2-500-gp --100 gp (x[[5+1d6-1d6]]) Bejeweled Art Object --20</v>
      </c>
      <c r="Q2" s="3" t="str">
        <f t="shared" ref="Q2:Q15" si="6">L2</f>
        <v>Bejeweled</v>
      </c>
      <c r="R2" s="2">
        <f t="shared" ref="R2:R15" si="7">M2</f>
        <v>20</v>
      </c>
      <c r="S2" s="2" t="str">
        <f>IF(R2=0,"-",IF(R2=1,SUM(R$1:R1)+1,SUM(R$1:R1)+1 &amp; "-" &amp; SUM(R$1:R2)))</f>
        <v>1-20</v>
      </c>
      <c r="T2" s="1" t="str">
        <f t="shared" ref="T2:T15" si="8">"!import-table-item --" &amp; Q$1 &amp; " --" &amp; P$1 &amp; " gp (x[[5+1d6-1d6]]) " &amp; Q2 &amp; " Art Object" &amp; " --" &amp; R2</f>
        <v>!import-table-item --Art-3-1250-gp --250 gp (x[[5+1d6-1d6]]) Bejeweled Art Object --20</v>
      </c>
      <c r="V2" s="3" t="str">
        <f t="shared" ref="V2:V15" si="9">Q2</f>
        <v>Bejeweled</v>
      </c>
      <c r="W2" s="2">
        <f t="shared" ref="W2:W15" si="10">R2</f>
        <v>20</v>
      </c>
      <c r="X2" s="2" t="str">
        <f>IF(W2=0,"-",IF(W2=1,SUM(W$1:W1)+1,SUM(W$1:W1)+1 &amp; "-" &amp; SUM(W$1:W2)))</f>
        <v>1-20</v>
      </c>
      <c r="Y2" s="1" t="str">
        <f t="shared" ref="Y2:Y15" si="11">"!import-table-item --" &amp; V$1 &amp; " --" &amp; U$1 &amp; " gp (x[[5+1d6-1d6]]) " &amp; V2 &amp; " Art Object" &amp; " --" &amp; W2</f>
        <v>!import-table-item --Art-4-5000-gp --1000 gp (x[[5+1d6-1d6]]) Bejeweled Art Object --20</v>
      </c>
      <c r="AA2" s="3" t="str">
        <f t="shared" ref="AA2:AA15" si="12">V2</f>
        <v>Bejeweled</v>
      </c>
      <c r="AB2" s="2">
        <f t="shared" ref="AB2:AB15" si="13">W2</f>
        <v>20</v>
      </c>
      <c r="AC2" s="2" t="str">
        <f>IF(AB2=0,"-",IF(AB2=1,SUM(AB$1:AB1)+1,SUM(AB$1:AB1)+1 &amp; "-" &amp; SUM(AB$1:AB2)))</f>
        <v>1-20</v>
      </c>
      <c r="AD2" s="1" t="str">
        <f t="shared" ref="AD2:AD15" si="14">"!import-table-item --" &amp; AA$1 &amp; " --" &amp; Z$1 &amp; " gp (x[[5+1d6-1d6]]) " &amp; AA2 &amp; " Art Object" &amp; " --" &amp; AB2</f>
        <v>!import-table-item --Art-5-12500-gp --2500 gp (x[[5+1d6-1d6]]) Bejeweled Art Object --20</v>
      </c>
      <c r="AF2" s="3" t="str">
        <f t="shared" ref="AF2:AF15" si="15">AA2</f>
        <v>Bejeweled</v>
      </c>
      <c r="AG2" s="2">
        <f t="shared" ref="AG2:AG15" si="16">AB2</f>
        <v>20</v>
      </c>
      <c r="AH2" s="2" t="str">
        <f>IF(AG2=0,"-",IF(AG2=1,SUM(AG$1:AG1)+1,SUM(AG$1:AG1)+1 &amp; "-" &amp; SUM(AG$1:AG2)))</f>
        <v>1-20</v>
      </c>
      <c r="AI2" s="1" t="str">
        <f t="shared" ref="AI2:AI15" si="17">"!import-table-item --" &amp; AF$1 &amp; " --" &amp; AE$1 &amp; " gp (x[[5+1d6-1d6]]) " &amp; AF2 &amp; " Art Object" &amp; " --" &amp; AG2</f>
        <v>!import-table-item --Art-6-50000-gp --10000 gp (x[[5+1d6-1d6]]) Bejeweled Art Object --20</v>
      </c>
      <c r="AJ2" s="3"/>
    </row>
    <row r="3" spans="1:39" x14ac:dyDescent="0.3">
      <c r="A3" s="2" t="s">
        <v>254</v>
      </c>
      <c r="B3" s="2">
        <v>100</v>
      </c>
      <c r="C3" s="19" t="str">
        <f t="shared" si="0"/>
        <v>100 - 1000 gp</v>
      </c>
      <c r="D3" s="2" t="str">
        <f t="shared" si="1"/>
        <v>500 gp</v>
      </c>
      <c r="E3" s="1" t="str">
        <f>"Art-2-" &amp; B3*5 &amp; "-gp"</f>
        <v>Art-2-500-gp</v>
      </c>
      <c r="G3" s="3" t="s">
        <v>374</v>
      </c>
      <c r="H3" s="2">
        <v>5</v>
      </c>
      <c r="I3" s="2" t="str">
        <f>IF(H3=0,"-",IF(H3=1,SUM(H$1:H2)+1,SUM(H$1:H2)+1 &amp; "-" &amp; SUM(H$1:H3)))</f>
        <v>21-25</v>
      </c>
      <c r="J3" s="1" t="str">
        <f t="shared" si="2"/>
        <v>!import-table-item --Art-1-100-gp --20 gp (x[[5+1d6-1d6]]) Large Bejeweled Art Object --5</v>
      </c>
      <c r="L3" s="3" t="str">
        <f t="shared" si="3"/>
        <v>Large Bejeweled</v>
      </c>
      <c r="M3" s="2">
        <f t="shared" si="4"/>
        <v>5</v>
      </c>
      <c r="N3" s="2" t="str">
        <f>IF(M3=0,"-",IF(M3=1,SUM(M$1:M2)+1,SUM(M$1:M2)+1 &amp; "-" &amp; SUM(M$1:M3)))</f>
        <v>21-25</v>
      </c>
      <c r="O3" s="1" t="str">
        <f t="shared" si="5"/>
        <v>!import-table-item --Art-2-500-gp --100 gp (x[[5+1d6-1d6]]) Large Bejeweled Art Object --5</v>
      </c>
      <c r="Q3" s="3" t="str">
        <f t="shared" si="6"/>
        <v>Large Bejeweled</v>
      </c>
      <c r="R3" s="2">
        <f t="shared" si="7"/>
        <v>5</v>
      </c>
      <c r="S3" s="2" t="str">
        <f>IF(R3=0,"-",IF(R3=1,SUM(R$1:R2)+1,SUM(R$1:R2)+1 &amp; "-" &amp; SUM(R$1:R3)))</f>
        <v>21-25</v>
      </c>
      <c r="T3" s="1" t="str">
        <f t="shared" si="8"/>
        <v>!import-table-item --Art-3-1250-gp --250 gp (x[[5+1d6-1d6]]) Large Bejeweled Art Object --5</v>
      </c>
      <c r="V3" s="3" t="str">
        <f t="shared" si="9"/>
        <v>Large Bejeweled</v>
      </c>
      <c r="W3" s="2">
        <f t="shared" si="10"/>
        <v>5</v>
      </c>
      <c r="X3" s="2" t="str">
        <f>IF(W3=0,"-",IF(W3=1,SUM(W$1:W2)+1,SUM(W$1:W2)+1 &amp; "-" &amp; SUM(W$1:W3)))</f>
        <v>21-25</v>
      </c>
      <c r="Y3" s="1" t="str">
        <f t="shared" si="11"/>
        <v>!import-table-item --Art-4-5000-gp --1000 gp (x[[5+1d6-1d6]]) Large Bejeweled Art Object --5</v>
      </c>
      <c r="AA3" s="3" t="str">
        <f t="shared" si="12"/>
        <v>Large Bejeweled</v>
      </c>
      <c r="AB3" s="2">
        <f t="shared" si="13"/>
        <v>5</v>
      </c>
      <c r="AC3" s="2" t="str">
        <f>IF(AB3=0,"-",IF(AB3=1,SUM(AB$1:AB2)+1,SUM(AB$1:AB2)+1 &amp; "-" &amp; SUM(AB$1:AB3)))</f>
        <v>21-25</v>
      </c>
      <c r="AD3" s="1" t="str">
        <f t="shared" si="14"/>
        <v>!import-table-item --Art-5-12500-gp --2500 gp (x[[5+1d6-1d6]]) Large Bejeweled Art Object --5</v>
      </c>
      <c r="AF3" s="3" t="str">
        <f t="shared" si="15"/>
        <v>Large Bejeweled</v>
      </c>
      <c r="AG3" s="2">
        <f t="shared" si="16"/>
        <v>5</v>
      </c>
      <c r="AH3" s="2" t="str">
        <f>IF(AG3=0,"-",IF(AG3=1,SUM(AG$1:AG2)+1,SUM(AG$1:AG2)+1 &amp; "-" &amp; SUM(AG$1:AG3)))</f>
        <v>21-25</v>
      </c>
      <c r="AI3" s="1" t="str">
        <f t="shared" si="17"/>
        <v>!import-table-item --Art-6-50000-gp --10000 gp (x[[5+1d6-1d6]]) Large Bejeweled Art Object --5</v>
      </c>
      <c r="AJ3" s="3"/>
    </row>
    <row r="4" spans="1:39" x14ac:dyDescent="0.3">
      <c r="A4" s="2" t="s">
        <v>254</v>
      </c>
      <c r="B4" s="2">
        <v>250</v>
      </c>
      <c r="C4" s="19" t="str">
        <f t="shared" si="0"/>
        <v>250 - 2500 gp</v>
      </c>
      <c r="D4" s="2" t="str">
        <f t="shared" si="1"/>
        <v>1250 gp</v>
      </c>
      <c r="E4" s="1" t="str">
        <f>"Art-3-" &amp; B4*5 &amp; "-gp"</f>
        <v>Art-3-1250-gp</v>
      </c>
      <c r="G4" s="3" t="s">
        <v>373</v>
      </c>
      <c r="H4" s="2">
        <v>8</v>
      </c>
      <c r="I4" s="2" t="str">
        <f>IF(H4=0,"-",IF(H4=1,SUM(H$1:H3)+1,SUM(H$1:H3)+1 &amp; "-" &amp; SUM(H$1:H4)))</f>
        <v>26-33</v>
      </c>
      <c r="J4" s="1" t="str">
        <f t="shared" si="2"/>
        <v>!import-table-item --Art-1-100-gp --20 gp (x[[5+1d6-1d6]]) Ceramic Art Object --8</v>
      </c>
      <c r="L4" s="3" t="str">
        <f t="shared" si="3"/>
        <v>Ceramic</v>
      </c>
      <c r="M4" s="2">
        <f t="shared" si="4"/>
        <v>8</v>
      </c>
      <c r="N4" s="2" t="str">
        <f>IF(M4=0,"-",IF(M4=1,SUM(M$1:M3)+1,SUM(M$1:M3)+1 &amp; "-" &amp; SUM(M$1:M4)))</f>
        <v>26-33</v>
      </c>
      <c r="O4" s="1" t="str">
        <f t="shared" si="5"/>
        <v>!import-table-item --Art-2-500-gp --100 gp (x[[5+1d6-1d6]]) Ceramic Art Object --8</v>
      </c>
      <c r="Q4" s="3" t="str">
        <f t="shared" si="6"/>
        <v>Ceramic</v>
      </c>
      <c r="R4" s="2">
        <f t="shared" si="7"/>
        <v>8</v>
      </c>
      <c r="S4" s="2" t="str">
        <f>IF(R4=0,"-",IF(R4=1,SUM(R$1:R3)+1,SUM(R$1:R3)+1 &amp; "-" &amp; SUM(R$1:R4)))</f>
        <v>26-33</v>
      </c>
      <c r="T4" s="1" t="str">
        <f t="shared" si="8"/>
        <v>!import-table-item --Art-3-1250-gp --250 gp (x[[5+1d6-1d6]]) Ceramic Art Object --8</v>
      </c>
      <c r="V4" s="3" t="str">
        <f t="shared" si="9"/>
        <v>Ceramic</v>
      </c>
      <c r="W4" s="2">
        <f t="shared" si="10"/>
        <v>8</v>
      </c>
      <c r="X4" s="2" t="str">
        <f>IF(W4=0,"-",IF(W4=1,SUM(W$1:W3)+1,SUM(W$1:W3)+1 &amp; "-" &amp; SUM(W$1:W4)))</f>
        <v>26-33</v>
      </c>
      <c r="Y4" s="1" t="str">
        <f t="shared" si="11"/>
        <v>!import-table-item --Art-4-5000-gp --1000 gp (x[[5+1d6-1d6]]) Ceramic Art Object --8</v>
      </c>
      <c r="AA4" s="3" t="str">
        <f t="shared" si="12"/>
        <v>Ceramic</v>
      </c>
      <c r="AB4" s="2">
        <f t="shared" si="13"/>
        <v>8</v>
      </c>
      <c r="AC4" s="2" t="str">
        <f>IF(AB4=0,"-",IF(AB4=1,SUM(AB$1:AB3)+1,SUM(AB$1:AB3)+1 &amp; "-" &amp; SUM(AB$1:AB4)))</f>
        <v>26-33</v>
      </c>
      <c r="AD4" s="1" t="str">
        <f t="shared" si="14"/>
        <v>!import-table-item --Art-5-12500-gp --2500 gp (x[[5+1d6-1d6]]) Ceramic Art Object --8</v>
      </c>
      <c r="AF4" s="3" t="str">
        <f t="shared" si="15"/>
        <v>Ceramic</v>
      </c>
      <c r="AG4" s="2">
        <f t="shared" si="16"/>
        <v>8</v>
      </c>
      <c r="AH4" s="2" t="str">
        <f>IF(AG4=0,"-",IF(AG4=1,SUM(AG$1:AG3)+1,SUM(AG$1:AG3)+1 &amp; "-" &amp; SUM(AG$1:AG4)))</f>
        <v>26-33</v>
      </c>
      <c r="AI4" s="1" t="str">
        <f t="shared" si="17"/>
        <v>!import-table-item --Art-6-50000-gp --10000 gp (x[[5+1d6-1d6]]) Ceramic Art Object --8</v>
      </c>
      <c r="AJ4" s="3"/>
    </row>
    <row r="5" spans="1:39" x14ac:dyDescent="0.3">
      <c r="A5" s="2" t="s">
        <v>252</v>
      </c>
      <c r="B5" s="2">
        <v>1000</v>
      </c>
      <c r="C5" s="19" t="str">
        <f t="shared" si="0"/>
        <v>1000 - 10000 gp</v>
      </c>
      <c r="D5" s="2" t="str">
        <f t="shared" si="1"/>
        <v>5000 gp</v>
      </c>
      <c r="E5" s="1" t="str">
        <f>"Art-4-" &amp; B5*5 &amp; "-gp"</f>
        <v>Art-4-5000-gp</v>
      </c>
      <c r="G5" s="3" t="s">
        <v>372</v>
      </c>
      <c r="H5" s="2">
        <v>2</v>
      </c>
      <c r="I5" s="2" t="str">
        <f>IF(H5=0,"-",IF(H5=1,SUM(H$1:H4)+1,SUM(H$1:H4)+1 &amp; "-" &amp; SUM(H$1:H5)))</f>
        <v>34-35</v>
      </c>
      <c r="J5" s="1" t="str">
        <f t="shared" si="2"/>
        <v>!import-table-item --Art-1-100-gp --20 gp (x[[5+1d6-1d6]]) Large Ceramic Art Object --2</v>
      </c>
      <c r="L5" s="3" t="str">
        <f t="shared" si="3"/>
        <v>Large Ceramic</v>
      </c>
      <c r="M5" s="2">
        <f t="shared" si="4"/>
        <v>2</v>
      </c>
      <c r="N5" s="2" t="str">
        <f>IF(M5=0,"-",IF(M5=1,SUM(M$1:M4)+1,SUM(M$1:M4)+1 &amp; "-" &amp; SUM(M$1:M5)))</f>
        <v>34-35</v>
      </c>
      <c r="O5" s="1" t="str">
        <f t="shared" si="5"/>
        <v>!import-table-item --Art-2-500-gp --100 gp (x[[5+1d6-1d6]]) Large Ceramic Art Object --2</v>
      </c>
      <c r="Q5" s="3" t="str">
        <f t="shared" si="6"/>
        <v>Large Ceramic</v>
      </c>
      <c r="R5" s="2">
        <f t="shared" si="7"/>
        <v>2</v>
      </c>
      <c r="S5" s="2" t="str">
        <f>IF(R5=0,"-",IF(R5=1,SUM(R$1:R4)+1,SUM(R$1:R4)+1 &amp; "-" &amp; SUM(R$1:R5)))</f>
        <v>34-35</v>
      </c>
      <c r="T5" s="1" t="str">
        <f t="shared" si="8"/>
        <v>!import-table-item --Art-3-1250-gp --250 gp (x[[5+1d6-1d6]]) Large Ceramic Art Object --2</v>
      </c>
      <c r="V5" s="3" t="str">
        <f t="shared" si="9"/>
        <v>Large Ceramic</v>
      </c>
      <c r="W5" s="2">
        <f t="shared" si="10"/>
        <v>2</v>
      </c>
      <c r="X5" s="2" t="str">
        <f>IF(W5=0,"-",IF(W5=1,SUM(W$1:W4)+1,SUM(W$1:W4)+1 &amp; "-" &amp; SUM(W$1:W5)))</f>
        <v>34-35</v>
      </c>
      <c r="Y5" s="1" t="str">
        <f t="shared" si="11"/>
        <v>!import-table-item --Art-4-5000-gp --1000 gp (x[[5+1d6-1d6]]) Large Ceramic Art Object --2</v>
      </c>
      <c r="AA5" s="3" t="str">
        <f t="shared" si="12"/>
        <v>Large Ceramic</v>
      </c>
      <c r="AB5" s="2">
        <f t="shared" si="13"/>
        <v>2</v>
      </c>
      <c r="AC5" s="2" t="str">
        <f>IF(AB5=0,"-",IF(AB5=1,SUM(AB$1:AB4)+1,SUM(AB$1:AB4)+1 &amp; "-" &amp; SUM(AB$1:AB5)))</f>
        <v>34-35</v>
      </c>
      <c r="AD5" s="1" t="str">
        <f t="shared" si="14"/>
        <v>!import-table-item --Art-5-12500-gp --2500 gp (x[[5+1d6-1d6]]) Large Ceramic Art Object --2</v>
      </c>
      <c r="AF5" s="3" t="str">
        <f t="shared" si="15"/>
        <v>Large Ceramic</v>
      </c>
      <c r="AG5" s="2">
        <f t="shared" si="16"/>
        <v>2</v>
      </c>
      <c r="AH5" s="2" t="str">
        <f>IF(AG5=0,"-",IF(AG5=1,SUM(AG$1:AG4)+1,SUM(AG$1:AG4)+1 &amp; "-" &amp; SUM(AG$1:AG5)))</f>
        <v>34-35</v>
      </c>
      <c r="AI5" s="1" t="str">
        <f t="shared" si="17"/>
        <v>!import-table-item --Art-6-50000-gp --10000 gp (x[[5+1d6-1d6]]) Large Ceramic Art Object --2</v>
      </c>
      <c r="AJ5" s="3"/>
    </row>
    <row r="6" spans="1:39" x14ac:dyDescent="0.3">
      <c r="A6" s="2" t="s">
        <v>252</v>
      </c>
      <c r="B6" s="2">
        <v>2500</v>
      </c>
      <c r="C6" s="19" t="str">
        <f t="shared" si="0"/>
        <v>2500 - 25000 gp</v>
      </c>
      <c r="D6" s="2" t="str">
        <f t="shared" si="1"/>
        <v>12500 gp</v>
      </c>
      <c r="E6" s="1" t="str">
        <f>"Art-5-" &amp; B6*5 &amp; "-gp"</f>
        <v>Art-5-12500-gp</v>
      </c>
      <c r="G6" s="3" t="s">
        <v>371</v>
      </c>
      <c r="H6" s="2">
        <v>12</v>
      </c>
      <c r="I6" s="2" t="str">
        <f>IF(H6=0,"-",IF(H6=1,SUM(H$1:H5)+1,SUM(H$1:H5)+1 &amp; "-" &amp; SUM(H$1:H6)))</f>
        <v>36-47</v>
      </c>
      <c r="J6" s="1" t="str">
        <f t="shared" si="2"/>
        <v>!import-table-item --Art-1-100-gp --20 gp (x[[5+1d6-1d6]]) Fabric Art Object --12</v>
      </c>
      <c r="L6" s="3" t="str">
        <f t="shared" si="3"/>
        <v>Fabric</v>
      </c>
      <c r="M6" s="2">
        <f t="shared" si="4"/>
        <v>12</v>
      </c>
      <c r="N6" s="2" t="str">
        <f>IF(M6=0,"-",IF(M6=1,SUM(M$1:M5)+1,SUM(M$1:M5)+1 &amp; "-" &amp; SUM(M$1:M6)))</f>
        <v>36-47</v>
      </c>
      <c r="O6" s="1" t="str">
        <f t="shared" si="5"/>
        <v>!import-table-item --Art-2-500-gp --100 gp (x[[5+1d6-1d6]]) Fabric Art Object --12</v>
      </c>
      <c r="Q6" s="3" t="str">
        <f t="shared" si="6"/>
        <v>Fabric</v>
      </c>
      <c r="R6" s="2">
        <f t="shared" si="7"/>
        <v>12</v>
      </c>
      <c r="S6" s="2" t="str">
        <f>IF(R6=0,"-",IF(R6=1,SUM(R$1:R5)+1,SUM(R$1:R5)+1 &amp; "-" &amp; SUM(R$1:R6)))</f>
        <v>36-47</v>
      </c>
      <c r="T6" s="1" t="str">
        <f t="shared" si="8"/>
        <v>!import-table-item --Art-3-1250-gp --250 gp (x[[5+1d6-1d6]]) Fabric Art Object --12</v>
      </c>
      <c r="V6" s="3" t="str">
        <f t="shared" si="9"/>
        <v>Fabric</v>
      </c>
      <c r="W6" s="2">
        <f t="shared" si="10"/>
        <v>12</v>
      </c>
      <c r="X6" s="2" t="str">
        <f>IF(W6=0,"-",IF(W6=1,SUM(W$1:W5)+1,SUM(W$1:W5)+1 &amp; "-" &amp; SUM(W$1:W6)))</f>
        <v>36-47</v>
      </c>
      <c r="Y6" s="1" t="str">
        <f t="shared" si="11"/>
        <v>!import-table-item --Art-4-5000-gp --1000 gp (x[[5+1d6-1d6]]) Fabric Art Object --12</v>
      </c>
      <c r="AA6" s="3" t="str">
        <f t="shared" si="12"/>
        <v>Fabric</v>
      </c>
      <c r="AB6" s="2">
        <f t="shared" si="13"/>
        <v>12</v>
      </c>
      <c r="AC6" s="2" t="str">
        <f>IF(AB6=0,"-",IF(AB6=1,SUM(AB$1:AB5)+1,SUM(AB$1:AB5)+1 &amp; "-" &amp; SUM(AB$1:AB6)))</f>
        <v>36-47</v>
      </c>
      <c r="AD6" s="1" t="str">
        <f t="shared" si="14"/>
        <v>!import-table-item --Art-5-12500-gp --2500 gp (x[[5+1d6-1d6]]) Fabric Art Object --12</v>
      </c>
      <c r="AF6" s="3" t="str">
        <f t="shared" si="15"/>
        <v>Fabric</v>
      </c>
      <c r="AG6" s="2">
        <f t="shared" si="16"/>
        <v>12</v>
      </c>
      <c r="AH6" s="2" t="str">
        <f>IF(AG6=0,"-",IF(AG6=1,SUM(AG$1:AG5)+1,SUM(AG$1:AG5)+1 &amp; "-" &amp; SUM(AG$1:AG6)))</f>
        <v>36-47</v>
      </c>
      <c r="AI6" s="1" t="str">
        <f t="shared" si="17"/>
        <v>!import-table-item --Art-6-50000-gp --10000 gp (x[[5+1d6-1d6]]) Fabric Art Object --12</v>
      </c>
      <c r="AJ6" s="3"/>
    </row>
    <row r="7" spans="1:39" x14ac:dyDescent="0.3">
      <c r="A7" s="2" t="s">
        <v>250</v>
      </c>
      <c r="B7" s="2">
        <v>10000</v>
      </c>
      <c r="C7" s="19" t="str">
        <f t="shared" si="0"/>
        <v>10000 - 100000 gp</v>
      </c>
      <c r="D7" s="2" t="str">
        <f t="shared" si="1"/>
        <v>50000 gp</v>
      </c>
      <c r="E7" s="1" t="str">
        <f>"Art-6-" &amp; B7*5 &amp; "-gp"</f>
        <v>Art-6-50000-gp</v>
      </c>
      <c r="G7" s="3" t="s">
        <v>370</v>
      </c>
      <c r="H7" s="2">
        <v>3</v>
      </c>
      <c r="I7" s="2" t="str">
        <f>IF(H7=0,"-",IF(H7=1,SUM(H$1:H6)+1,SUM(H$1:H6)+1 &amp; "-" &amp; SUM(H$1:H7)))</f>
        <v>48-50</v>
      </c>
      <c r="J7" s="1" t="str">
        <f t="shared" si="2"/>
        <v>!import-table-item --Art-1-100-gp --20 gp (x[[5+1d6-1d6]]) Large Fabric Art Object --3</v>
      </c>
      <c r="L7" s="3" t="str">
        <f t="shared" si="3"/>
        <v>Large Fabric</v>
      </c>
      <c r="M7" s="2">
        <f t="shared" si="4"/>
        <v>3</v>
      </c>
      <c r="N7" s="2" t="str">
        <f>IF(M7=0,"-",IF(M7=1,SUM(M$1:M6)+1,SUM(M$1:M6)+1 &amp; "-" &amp; SUM(M$1:M7)))</f>
        <v>48-50</v>
      </c>
      <c r="O7" s="1" t="str">
        <f t="shared" si="5"/>
        <v>!import-table-item --Art-2-500-gp --100 gp (x[[5+1d6-1d6]]) Large Fabric Art Object --3</v>
      </c>
      <c r="Q7" s="3" t="str">
        <f t="shared" si="6"/>
        <v>Large Fabric</v>
      </c>
      <c r="R7" s="2">
        <f t="shared" si="7"/>
        <v>3</v>
      </c>
      <c r="S7" s="2" t="str">
        <f>IF(R7=0,"-",IF(R7=1,SUM(R$1:R6)+1,SUM(R$1:R6)+1 &amp; "-" &amp; SUM(R$1:R7)))</f>
        <v>48-50</v>
      </c>
      <c r="T7" s="1" t="str">
        <f t="shared" si="8"/>
        <v>!import-table-item --Art-3-1250-gp --250 gp (x[[5+1d6-1d6]]) Large Fabric Art Object --3</v>
      </c>
      <c r="V7" s="3" t="str">
        <f t="shared" si="9"/>
        <v>Large Fabric</v>
      </c>
      <c r="W7" s="2">
        <f t="shared" si="10"/>
        <v>3</v>
      </c>
      <c r="X7" s="2" t="str">
        <f>IF(W7=0,"-",IF(W7=1,SUM(W$1:W6)+1,SUM(W$1:W6)+1 &amp; "-" &amp; SUM(W$1:W7)))</f>
        <v>48-50</v>
      </c>
      <c r="Y7" s="1" t="str">
        <f t="shared" si="11"/>
        <v>!import-table-item --Art-4-5000-gp --1000 gp (x[[5+1d6-1d6]]) Large Fabric Art Object --3</v>
      </c>
      <c r="AA7" s="3" t="str">
        <f t="shared" si="12"/>
        <v>Large Fabric</v>
      </c>
      <c r="AB7" s="2">
        <f t="shared" si="13"/>
        <v>3</v>
      </c>
      <c r="AC7" s="2" t="str">
        <f>IF(AB7=0,"-",IF(AB7=1,SUM(AB$1:AB6)+1,SUM(AB$1:AB6)+1 &amp; "-" &amp; SUM(AB$1:AB7)))</f>
        <v>48-50</v>
      </c>
      <c r="AD7" s="1" t="str">
        <f t="shared" si="14"/>
        <v>!import-table-item --Art-5-12500-gp --2500 gp (x[[5+1d6-1d6]]) Large Fabric Art Object --3</v>
      </c>
      <c r="AF7" s="3" t="str">
        <f t="shared" si="15"/>
        <v>Large Fabric</v>
      </c>
      <c r="AG7" s="2">
        <f t="shared" si="16"/>
        <v>3</v>
      </c>
      <c r="AH7" s="2" t="str">
        <f>IF(AG7=0,"-",IF(AG7=1,SUM(AG$1:AG6)+1,SUM(AG$1:AG6)+1 &amp; "-" &amp; SUM(AG$1:AG7)))</f>
        <v>48-50</v>
      </c>
      <c r="AI7" s="1" t="str">
        <f t="shared" si="17"/>
        <v>!import-table-item --Art-6-50000-gp --10000 gp (x[[5+1d6-1d6]]) Large Fabric Art Object --3</v>
      </c>
      <c r="AJ7" s="3"/>
    </row>
    <row r="8" spans="1:39" x14ac:dyDescent="0.3">
      <c r="A8" s="2" t="s">
        <v>250</v>
      </c>
      <c r="B8" s="2">
        <v>25000</v>
      </c>
      <c r="C8" s="19" t="str">
        <f t="shared" si="0"/>
        <v>25000 - 250000 gp</v>
      </c>
      <c r="D8" s="2" t="str">
        <f t="shared" si="1"/>
        <v>125000 gp</v>
      </c>
      <c r="E8" s="1" t="str">
        <f>"Art-7-" &amp; B8*5 &amp; "-gp"</f>
        <v>Art-7-125000-gp</v>
      </c>
      <c r="G8" s="3" t="s">
        <v>369</v>
      </c>
      <c r="H8" s="2">
        <v>8</v>
      </c>
      <c r="I8" s="2" t="str">
        <f>IF(H8=0,"-",IF(H8=1,SUM(H$1:H7)+1,SUM(H$1:H7)+1 &amp; "-" &amp; SUM(H$1:H8)))</f>
        <v>51-58</v>
      </c>
      <c r="J8" s="1" t="str">
        <f t="shared" si="2"/>
        <v>!import-table-item --Art-1-100-gp --20 gp (x[[5+1d6-1d6]]) Glass Art Object --8</v>
      </c>
      <c r="L8" s="3" t="str">
        <f t="shared" si="3"/>
        <v>Glass</v>
      </c>
      <c r="M8" s="2">
        <f t="shared" si="4"/>
        <v>8</v>
      </c>
      <c r="N8" s="2" t="str">
        <f>IF(M8=0,"-",IF(M8=1,SUM(M$1:M7)+1,SUM(M$1:M7)+1 &amp; "-" &amp; SUM(M$1:M8)))</f>
        <v>51-58</v>
      </c>
      <c r="O8" s="1" t="str">
        <f t="shared" si="5"/>
        <v>!import-table-item --Art-2-500-gp --100 gp (x[[5+1d6-1d6]]) Glass Art Object --8</v>
      </c>
      <c r="Q8" s="3" t="str">
        <f t="shared" si="6"/>
        <v>Glass</v>
      </c>
      <c r="R8" s="2">
        <f t="shared" si="7"/>
        <v>8</v>
      </c>
      <c r="S8" s="2" t="str">
        <f>IF(R8=0,"-",IF(R8=1,SUM(R$1:R7)+1,SUM(R$1:R7)+1 &amp; "-" &amp; SUM(R$1:R8)))</f>
        <v>51-58</v>
      </c>
      <c r="T8" s="1" t="str">
        <f t="shared" si="8"/>
        <v>!import-table-item --Art-3-1250-gp --250 gp (x[[5+1d6-1d6]]) Glass Art Object --8</v>
      </c>
      <c r="V8" s="3" t="str">
        <f t="shared" si="9"/>
        <v>Glass</v>
      </c>
      <c r="W8" s="2">
        <f t="shared" si="10"/>
        <v>8</v>
      </c>
      <c r="X8" s="2" t="str">
        <f>IF(W8=0,"-",IF(W8=1,SUM(W$1:W7)+1,SUM(W$1:W7)+1 &amp; "-" &amp; SUM(W$1:W8)))</f>
        <v>51-58</v>
      </c>
      <c r="Y8" s="1" t="str">
        <f t="shared" si="11"/>
        <v>!import-table-item --Art-4-5000-gp --1000 gp (x[[5+1d6-1d6]]) Glass Art Object --8</v>
      </c>
      <c r="AA8" s="3" t="str">
        <f t="shared" si="12"/>
        <v>Glass</v>
      </c>
      <c r="AB8" s="2">
        <f t="shared" si="13"/>
        <v>8</v>
      </c>
      <c r="AC8" s="2" t="str">
        <f>IF(AB8=0,"-",IF(AB8=1,SUM(AB$1:AB7)+1,SUM(AB$1:AB7)+1 &amp; "-" &amp; SUM(AB$1:AB8)))</f>
        <v>51-58</v>
      </c>
      <c r="AD8" s="1" t="str">
        <f t="shared" si="14"/>
        <v>!import-table-item --Art-5-12500-gp --2500 gp (x[[5+1d6-1d6]]) Glass Art Object --8</v>
      </c>
      <c r="AF8" s="3" t="str">
        <f t="shared" si="15"/>
        <v>Glass</v>
      </c>
      <c r="AG8" s="2">
        <f t="shared" si="16"/>
        <v>8</v>
      </c>
      <c r="AH8" s="2" t="str">
        <f>IF(AG8=0,"-",IF(AG8=1,SUM(AG$1:AG7)+1,SUM(AG$1:AG7)+1 &amp; "-" &amp; SUM(AG$1:AG8)))</f>
        <v>51-58</v>
      </c>
      <c r="AI8" s="1" t="str">
        <f t="shared" si="17"/>
        <v>!import-table-item --Art-6-50000-gp --10000 gp (x[[5+1d6-1d6]]) Glass Art Object --8</v>
      </c>
      <c r="AJ8" s="3"/>
    </row>
    <row r="9" spans="1:39" x14ac:dyDescent="0.3">
      <c r="A9" s="2" t="s">
        <v>248</v>
      </c>
      <c r="B9" s="2">
        <v>100000</v>
      </c>
      <c r="C9" s="19" t="str">
        <f t="shared" si="0"/>
        <v>100000 - 1000000 gp</v>
      </c>
      <c r="D9" s="2" t="str">
        <f t="shared" si="1"/>
        <v>500000 gp</v>
      </c>
      <c r="E9" s="1" t="str">
        <f>"Art-8-" &amp; B9*5 &amp; "-gp"</f>
        <v>Art-8-500000-gp</v>
      </c>
      <c r="G9" s="3" t="s">
        <v>368</v>
      </c>
      <c r="H9" s="2">
        <v>2</v>
      </c>
      <c r="I9" s="2" t="str">
        <f>IF(H9=0,"-",IF(H9=1,SUM(H$1:H8)+1,SUM(H$1:H8)+1 &amp; "-" &amp; SUM(H$1:H9)))</f>
        <v>59-60</v>
      </c>
      <c r="J9" s="1" t="str">
        <f t="shared" si="2"/>
        <v>!import-table-item --Art-1-100-gp --20 gp (x[[5+1d6-1d6]]) Large Glass Art Object --2</v>
      </c>
      <c r="L9" s="3" t="str">
        <f t="shared" si="3"/>
        <v>Large Glass</v>
      </c>
      <c r="M9" s="2">
        <f t="shared" si="4"/>
        <v>2</v>
      </c>
      <c r="N9" s="2" t="str">
        <f>IF(M9=0,"-",IF(M9=1,SUM(M$1:M8)+1,SUM(M$1:M8)+1 &amp; "-" &amp; SUM(M$1:M9)))</f>
        <v>59-60</v>
      </c>
      <c r="O9" s="1" t="str">
        <f t="shared" si="5"/>
        <v>!import-table-item --Art-2-500-gp --100 gp (x[[5+1d6-1d6]]) Large Glass Art Object --2</v>
      </c>
      <c r="Q9" s="3" t="str">
        <f t="shared" si="6"/>
        <v>Large Glass</v>
      </c>
      <c r="R9" s="2">
        <f t="shared" si="7"/>
        <v>2</v>
      </c>
      <c r="S9" s="2" t="str">
        <f>IF(R9=0,"-",IF(R9=1,SUM(R$1:R8)+1,SUM(R$1:R8)+1 &amp; "-" &amp; SUM(R$1:R9)))</f>
        <v>59-60</v>
      </c>
      <c r="T9" s="1" t="str">
        <f t="shared" si="8"/>
        <v>!import-table-item --Art-3-1250-gp --250 gp (x[[5+1d6-1d6]]) Large Glass Art Object --2</v>
      </c>
      <c r="V9" s="3" t="str">
        <f t="shared" si="9"/>
        <v>Large Glass</v>
      </c>
      <c r="W9" s="2">
        <f t="shared" si="10"/>
        <v>2</v>
      </c>
      <c r="X9" s="2" t="str">
        <f>IF(W9=0,"-",IF(W9=1,SUM(W$1:W8)+1,SUM(W$1:W8)+1 &amp; "-" &amp; SUM(W$1:W9)))</f>
        <v>59-60</v>
      </c>
      <c r="Y9" s="1" t="str">
        <f t="shared" si="11"/>
        <v>!import-table-item --Art-4-5000-gp --1000 gp (x[[5+1d6-1d6]]) Large Glass Art Object --2</v>
      </c>
      <c r="AA9" s="3" t="str">
        <f t="shared" si="12"/>
        <v>Large Glass</v>
      </c>
      <c r="AB9" s="2">
        <f t="shared" si="13"/>
        <v>2</v>
      </c>
      <c r="AC9" s="2" t="str">
        <f>IF(AB9=0,"-",IF(AB9=1,SUM(AB$1:AB8)+1,SUM(AB$1:AB8)+1 &amp; "-" &amp; SUM(AB$1:AB9)))</f>
        <v>59-60</v>
      </c>
      <c r="AD9" s="1" t="str">
        <f t="shared" si="14"/>
        <v>!import-table-item --Art-5-12500-gp --2500 gp (x[[5+1d6-1d6]]) Large Glass Art Object --2</v>
      </c>
      <c r="AF9" s="3" t="str">
        <f t="shared" si="15"/>
        <v>Large Glass</v>
      </c>
      <c r="AG9" s="2">
        <f t="shared" si="16"/>
        <v>2</v>
      </c>
      <c r="AH9" s="2" t="str">
        <f>IF(AG9=0,"-",IF(AG9=1,SUM(AG$1:AG8)+1,SUM(AG$1:AG8)+1 &amp; "-" &amp; SUM(AG$1:AG9)))</f>
        <v>59-60</v>
      </c>
      <c r="AI9" s="1" t="str">
        <f t="shared" si="17"/>
        <v>!import-table-item --Art-6-50000-gp --10000 gp (x[[5+1d6-1d6]]) Large Glass Art Object --2</v>
      </c>
      <c r="AJ9" s="3"/>
    </row>
    <row r="10" spans="1:39" x14ac:dyDescent="0.3">
      <c r="D10" s="19"/>
      <c r="E10" s="20"/>
      <c r="F10" s="19"/>
      <c r="G10" s="3" t="s">
        <v>367</v>
      </c>
      <c r="H10" s="2">
        <v>10</v>
      </c>
      <c r="I10" s="2" t="str">
        <f>IF(H10=0,"-",IF(H10=1,SUM(H$1:H9)+1,SUM(H$1:H9)+1 &amp; "-" &amp; SUM(H$1:H10)))</f>
        <v>61-70</v>
      </c>
      <c r="J10" s="1" t="str">
        <f t="shared" si="2"/>
        <v>!import-table-item --Art-1-100-gp --20 gp (x[[5+1d6-1d6]]) Painted Art Object --10</v>
      </c>
      <c r="K10" s="19"/>
      <c r="L10" s="3" t="str">
        <f t="shared" si="3"/>
        <v>Painted</v>
      </c>
      <c r="M10" s="2">
        <f t="shared" si="4"/>
        <v>10</v>
      </c>
      <c r="N10" s="2" t="str">
        <f>IF(M10=0,"-",IF(M10=1,SUM(M$1:M9)+1,SUM(M$1:M9)+1 &amp; "-" &amp; SUM(M$1:M10)))</f>
        <v>61-70</v>
      </c>
      <c r="O10" s="1" t="str">
        <f t="shared" si="5"/>
        <v>!import-table-item --Art-2-500-gp --100 gp (x[[5+1d6-1d6]]) Painted Art Object --10</v>
      </c>
      <c r="P10" s="19"/>
      <c r="Q10" s="3" t="str">
        <f t="shared" si="6"/>
        <v>Painted</v>
      </c>
      <c r="R10" s="2">
        <f t="shared" si="7"/>
        <v>10</v>
      </c>
      <c r="S10" s="2" t="str">
        <f>IF(R10=0,"-",IF(R10=1,SUM(R$1:R9)+1,SUM(R$1:R9)+1 &amp; "-" &amp; SUM(R$1:R10)))</f>
        <v>61-70</v>
      </c>
      <c r="T10" s="1" t="str">
        <f t="shared" si="8"/>
        <v>!import-table-item --Art-3-1250-gp --250 gp (x[[5+1d6-1d6]]) Painted Art Object --10</v>
      </c>
      <c r="U10" s="19"/>
      <c r="V10" s="3" t="str">
        <f t="shared" si="9"/>
        <v>Painted</v>
      </c>
      <c r="W10" s="2">
        <f t="shared" si="10"/>
        <v>10</v>
      </c>
      <c r="X10" s="2" t="str">
        <f>IF(W10=0,"-",IF(W10=1,SUM(W$1:W9)+1,SUM(W$1:W9)+1 &amp; "-" &amp; SUM(W$1:W10)))</f>
        <v>61-70</v>
      </c>
      <c r="Y10" s="1" t="str">
        <f t="shared" si="11"/>
        <v>!import-table-item --Art-4-5000-gp --1000 gp (x[[5+1d6-1d6]]) Painted Art Object --10</v>
      </c>
      <c r="Z10" s="19"/>
      <c r="AA10" s="3" t="str">
        <f t="shared" si="12"/>
        <v>Painted</v>
      </c>
      <c r="AB10" s="2">
        <f t="shared" si="13"/>
        <v>10</v>
      </c>
      <c r="AC10" s="2" t="str">
        <f>IF(AB10=0,"-",IF(AB10=1,SUM(AB$1:AB9)+1,SUM(AB$1:AB9)+1 &amp; "-" &amp; SUM(AB$1:AB10)))</f>
        <v>61-70</v>
      </c>
      <c r="AD10" s="1" t="str">
        <f t="shared" si="14"/>
        <v>!import-table-item --Art-5-12500-gp --2500 gp (x[[5+1d6-1d6]]) Painted Art Object --10</v>
      </c>
      <c r="AE10" s="19"/>
      <c r="AF10" s="3" t="str">
        <f t="shared" si="15"/>
        <v>Painted</v>
      </c>
      <c r="AG10" s="2">
        <f t="shared" si="16"/>
        <v>10</v>
      </c>
      <c r="AH10" s="2" t="str">
        <f>IF(AG10=0,"-",IF(AG10=1,SUM(AG$1:AG9)+1,SUM(AG$1:AG9)+1 &amp; "-" &amp; SUM(AG$1:AG10)))</f>
        <v>61-70</v>
      </c>
      <c r="AI10" s="1" t="str">
        <f t="shared" si="17"/>
        <v>!import-table-item --Art-6-50000-gp --10000 gp (x[[5+1d6-1d6]]) Painted Art Object --10</v>
      </c>
      <c r="AJ10" s="3"/>
    </row>
    <row r="11" spans="1:39" x14ac:dyDescent="0.3">
      <c r="G11" s="3" t="s">
        <v>366</v>
      </c>
      <c r="H11" s="2">
        <v>5</v>
      </c>
      <c r="I11" s="2" t="str">
        <f>IF(H11=0,"-",IF(H11=1,SUM(H$1:H10)+1,SUM(H$1:H10)+1 &amp; "-" &amp; SUM(H$1:H11)))</f>
        <v>71-75</v>
      </c>
      <c r="J11" s="1" t="str">
        <f t="shared" si="2"/>
        <v>!import-table-item --Art-1-100-gp --20 gp (x[[5+1d6-1d6]]) Large Painted Art Object --5</v>
      </c>
      <c r="L11" s="3" t="str">
        <f t="shared" si="3"/>
        <v>Large Painted</v>
      </c>
      <c r="M11" s="2">
        <f t="shared" si="4"/>
        <v>5</v>
      </c>
      <c r="N11" s="2" t="str">
        <f>IF(M11=0,"-",IF(M11=1,SUM(M$1:M10)+1,SUM(M$1:M10)+1 &amp; "-" &amp; SUM(M$1:M11)))</f>
        <v>71-75</v>
      </c>
      <c r="O11" s="1" t="str">
        <f t="shared" si="5"/>
        <v>!import-table-item --Art-2-500-gp --100 gp (x[[5+1d6-1d6]]) Large Painted Art Object --5</v>
      </c>
      <c r="Q11" s="3" t="str">
        <f t="shared" si="6"/>
        <v>Large Painted</v>
      </c>
      <c r="R11" s="2">
        <f t="shared" si="7"/>
        <v>5</v>
      </c>
      <c r="S11" s="2" t="str">
        <f>IF(R11=0,"-",IF(R11=1,SUM(R$1:R10)+1,SUM(R$1:R10)+1 &amp; "-" &amp; SUM(R$1:R11)))</f>
        <v>71-75</v>
      </c>
      <c r="T11" s="1" t="str">
        <f t="shared" si="8"/>
        <v>!import-table-item --Art-3-1250-gp --250 gp (x[[5+1d6-1d6]]) Large Painted Art Object --5</v>
      </c>
      <c r="V11" s="3" t="str">
        <f t="shared" si="9"/>
        <v>Large Painted</v>
      </c>
      <c r="W11" s="2">
        <f t="shared" si="10"/>
        <v>5</v>
      </c>
      <c r="X11" s="2" t="str">
        <f>IF(W11=0,"-",IF(W11=1,SUM(W$1:W10)+1,SUM(W$1:W10)+1 &amp; "-" &amp; SUM(W$1:W11)))</f>
        <v>71-75</v>
      </c>
      <c r="Y11" s="1" t="str">
        <f t="shared" si="11"/>
        <v>!import-table-item --Art-4-5000-gp --1000 gp (x[[5+1d6-1d6]]) Large Painted Art Object --5</v>
      </c>
      <c r="AA11" s="3" t="str">
        <f t="shared" si="12"/>
        <v>Large Painted</v>
      </c>
      <c r="AB11" s="2">
        <f t="shared" si="13"/>
        <v>5</v>
      </c>
      <c r="AC11" s="2" t="str">
        <f>IF(AB11=0,"-",IF(AB11=1,SUM(AB$1:AB10)+1,SUM(AB$1:AB10)+1 &amp; "-" &amp; SUM(AB$1:AB11)))</f>
        <v>71-75</v>
      </c>
      <c r="AD11" s="1" t="str">
        <f t="shared" si="14"/>
        <v>!import-table-item --Art-5-12500-gp --2500 gp (x[[5+1d6-1d6]]) Large Painted Art Object --5</v>
      </c>
      <c r="AF11" s="3" t="str">
        <f t="shared" si="15"/>
        <v>Large Painted</v>
      </c>
      <c r="AG11" s="2">
        <f t="shared" si="16"/>
        <v>5</v>
      </c>
      <c r="AH11" s="2" t="str">
        <f>IF(AG11=0,"-",IF(AG11=1,SUM(AG$1:AG10)+1,SUM(AG$1:AG10)+1 &amp; "-" &amp; SUM(AG$1:AG11)))</f>
        <v>71-75</v>
      </c>
      <c r="AI11" s="1" t="str">
        <f t="shared" si="17"/>
        <v>!import-table-item --Art-6-50000-gp --10000 gp (x[[5+1d6-1d6]]) Large Painted Art Object --5</v>
      </c>
      <c r="AJ11" s="3"/>
    </row>
    <row r="12" spans="1:39" x14ac:dyDescent="0.3">
      <c r="G12" s="3" t="s">
        <v>365</v>
      </c>
      <c r="H12" s="2">
        <v>6</v>
      </c>
      <c r="I12" s="2" t="str">
        <f>IF(H12=0,"-",IF(H12=1,SUM(H$1:H11)+1,SUM(H$1:H11)+1 &amp; "-" &amp; SUM(H$1:H12)))</f>
        <v>76-81</v>
      </c>
      <c r="J12" s="1" t="str">
        <f t="shared" si="2"/>
        <v>!import-table-item --Art-1-100-gp --20 gp (x[[5+1d6-1d6]]) Wooden Art Object --6</v>
      </c>
      <c r="L12" s="3" t="str">
        <f t="shared" si="3"/>
        <v>Wooden</v>
      </c>
      <c r="M12" s="2">
        <f t="shared" si="4"/>
        <v>6</v>
      </c>
      <c r="N12" s="2" t="str">
        <f>IF(M12=0,"-",IF(M12=1,SUM(M$1:M11)+1,SUM(M$1:M11)+1 &amp; "-" &amp; SUM(M$1:M12)))</f>
        <v>76-81</v>
      </c>
      <c r="O12" s="1" t="str">
        <f t="shared" si="5"/>
        <v>!import-table-item --Art-2-500-gp --100 gp (x[[5+1d6-1d6]]) Wooden Art Object --6</v>
      </c>
      <c r="Q12" s="3" t="str">
        <f t="shared" si="6"/>
        <v>Wooden</v>
      </c>
      <c r="R12" s="2">
        <f t="shared" si="7"/>
        <v>6</v>
      </c>
      <c r="S12" s="2" t="str">
        <f>IF(R12=0,"-",IF(R12=1,SUM(R$1:R11)+1,SUM(R$1:R11)+1 &amp; "-" &amp; SUM(R$1:R12)))</f>
        <v>76-81</v>
      </c>
      <c r="T12" s="1" t="str">
        <f t="shared" si="8"/>
        <v>!import-table-item --Art-3-1250-gp --250 gp (x[[5+1d6-1d6]]) Wooden Art Object --6</v>
      </c>
      <c r="V12" s="3" t="str">
        <f t="shared" si="9"/>
        <v>Wooden</v>
      </c>
      <c r="W12" s="2">
        <f t="shared" si="10"/>
        <v>6</v>
      </c>
      <c r="X12" s="2" t="str">
        <f>IF(W12=0,"-",IF(W12=1,SUM(W$1:W11)+1,SUM(W$1:W11)+1 &amp; "-" &amp; SUM(W$1:W12)))</f>
        <v>76-81</v>
      </c>
      <c r="Y12" s="1" t="str">
        <f t="shared" si="11"/>
        <v>!import-table-item --Art-4-5000-gp --1000 gp (x[[5+1d6-1d6]]) Wooden Art Object --6</v>
      </c>
      <c r="AA12" s="3" t="str">
        <f t="shared" si="12"/>
        <v>Wooden</v>
      </c>
      <c r="AB12" s="2">
        <f t="shared" si="13"/>
        <v>6</v>
      </c>
      <c r="AC12" s="2" t="str">
        <f>IF(AB12=0,"-",IF(AB12=1,SUM(AB$1:AB11)+1,SUM(AB$1:AB11)+1 &amp; "-" &amp; SUM(AB$1:AB12)))</f>
        <v>76-81</v>
      </c>
      <c r="AD12" s="1" t="str">
        <f t="shared" si="14"/>
        <v>!import-table-item --Art-5-12500-gp --2500 gp (x[[5+1d6-1d6]]) Wooden Art Object --6</v>
      </c>
      <c r="AF12" s="3" t="str">
        <f t="shared" si="15"/>
        <v>Wooden</v>
      </c>
      <c r="AG12" s="2">
        <f t="shared" si="16"/>
        <v>6</v>
      </c>
      <c r="AH12" s="2" t="str">
        <f>IF(AG12=0,"-",IF(AG12=1,SUM(AG$1:AG11)+1,SUM(AG$1:AG11)+1 &amp; "-" &amp; SUM(AG$1:AG12)))</f>
        <v>76-81</v>
      </c>
      <c r="AI12" s="1" t="str">
        <f t="shared" si="17"/>
        <v>!import-table-item --Art-6-50000-gp --10000 gp (x[[5+1d6-1d6]]) Wooden Art Object --6</v>
      </c>
      <c r="AJ12" s="3"/>
    </row>
    <row r="13" spans="1:39" x14ac:dyDescent="0.3">
      <c r="G13" s="3" t="s">
        <v>364</v>
      </c>
      <c r="H13" s="2">
        <v>4</v>
      </c>
      <c r="I13" s="2" t="str">
        <f>IF(H13=0,"-",IF(H13=1,SUM(H$1:H12)+1,SUM(H$1:H12)+1 &amp; "-" &amp; SUM(H$1:H13)))</f>
        <v>82-85</v>
      </c>
      <c r="J13" s="1" t="str">
        <f t="shared" si="2"/>
        <v>!import-table-item --Art-1-100-gp --20 gp (x[[5+1d6-1d6]]) Large Wooden Art Object --4</v>
      </c>
      <c r="L13" s="3" t="str">
        <f t="shared" si="3"/>
        <v>Large Wooden</v>
      </c>
      <c r="M13" s="2">
        <f t="shared" si="4"/>
        <v>4</v>
      </c>
      <c r="N13" s="2" t="str">
        <f>IF(M13=0,"-",IF(M13=1,SUM(M$1:M12)+1,SUM(M$1:M12)+1 &amp; "-" &amp; SUM(M$1:M13)))</f>
        <v>82-85</v>
      </c>
      <c r="O13" s="1" t="str">
        <f t="shared" si="5"/>
        <v>!import-table-item --Art-2-500-gp --100 gp (x[[5+1d6-1d6]]) Large Wooden Art Object --4</v>
      </c>
      <c r="Q13" s="3" t="str">
        <f t="shared" si="6"/>
        <v>Large Wooden</v>
      </c>
      <c r="R13" s="2">
        <f t="shared" si="7"/>
        <v>4</v>
      </c>
      <c r="S13" s="2" t="str">
        <f>IF(R13=0,"-",IF(R13=1,SUM(R$1:R12)+1,SUM(R$1:R12)+1 &amp; "-" &amp; SUM(R$1:R13)))</f>
        <v>82-85</v>
      </c>
      <c r="T13" s="1" t="str">
        <f t="shared" si="8"/>
        <v>!import-table-item --Art-3-1250-gp --250 gp (x[[5+1d6-1d6]]) Large Wooden Art Object --4</v>
      </c>
      <c r="V13" s="3" t="str">
        <f t="shared" si="9"/>
        <v>Large Wooden</v>
      </c>
      <c r="W13" s="2">
        <f t="shared" si="10"/>
        <v>4</v>
      </c>
      <c r="X13" s="2" t="str">
        <f>IF(W13=0,"-",IF(W13=1,SUM(W$1:W12)+1,SUM(W$1:W12)+1 &amp; "-" &amp; SUM(W$1:W13)))</f>
        <v>82-85</v>
      </c>
      <c r="Y13" s="1" t="str">
        <f t="shared" si="11"/>
        <v>!import-table-item --Art-4-5000-gp --1000 gp (x[[5+1d6-1d6]]) Large Wooden Art Object --4</v>
      </c>
      <c r="AA13" s="3" t="str">
        <f t="shared" si="12"/>
        <v>Large Wooden</v>
      </c>
      <c r="AB13" s="2">
        <f t="shared" si="13"/>
        <v>4</v>
      </c>
      <c r="AC13" s="2" t="str">
        <f>IF(AB13=0,"-",IF(AB13=1,SUM(AB$1:AB12)+1,SUM(AB$1:AB12)+1 &amp; "-" &amp; SUM(AB$1:AB13)))</f>
        <v>82-85</v>
      </c>
      <c r="AD13" s="1" t="str">
        <f t="shared" si="14"/>
        <v>!import-table-item --Art-5-12500-gp --2500 gp (x[[5+1d6-1d6]]) Large Wooden Art Object --4</v>
      </c>
      <c r="AF13" s="3" t="str">
        <f t="shared" si="15"/>
        <v>Large Wooden</v>
      </c>
      <c r="AG13" s="2">
        <f t="shared" si="16"/>
        <v>4</v>
      </c>
      <c r="AH13" s="2" t="str">
        <f>IF(AG13=0,"-",IF(AG13=1,SUM(AG$1:AG12)+1,SUM(AG$1:AG12)+1 &amp; "-" &amp; SUM(AG$1:AG13)))</f>
        <v>82-85</v>
      </c>
      <c r="AI13" s="1" t="str">
        <f t="shared" si="17"/>
        <v>!import-table-item --Art-6-50000-gp --10000 gp (x[[5+1d6-1d6]]) Large Wooden Art Object --4</v>
      </c>
      <c r="AJ13" s="3"/>
    </row>
    <row r="14" spans="1:39" x14ac:dyDescent="0.3">
      <c r="G14" s="3" t="s">
        <v>363</v>
      </c>
      <c r="H14" s="2">
        <v>12</v>
      </c>
      <c r="I14" s="2" t="str">
        <f>IF(H14=0,"-",IF(H14=1,SUM(H$1:H13)+1,SUM(H$1:H13)+1 &amp; "-" &amp; SUM(H$1:H14)))</f>
        <v>86-97</v>
      </c>
      <c r="J14" s="1" t="str">
        <f t="shared" si="2"/>
        <v>!import-table-item --Art-1-100-gp --20 gp (x[[5+1d6-1d6]]) Written Art Object --12</v>
      </c>
      <c r="L14" s="3" t="str">
        <f t="shared" si="3"/>
        <v>Written</v>
      </c>
      <c r="M14" s="2">
        <f t="shared" si="4"/>
        <v>12</v>
      </c>
      <c r="N14" s="2" t="str">
        <f>IF(M14=0,"-",IF(M14=1,SUM(M$1:M13)+1,SUM(M$1:M13)+1 &amp; "-" &amp; SUM(M$1:M14)))</f>
        <v>86-97</v>
      </c>
      <c r="O14" s="1" t="str">
        <f t="shared" si="5"/>
        <v>!import-table-item --Art-2-500-gp --100 gp (x[[5+1d6-1d6]]) Written Art Object --12</v>
      </c>
      <c r="Q14" s="3" t="str">
        <f t="shared" si="6"/>
        <v>Written</v>
      </c>
      <c r="R14" s="2">
        <f t="shared" si="7"/>
        <v>12</v>
      </c>
      <c r="S14" s="2" t="str">
        <f>IF(R14=0,"-",IF(R14=1,SUM(R$1:R13)+1,SUM(R$1:R13)+1 &amp; "-" &amp; SUM(R$1:R14)))</f>
        <v>86-97</v>
      </c>
      <c r="T14" s="1" t="str">
        <f t="shared" si="8"/>
        <v>!import-table-item --Art-3-1250-gp --250 gp (x[[5+1d6-1d6]]) Written Art Object --12</v>
      </c>
      <c r="V14" s="3" t="str">
        <f t="shared" si="9"/>
        <v>Written</v>
      </c>
      <c r="W14" s="2">
        <f t="shared" si="10"/>
        <v>12</v>
      </c>
      <c r="X14" s="2" t="str">
        <f>IF(W14=0,"-",IF(W14=1,SUM(W$1:W13)+1,SUM(W$1:W13)+1 &amp; "-" &amp; SUM(W$1:W14)))</f>
        <v>86-97</v>
      </c>
      <c r="Y14" s="1" t="str">
        <f t="shared" si="11"/>
        <v>!import-table-item --Art-4-5000-gp --1000 gp (x[[5+1d6-1d6]]) Written Art Object --12</v>
      </c>
      <c r="AA14" s="3" t="str">
        <f t="shared" si="12"/>
        <v>Written</v>
      </c>
      <c r="AB14" s="2">
        <f t="shared" si="13"/>
        <v>12</v>
      </c>
      <c r="AC14" s="2" t="str">
        <f>IF(AB14=0,"-",IF(AB14=1,SUM(AB$1:AB13)+1,SUM(AB$1:AB13)+1 &amp; "-" &amp; SUM(AB$1:AB14)))</f>
        <v>86-97</v>
      </c>
      <c r="AD14" s="1" t="str">
        <f t="shared" si="14"/>
        <v>!import-table-item --Art-5-12500-gp --2500 gp (x[[5+1d6-1d6]]) Written Art Object --12</v>
      </c>
      <c r="AF14" s="3" t="str">
        <f t="shared" si="15"/>
        <v>Written</v>
      </c>
      <c r="AG14" s="2">
        <f t="shared" si="16"/>
        <v>12</v>
      </c>
      <c r="AH14" s="2" t="str">
        <f>IF(AG14=0,"-",IF(AG14=1,SUM(AG$1:AG13)+1,SUM(AG$1:AG13)+1 &amp; "-" &amp; SUM(AG$1:AG14)))</f>
        <v>86-97</v>
      </c>
      <c r="AI14" s="1" t="str">
        <f t="shared" si="17"/>
        <v>!import-table-item --Art-6-50000-gp --10000 gp (x[[5+1d6-1d6]]) Written Art Object --12</v>
      </c>
      <c r="AJ14" s="3"/>
    </row>
    <row r="15" spans="1:39" x14ac:dyDescent="0.3">
      <c r="G15" s="3" t="s">
        <v>362</v>
      </c>
      <c r="H15" s="2">
        <v>3</v>
      </c>
      <c r="I15" s="2" t="str">
        <f>IF(H15=0,"-",IF(H15=1,SUM(H$1:H14)+1,SUM(H$1:H14)+1 &amp; "-" &amp; SUM(H$1:H15)))</f>
        <v>98-100</v>
      </c>
      <c r="J15" s="1" t="str">
        <f t="shared" si="2"/>
        <v>!import-table-item --Art-1-100-gp --20 gp (x[[5+1d6-1d6]]) Large Written Art Object --3</v>
      </c>
      <c r="L15" s="3" t="str">
        <f t="shared" si="3"/>
        <v>Large Written</v>
      </c>
      <c r="M15" s="2">
        <f t="shared" si="4"/>
        <v>3</v>
      </c>
      <c r="N15" s="2" t="str">
        <f>IF(M15=0,"-",IF(M15=1,SUM(M$1:M14)+1,SUM(M$1:M14)+1 &amp; "-" &amp; SUM(M$1:M15)))</f>
        <v>98-100</v>
      </c>
      <c r="O15" s="1" t="str">
        <f t="shared" si="5"/>
        <v>!import-table-item --Art-2-500-gp --100 gp (x[[5+1d6-1d6]]) Large Written Art Object --3</v>
      </c>
      <c r="Q15" s="3" t="str">
        <f t="shared" si="6"/>
        <v>Large Written</v>
      </c>
      <c r="R15" s="2">
        <f t="shared" si="7"/>
        <v>3</v>
      </c>
      <c r="S15" s="2" t="str">
        <f>IF(R15=0,"-",IF(R15=1,SUM(R$1:R14)+1,SUM(R$1:R14)+1 &amp; "-" &amp; SUM(R$1:R15)))</f>
        <v>98-100</v>
      </c>
      <c r="T15" s="1" t="str">
        <f t="shared" si="8"/>
        <v>!import-table-item --Art-3-1250-gp --250 gp (x[[5+1d6-1d6]]) Large Written Art Object --3</v>
      </c>
      <c r="V15" s="3" t="str">
        <f t="shared" si="9"/>
        <v>Large Written</v>
      </c>
      <c r="W15" s="2">
        <f t="shared" si="10"/>
        <v>3</v>
      </c>
      <c r="X15" s="2" t="str">
        <f>IF(W15=0,"-",IF(W15=1,SUM(W$1:W14)+1,SUM(W$1:W14)+1 &amp; "-" &amp; SUM(W$1:W15)))</f>
        <v>98-100</v>
      </c>
      <c r="Y15" s="1" t="str">
        <f t="shared" si="11"/>
        <v>!import-table-item --Art-4-5000-gp --1000 gp (x[[5+1d6-1d6]]) Large Written Art Object --3</v>
      </c>
      <c r="AA15" s="3" t="str">
        <f t="shared" si="12"/>
        <v>Large Written</v>
      </c>
      <c r="AB15" s="2">
        <f t="shared" si="13"/>
        <v>3</v>
      </c>
      <c r="AC15" s="2" t="str">
        <f>IF(AB15=0,"-",IF(AB15=1,SUM(AB$1:AB14)+1,SUM(AB$1:AB14)+1 &amp; "-" &amp; SUM(AB$1:AB15)))</f>
        <v>98-100</v>
      </c>
      <c r="AD15" s="1" t="str">
        <f t="shared" si="14"/>
        <v>!import-table-item --Art-5-12500-gp --2500 gp (x[[5+1d6-1d6]]) Large Written Art Object --3</v>
      </c>
      <c r="AF15" s="3" t="str">
        <f t="shared" si="15"/>
        <v>Large Written</v>
      </c>
      <c r="AG15" s="2">
        <f t="shared" si="16"/>
        <v>3</v>
      </c>
      <c r="AH15" s="2" t="str">
        <f>IF(AG15=0,"-",IF(AG15=1,SUM(AG$1:AG14)+1,SUM(AG$1:AG14)+1 &amp; "-" &amp; SUM(AG$1:AG15)))</f>
        <v>98-100</v>
      </c>
      <c r="AI15" s="1" t="str">
        <f t="shared" si="17"/>
        <v>!import-table-item --Art-6-50000-gp --10000 gp (x[[5+1d6-1d6]]) Large Written Art Object --3</v>
      </c>
      <c r="AJ15"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D4CE-7434-4055-97C6-5B523CC8DCFD}">
  <dimension ref="A1:AR75"/>
  <sheetViews>
    <sheetView workbookViewId="0">
      <selection activeCell="C3" sqref="C3"/>
    </sheetView>
  </sheetViews>
  <sheetFormatPr defaultColWidth="8.85546875" defaultRowHeight="18.75" x14ac:dyDescent="0.3"/>
  <cols>
    <col min="1" max="1" width="61" style="3" bestFit="1" customWidth="1"/>
    <col min="2" max="2" width="9.140625" style="2" bestFit="1" customWidth="1"/>
    <col min="3" max="3" width="7.85546875" style="2" bestFit="1" customWidth="1"/>
    <col min="4" max="4" width="111.85546875" style="1" bestFit="1" customWidth="1"/>
    <col min="5" max="5" width="81" style="3" bestFit="1" customWidth="1"/>
    <col min="6" max="6" width="9.140625" style="2" bestFit="1" customWidth="1"/>
    <col min="7" max="7" width="10.7109375" style="2" bestFit="1" customWidth="1"/>
    <col min="8" max="8" width="126.5703125" style="1" bestFit="1" customWidth="1"/>
    <col min="9" max="9" width="115.28515625" style="3" bestFit="1" customWidth="1"/>
    <col min="10" max="10" width="9.140625" style="2" bestFit="1" customWidth="1"/>
    <col min="11" max="11" width="7.85546875" style="2" bestFit="1" customWidth="1"/>
    <col min="12" max="12" width="160.85546875" style="1" bestFit="1" customWidth="1"/>
    <col min="13" max="13" width="115.85546875" style="3" bestFit="1" customWidth="1"/>
    <col min="14" max="14" width="9.140625" style="2" bestFit="1" customWidth="1"/>
    <col min="15" max="15" width="7.85546875" style="2" bestFit="1" customWidth="1"/>
    <col min="16" max="16" width="162.5703125" style="1" bestFit="1" customWidth="1"/>
    <col min="17" max="17" width="81.42578125" style="3" bestFit="1" customWidth="1"/>
    <col min="18" max="18" width="9.140625" style="2" bestFit="1" customWidth="1"/>
    <col min="19" max="19" width="9.28515625" style="2" bestFit="1" customWidth="1"/>
    <col min="20" max="20" width="130" style="1" bestFit="1" customWidth="1"/>
    <col min="21" max="21" width="100.140625" style="3" bestFit="1" customWidth="1"/>
    <col min="22" max="22" width="9.140625" style="2" bestFit="1" customWidth="1"/>
    <col min="23" max="23" width="7.85546875" style="2" bestFit="1" customWidth="1"/>
    <col min="24" max="24" width="150.28515625" style="1" bestFit="1" customWidth="1"/>
    <col min="25" max="25" width="98.42578125" style="3" bestFit="1" customWidth="1"/>
    <col min="26" max="26" width="9.140625" style="2" bestFit="1" customWidth="1"/>
    <col min="27" max="27" width="9.28515625" style="2" bestFit="1" customWidth="1"/>
    <col min="28" max="28" width="148.42578125" style="1" bestFit="1" customWidth="1"/>
    <col min="29" max="29" width="99.85546875" style="3" bestFit="1" customWidth="1"/>
    <col min="30" max="30" width="9.140625" style="2" bestFit="1" customWidth="1"/>
    <col min="31" max="31" width="9.28515625" style="2" bestFit="1" customWidth="1"/>
    <col min="32" max="32" width="149.85546875" style="1" bestFit="1" customWidth="1"/>
    <col min="33" max="33" width="98.5703125" style="3" bestFit="1" customWidth="1"/>
    <col min="34" max="34" width="9.140625" style="2" bestFit="1" customWidth="1"/>
    <col min="35" max="35" width="7.85546875" style="2" bestFit="1" customWidth="1"/>
    <col min="36" max="36" width="147.5703125" style="1" bestFit="1" customWidth="1"/>
    <col min="37" max="37" width="51.42578125" style="3" bestFit="1" customWidth="1"/>
    <col min="38" max="38" width="9.140625" style="2" bestFit="1" customWidth="1"/>
    <col min="39" max="39" width="7.85546875" style="2" bestFit="1" customWidth="1"/>
    <col min="40" max="40" width="122.5703125" style="1" bestFit="1" customWidth="1"/>
    <col min="41" max="41" width="52" style="3" bestFit="1" customWidth="1"/>
    <col min="42" max="42" width="9.140625" style="2" bestFit="1" customWidth="1"/>
    <col min="43" max="43" width="7.85546875" style="2" bestFit="1" customWidth="1"/>
    <col min="44" max="44" width="120.5703125" style="1" bestFit="1" customWidth="1"/>
  </cols>
  <sheetData>
    <row r="1" spans="1:44" x14ac:dyDescent="0.3">
      <c r="A1" s="7" t="s">
        <v>485</v>
      </c>
      <c r="B1" s="5" t="s">
        <v>18</v>
      </c>
      <c r="C1" s="5" t="str">
        <f>"d" &amp; SUM(B:B)</f>
        <v>d100</v>
      </c>
      <c r="D1" s="4" t="str">
        <f>"!import-table --" &amp; A1 &amp; " --hide"</f>
        <v>!import-table --Pocket-Treasure --hide</v>
      </c>
      <c r="E1" s="7" t="s">
        <v>487</v>
      </c>
      <c r="F1" s="5" t="s">
        <v>18</v>
      </c>
      <c r="G1" s="5" t="str">
        <f>"d" &amp; SUM(F:F)</f>
        <v>d100</v>
      </c>
      <c r="H1" s="4" t="str">
        <f>"!import-table --" &amp; E1 &amp; " --hide"</f>
        <v>!import-table --Individual-CR-1/2-1 --hide</v>
      </c>
      <c r="I1" s="7" t="s">
        <v>428</v>
      </c>
      <c r="J1" s="5" t="s">
        <v>18</v>
      </c>
      <c r="K1" s="5" t="str">
        <f>"d" &amp; SUM(J:J)</f>
        <v>d100</v>
      </c>
      <c r="L1" s="4" t="str">
        <f>"!import-table --" &amp; I1 &amp; " --hide"</f>
        <v>!import-table --Individual-2-4 --hide</v>
      </c>
      <c r="M1" s="7" t="s">
        <v>427</v>
      </c>
      <c r="N1" s="5" t="s">
        <v>18</v>
      </c>
      <c r="O1" s="5" t="str">
        <f>"d" &amp; SUM(N:N)</f>
        <v>d100</v>
      </c>
      <c r="P1" s="4" t="str">
        <f>"!import-table --" &amp; M1 &amp; " --hide"</f>
        <v>!import-table --Individual-5-7 --hide</v>
      </c>
      <c r="Q1" s="7" t="s">
        <v>426</v>
      </c>
      <c r="R1" s="5" t="s">
        <v>18</v>
      </c>
      <c r="S1" s="5" t="str">
        <f>"d" &amp; SUM(R:R)</f>
        <v>d100</v>
      </c>
      <c r="T1" s="4" t="str">
        <f>"!import-table --" &amp; Q1 &amp; " --hide"</f>
        <v>!import-table --Individual-8-10 --hide</v>
      </c>
      <c r="U1" s="7" t="s">
        <v>425</v>
      </c>
      <c r="V1" s="5" t="s">
        <v>18</v>
      </c>
      <c r="W1" s="5" t="str">
        <f>"d" &amp; SUM(V:V)</f>
        <v>d100</v>
      </c>
      <c r="X1" s="4" t="str">
        <f>"!import-table --" &amp; U1 &amp; " --hide"</f>
        <v>!import-table --Individual-11-13 --hide</v>
      </c>
      <c r="Y1" s="7" t="s">
        <v>424</v>
      </c>
      <c r="Z1" s="5" t="s">
        <v>18</v>
      </c>
      <c r="AA1" s="5" t="str">
        <f>"d" &amp; SUM(Z:Z)</f>
        <v>d100</v>
      </c>
      <c r="AB1" s="4" t="str">
        <f>"!import-table --" &amp; Y1 &amp; " --hide"</f>
        <v>!import-table --Individual-14-16 --hide</v>
      </c>
      <c r="AC1" s="7" t="s">
        <v>423</v>
      </c>
      <c r="AD1" s="5" t="s">
        <v>18</v>
      </c>
      <c r="AE1" s="5" t="str">
        <f>"d" &amp; SUM(AD:AD)</f>
        <v>d100</v>
      </c>
      <c r="AF1" s="4" t="str">
        <f>"!import-table --" &amp; AC1 &amp; " --hide"</f>
        <v>!import-table --Individual-17-19 --hide</v>
      </c>
      <c r="AG1" s="7" t="s">
        <v>422</v>
      </c>
      <c r="AH1" s="5" t="s">
        <v>18</v>
      </c>
      <c r="AI1" s="5" t="str">
        <f>"d" &amp; SUM(AH:AH)</f>
        <v>d100</v>
      </c>
      <c r="AJ1" s="4" t="str">
        <f>"!import-table --" &amp; AG1 &amp; " --hide"</f>
        <v>!import-table --Individual-20+ --hide</v>
      </c>
      <c r="AK1" s="7" t="s">
        <v>21</v>
      </c>
      <c r="AL1" s="5" t="s">
        <v>18</v>
      </c>
      <c r="AM1" s="5" t="str">
        <f>"d" &amp; SUM(AL:AL)</f>
        <v>d20</v>
      </c>
      <c r="AN1" s="4" t="str">
        <f>"!import-table --" &amp; AK1 &amp; " --hide"</f>
        <v>!import-table --Individual Treasure: Challenge 11-16 --hide</v>
      </c>
      <c r="AO1" s="7" t="s">
        <v>20</v>
      </c>
      <c r="AP1" s="5" t="s">
        <v>18</v>
      </c>
      <c r="AQ1" s="5" t="str">
        <f>"d" &amp; SUM(AP:AP)</f>
        <v>d20</v>
      </c>
      <c r="AR1" s="4" t="str">
        <f>"!import-table --" &amp; AO1 &amp; " --hide"</f>
        <v>!import-table --Individual Treasure: Challenge 17+ --hide</v>
      </c>
    </row>
    <row r="2" spans="1:44" x14ac:dyDescent="0.3">
      <c r="A2" s="3" t="s">
        <v>421</v>
      </c>
      <c r="B2" s="2">
        <v>20</v>
      </c>
      <c r="C2" s="2" t="str">
        <f>IF(B2=0,"-",IF(B2=1,SUM(B$1:B1)+1,SUM(B$1:B1)+1 &amp; "-" &amp; SUM(B$1:B2)))</f>
        <v>1-20</v>
      </c>
      <c r="D2" s="1" t="str">
        <f>"!import-table-item --" &amp; A$1 &amp; " --" &amp; A2 &amp; " --" &amp; B2</f>
        <v>!import-table-item --Pocket-Treasure --[[1d6]] cp --20</v>
      </c>
      <c r="E2" s="3" t="s">
        <v>418</v>
      </c>
      <c r="F2" s="2">
        <v>20</v>
      </c>
      <c r="G2" s="2" t="str">
        <f>IF(F2=0,"-",IF(F2=1,SUM(F$1:F1)+1,SUM(F$1:F1)+1 &amp; "-" &amp; SUM(F$1:F2)))</f>
        <v>1-20</v>
      </c>
      <c r="H2" s="1" t="str">
        <f t="shared" ref="H2:H8" si="0">"!import-table-item --" &amp; E$1 &amp; " --" &amp; E2 &amp; " --" &amp; F2</f>
        <v>!import-table-item --Individual-CR-1/2-1 --[[1d6]] gp --20</v>
      </c>
      <c r="I2" s="3" t="s">
        <v>420</v>
      </c>
      <c r="J2" s="2">
        <v>1</v>
      </c>
      <c r="K2" s="2">
        <f>IF(J2=0,"-",IF(J2=1,SUM(J$1:J1)+1,SUM(J$1:J1)+1 &amp; "-" &amp; SUM(J$1:J2)))</f>
        <v>1</v>
      </c>
      <c r="L2" s="1" t="str">
        <f t="shared" ref="L2:L11" si="1">"!import-table-item --" &amp; I$1 &amp; " --" &amp; I2 &amp; " --" &amp; J2</f>
        <v>!import-table-item --Individual-2-4 --[[2d6]] cp --1</v>
      </c>
      <c r="M2" s="3" t="s">
        <v>408</v>
      </c>
      <c r="N2" s="2">
        <v>1</v>
      </c>
      <c r="O2" s="2">
        <f>IF(N2=0,"-",IF(N2=1,SUM(N$1:N1)+1,SUM(N$1:N1)+1 &amp; "-" &amp; SUM(N$1:N2)))</f>
        <v>1</v>
      </c>
      <c r="P2" s="1" t="str">
        <f t="shared" ref="P2:P11" si="2">"!import-table-item --" &amp; M$1 &amp; " --" &amp; M2 &amp; " --" &amp; N2</f>
        <v>!import-table-item --Individual-5-7 --[[2d6]] sp --1</v>
      </c>
      <c r="Q2" s="3" t="s">
        <v>13</v>
      </c>
      <c r="R2" s="2">
        <v>1</v>
      </c>
      <c r="S2" s="2">
        <f>IF(R2=0,"-",IF(R2=1,SUM(R$1:R1)+1,SUM(R$1:R1)+1 &amp; "-" &amp; SUM(R$1:R2)))</f>
        <v>1</v>
      </c>
      <c r="T2" s="1" t="str">
        <f t="shared" ref="T2:T10" si="3">"!import-table-item --" &amp; Q$1 &amp; " --" &amp; Q2 &amp; " --" &amp; R2</f>
        <v>!import-table-item --Individual-8-10 --[[4d6]] sp --1</v>
      </c>
      <c r="U2" s="3" t="s">
        <v>414</v>
      </c>
      <c r="V2" s="2">
        <v>1</v>
      </c>
      <c r="W2" s="2">
        <f>IF(V2=0,"-",IF(V2=1,SUM(V$1:V1)+1,SUM(V$1:V1)+1 &amp; "-" &amp; SUM(V$1:V2)))</f>
        <v>1</v>
      </c>
      <c r="X2" s="1" t="str">
        <f t="shared" ref="X2:X11" si="4">"!import-table-item --" &amp; U$1 &amp; " --" &amp; U2 &amp; " --" &amp; V2</f>
        <v>!import-table-item --Individual-11-13 --[[2d6]] gp --1</v>
      </c>
      <c r="Y2" s="3" t="s">
        <v>407</v>
      </c>
      <c r="Z2" s="2">
        <v>1</v>
      </c>
      <c r="AA2" s="2">
        <f>IF(Z2=0,"-",IF(Z2=1,SUM(Z$1:Z1)+1,SUM(Z$1:Z1)+1 &amp; "-" &amp; SUM(Z$1:Z2)))</f>
        <v>1</v>
      </c>
      <c r="AB2" s="1" t="str">
        <f t="shared" ref="AB2:AB10" si="5">"!import-table-item --" &amp; Y$1 &amp; " --" &amp; Y2 &amp; " --" &amp; Z2</f>
        <v>!import-table-item --Individual-14-16 --[[4d6]] gp --1</v>
      </c>
      <c r="AC2" s="3" t="s">
        <v>419</v>
      </c>
      <c r="AD2" s="2">
        <v>25</v>
      </c>
      <c r="AE2" s="2" t="str">
        <f>IF(AD2=0,"-",IF(AD2=1,SUM(AD$1:AD1)+1,SUM(AD$1:AD1)+1 &amp; "-" &amp; SUM(AD$1:AD2)))</f>
        <v>1-25</v>
      </c>
      <c r="AF2" s="1" t="str">
        <f>"!import-table-item --" &amp; AC$1 &amp; " --" &amp; AC2 &amp; " --" &amp; AD2</f>
        <v>!import-table-item --Individual-17-19 --[[ 1t[Gems-7-12500-gp] ]] &amp; [[ 1t[Magic-Item-Table-D] ]] &amp; [[ 1t[Magic-Item-Table-G] ]] --25</v>
      </c>
      <c r="AG2" s="3" t="s">
        <v>397</v>
      </c>
      <c r="AH2" s="2">
        <v>100</v>
      </c>
      <c r="AI2" s="2" t="str">
        <f>IF(AH2=0,"-",IF(AH2=1,SUM(AH$1:AH1)+1,SUM(AH$1:AH1)+1 &amp; "-" &amp; SUM(AH$1:AH2)))</f>
        <v>1-100</v>
      </c>
      <c r="AJ2" s="1" t="str">
        <f>"!import-table-item --" &amp; AG$1 &amp; " --" &amp; AG2 &amp; " --" &amp; AH2</f>
        <v>!import-table-item --Individual-20+ --[[ 1t[Gems-8-50000-gp] ]] &amp; [[ 1t[Magic-Item-Table-E] ]] &amp; [[ 1t[Magic-Item-Table-I] ]] --100</v>
      </c>
      <c r="AK2" s="3" t="s">
        <v>418</v>
      </c>
      <c r="AL2" s="2">
        <v>1</v>
      </c>
      <c r="AM2" s="2">
        <f>IF(AL2=0,"-",IF(AL2=1,SUM(AL$1:AL1)+1,SUM(AL$1:AL1)+1 &amp; "-" &amp; SUM(AL$1:AL2)))</f>
        <v>1</v>
      </c>
      <c r="AN2" s="1" t="str">
        <f>"!import-table-item --" &amp; AK$1 &amp; " --" &amp; AK2 &amp; " --" &amp; AL2</f>
        <v>!import-table-item --Individual Treasure: Challenge 11-16 --[[1d6]] gp --1</v>
      </c>
      <c r="AO2" s="3" t="s">
        <v>2</v>
      </c>
      <c r="AP2" s="2">
        <v>1</v>
      </c>
      <c r="AQ2" s="2">
        <f>IF(AP2=0,"-",IF(AP2=1,SUM(AP$1:AP1)+1,SUM(AP$1:AP1)+1 &amp; "-" &amp; SUM(AP$1:AP2)))</f>
        <v>1</v>
      </c>
      <c r="AR2" s="1" t="str">
        <f>"!import-table-item --" &amp; AO$1 &amp; " --" &amp; AO2 &amp; " --" &amp; AP2</f>
        <v>!import-table-item --Individual Treasure: Challenge 17+ --[[1d6]] pp --1</v>
      </c>
    </row>
    <row r="3" spans="1:44" x14ac:dyDescent="0.3">
      <c r="A3" s="3" t="s">
        <v>480</v>
      </c>
      <c r="B3" s="2">
        <v>20</v>
      </c>
      <c r="C3" s="2" t="str">
        <f>IF(B3=0,"-",IF(B3=1,SUM(B$1:B2)+1,SUM(B$1:B2)+1 &amp; "-" &amp; SUM(B$1:B3)))</f>
        <v>21-40</v>
      </c>
      <c r="D3" s="1" t="str">
        <f t="shared" ref="D3:D8" si="6">"!import-table-item --" &amp; A$1 &amp; " --" &amp; A3 &amp; " --" &amp; B3</f>
        <v>!import-table-item --Pocket-Treasure --[[2d6]] cp &amp; [[1d4]] sp --20</v>
      </c>
      <c r="E3" s="3" t="s">
        <v>491</v>
      </c>
      <c r="F3" s="2">
        <v>20</v>
      </c>
      <c r="G3" s="2" t="str">
        <f>IF(F3=0,"-",IF(F3=1,SUM(F$1:F2)+1,SUM(F$1:F2)+1 &amp; "-" &amp; SUM(F$1:F3)))</f>
        <v>21-40</v>
      </c>
      <c r="H3" s="1" t="str">
        <f t="shared" si="0"/>
        <v>!import-table-item --Individual-CR-1/2-1 --[[1d6]] gp &amp; [[ 1t[Gems-1-25-gp] ]] --20</v>
      </c>
      <c r="I3" s="3" t="s">
        <v>13</v>
      </c>
      <c r="J3" s="2">
        <v>19</v>
      </c>
      <c r="K3" s="2" t="str">
        <f>IF(J3=0,"-",IF(J3=1,SUM(J$1:J2)+1,SUM(J$1:J2)+1 &amp; "-" &amp; SUM(J$1:J3)))</f>
        <v>2-20</v>
      </c>
      <c r="L3" s="1" t="str">
        <f t="shared" si="1"/>
        <v>!import-table-item --Individual-2-4 --[[4d6]] sp --19</v>
      </c>
      <c r="M3" s="3" t="s">
        <v>407</v>
      </c>
      <c r="N3" s="2">
        <v>14</v>
      </c>
      <c r="O3" s="2" t="str">
        <f>IF(N3=0,"-",IF(N3=1,SUM(N$1:N2)+1,SUM(N$1:N2)+1 &amp; "-" &amp; SUM(N$1:N3)))</f>
        <v>2-15</v>
      </c>
      <c r="P3" s="1" t="str">
        <f t="shared" si="2"/>
        <v>!import-table-item --Individual-5-7 --[[4d6]] gp --14</v>
      </c>
      <c r="Q3" s="3" t="s">
        <v>413</v>
      </c>
      <c r="R3" s="2">
        <v>14</v>
      </c>
      <c r="S3" s="2" t="str">
        <f>IF(R3=0,"-",IF(R3=1,SUM(R$1:R2)+1,SUM(R$1:R2)+1 &amp; "-" &amp; SUM(R$1:R3)))</f>
        <v>2-15</v>
      </c>
      <c r="T3" s="1" t="str">
        <f t="shared" si="3"/>
        <v>!import-table-item --Individual-8-10 --[[2d6]] pp --14</v>
      </c>
      <c r="U3" s="3" t="s">
        <v>412</v>
      </c>
      <c r="V3" s="2">
        <v>14</v>
      </c>
      <c r="W3" s="2" t="str">
        <f>IF(V3=0,"-",IF(V3=1,SUM(V$1:V2)+1,SUM(V$1:V2)+1 &amp; "-" &amp; SUM(V$1:V3)))</f>
        <v>2-15</v>
      </c>
      <c r="X3" s="1" t="str">
        <f t="shared" si="4"/>
        <v>!import-table-item --Individual-11-13 --[[4d6]] pp --14</v>
      </c>
      <c r="Y3" s="3" t="s">
        <v>411</v>
      </c>
      <c r="Z3" s="2">
        <v>14</v>
      </c>
      <c r="AA3" s="2" t="str">
        <f>IF(Z3=0,"-",IF(Z3=1,SUM(Z$1:Z2)+1,SUM(Z$1:Z2)+1 &amp; "-" &amp; SUM(Z$1:Z3)))</f>
        <v>2-15</v>
      </c>
      <c r="AB3" s="1" t="str">
        <f t="shared" si="5"/>
        <v>!import-table-item --Individual-14-16 --[[ 1t[Gems-4-500-gp] ]] --14</v>
      </c>
      <c r="AC3" s="3" t="s">
        <v>417</v>
      </c>
      <c r="AD3" s="2">
        <v>25</v>
      </c>
      <c r="AE3" s="2" t="str">
        <f>IF(AD3=0,"-",IF(AD3=1,SUM(AD$1:AD2)+1,SUM(AD$1:AD2)+1 &amp; "-" &amp; SUM(AD$1:AD3)))</f>
        <v>26-50</v>
      </c>
      <c r="AF3" s="1" t="str">
        <f>"!import-table-item --" &amp; AC$1 &amp; " --" &amp; AC3 &amp; " --" &amp; AD3</f>
        <v>!import-table-item --Individual-17-19 --[[ 1t[Gems-8-50000-gp] ]] &amp; [[ 1t[Magic-Item-Table-D] ]] &amp; [[ 1t[Magic-Item-Table-G] ]] --25</v>
      </c>
      <c r="AK3" s="3" t="s">
        <v>416</v>
      </c>
      <c r="AL3" s="2">
        <v>6</v>
      </c>
      <c r="AM3" s="2" t="str">
        <f>IF(AL3=0,"-",IF(AL3=1,SUM(AL$1:AL2)+1,SUM(AL$1:AL2)+1 &amp; "-" &amp; SUM(AL$1:AL3)))</f>
        <v>2-7</v>
      </c>
      <c r="AN3" s="1" t="str">
        <f>"!import-table-item --" &amp; AK$1 &amp; " --" &amp; AK3 &amp; " --" &amp; AL3</f>
        <v>!import-table-item --Individual Treasure: Challenge 11-16 --[[5*1d6]] pp --6</v>
      </c>
      <c r="AO3" s="3" t="s">
        <v>415</v>
      </c>
      <c r="AP3" s="2">
        <v>6</v>
      </c>
      <c r="AQ3" s="2" t="str">
        <f>IF(AP3=0,"-",IF(AP3=1,SUM(AP$1:AP2)+1,SUM(AP$1:AP2)+1 &amp; "-" &amp; SUM(AP$1:AP3)))</f>
        <v>2-7</v>
      </c>
      <c r="AR3" s="1" t="str">
        <f>"!import-table-item --" &amp; AO$1 &amp; " --" &amp; AO3 &amp; " --" &amp; AP3</f>
        <v>!import-table-item --Individual Treasure: Challenge 17+ --[[1d6*50]] pp --6</v>
      </c>
    </row>
    <row r="4" spans="1:44" x14ac:dyDescent="0.3">
      <c r="A4" s="3" t="s">
        <v>481</v>
      </c>
      <c r="B4" s="2">
        <v>20</v>
      </c>
      <c r="C4" s="2" t="str">
        <f>IF(B4=0,"-",IF(B4=1,SUM(B$1:B3)+1,SUM(B$1:B3)+1 &amp; "-" &amp; SUM(B$1:B4)))</f>
        <v>41-60</v>
      </c>
      <c r="D4" s="1" t="str">
        <f t="shared" si="6"/>
        <v>!import-table-item --Pocket-Treasure --[[1d6]] cp &amp; [[1d4]] sp &amp; [[ 1t[Magic-Item-Table-A] ]] --20</v>
      </c>
      <c r="E4" s="3" t="s">
        <v>492</v>
      </c>
      <c r="F4" s="2">
        <v>20</v>
      </c>
      <c r="G4" s="2" t="str">
        <f>IF(F4=0,"-",IF(F4=1,SUM(F$1:F3)+1,SUM(F$1:F3)+1 &amp; "-" &amp; SUM(F$1:F4)))</f>
        <v>41-60</v>
      </c>
      <c r="H4" s="1" t="str">
        <f t="shared" ref="H4" si="7">"!import-table-item --" &amp; E$1 &amp; " --" &amp; E4 &amp; " --" &amp; F4</f>
        <v>!import-table-item --Individual-CR-1/2-1 --[[1d6]] gp &amp; [[ 1t[Gems-1-25-gp] ]] &amp; [[ 1t[Magic-Item-Table-A] ]] --20</v>
      </c>
      <c r="I4" s="3" t="s">
        <v>414</v>
      </c>
      <c r="J4" s="2">
        <v>20</v>
      </c>
      <c r="K4" s="2" t="str">
        <f>IF(J4=0,"-",IF(J4=1,SUM(J$1:J3)+1,SUM(J$1:J3)+1 &amp; "-" &amp; SUM(J$1:J4)))</f>
        <v>21-40</v>
      </c>
      <c r="L4" s="1" t="str">
        <f t="shared" si="1"/>
        <v>!import-table-item --Individual-2-4 --[[2d6]] gp --20</v>
      </c>
      <c r="M4" s="3" t="s">
        <v>413</v>
      </c>
      <c r="N4" s="2">
        <v>10</v>
      </c>
      <c r="O4" s="2" t="str">
        <f>IF(N4=0,"-",IF(N4=1,SUM(N$1:N3)+1,SUM(N$1:N3)+1 &amp; "-" &amp; SUM(N$1:N4)))</f>
        <v>16-25</v>
      </c>
      <c r="P4" s="1" t="str">
        <f t="shared" si="2"/>
        <v>!import-table-item --Individual-5-7 --[[2d6]] pp --10</v>
      </c>
      <c r="Q4" s="3" t="s">
        <v>412</v>
      </c>
      <c r="R4" s="2">
        <v>10</v>
      </c>
      <c r="S4" s="2" t="str">
        <f>IF(R4=0,"-",IF(R4=1,SUM(R$1:R3)+1,SUM(R$1:R3)+1 &amp; "-" &amp; SUM(R$1:R4)))</f>
        <v>16-25</v>
      </c>
      <c r="T4" s="1" t="str">
        <f t="shared" si="3"/>
        <v>!import-table-item --Individual-8-10 --[[4d6]] pp --10</v>
      </c>
      <c r="U4" s="3" t="s">
        <v>411</v>
      </c>
      <c r="V4" s="2">
        <v>10</v>
      </c>
      <c r="W4" s="2" t="str">
        <f>IF(V4=0,"-",IF(V4=1,SUM(V$1:V3)+1,SUM(V$1:V3)+1 &amp; "-" &amp; SUM(V$1:V4)))</f>
        <v>16-25</v>
      </c>
      <c r="X4" s="1" t="str">
        <f t="shared" si="4"/>
        <v>!import-table-item --Individual-11-13 --[[ 1t[Gems-4-500-gp] ]] --10</v>
      </c>
      <c r="Y4" s="3" t="s">
        <v>410</v>
      </c>
      <c r="Z4" s="2">
        <v>10</v>
      </c>
      <c r="AA4" s="2" t="str">
        <f>IF(Z4=0,"-",IF(Z4=1,SUM(Z$1:Z3)+1,SUM(Z$1:Z3)+1 &amp; "-" &amp; SUM(Z$1:Z4)))</f>
        <v>16-25</v>
      </c>
      <c r="AB4" s="1" t="str">
        <f t="shared" si="5"/>
        <v>!import-table-item --Individual-14-16 --[[ 1t[Gems-5-1250-gp] ]] --10</v>
      </c>
      <c r="AC4" s="3" t="s">
        <v>409</v>
      </c>
      <c r="AD4" s="2">
        <v>25</v>
      </c>
      <c r="AE4" s="2" t="str">
        <f>IF(AD4=0,"-",IF(AD4=1,SUM(AD$1:AD3)+1,SUM(AD$1:AD3)+1 &amp; "-" &amp; SUM(AD$1:AD4)))</f>
        <v>51-75</v>
      </c>
      <c r="AF4" s="1" t="str">
        <f>"!import-table-item --" &amp; AC$1 &amp; " --" &amp; AC4 &amp; " --" &amp; AD4</f>
        <v>!import-table-item --Individual-17-19 --[[ 1t[Gems-7-12500-gp] ]] &amp; [[ 1t[Magic-Item-Table-D] ]] &amp; [[ 1t[Magic-Item-Table-H] ]] --25</v>
      </c>
    </row>
    <row r="5" spans="1:44" x14ac:dyDescent="0.3">
      <c r="A5" s="3" t="s">
        <v>483</v>
      </c>
      <c r="B5" s="2">
        <v>20</v>
      </c>
      <c r="C5" s="2" t="str">
        <f>IF(B5=0,"-",IF(B5=1,SUM(B$1:B4)+1,SUM(B$1:B4)+1 &amp; "-" &amp; SUM(B$1:B5)))</f>
        <v>61-80</v>
      </c>
      <c r="D5" s="1" t="str">
        <f t="shared" si="6"/>
        <v>!import-table-item --Pocket-Treasure --[[1d6]] cp &amp; [[1d6]] sp &amp; [[ 1t[Magic-Item-Table-A] ]] --20</v>
      </c>
      <c r="E5" s="3" t="s">
        <v>492</v>
      </c>
      <c r="F5" s="2">
        <v>20</v>
      </c>
      <c r="G5" s="2" t="str">
        <f>IF(F5=0,"-",IF(F5=1,SUM(F$1:F4)+1,SUM(F$1:F4)+1 &amp; "-" &amp; SUM(F$1:F5)))</f>
        <v>61-80</v>
      </c>
      <c r="H5" s="1" t="str">
        <f t="shared" si="0"/>
        <v>!import-table-item --Individual-CR-1/2-1 --[[1d6]] gp &amp; [[ 1t[Gems-1-25-gp] ]] &amp; [[ 1t[Magic-Item-Table-A] ]] --20</v>
      </c>
      <c r="I5" s="3" t="s">
        <v>407</v>
      </c>
      <c r="J5" s="2">
        <v>10</v>
      </c>
      <c r="K5" s="2" t="str">
        <f>IF(J5=0,"-",IF(J5=1,SUM(J$1:J4)+1,SUM(J$1:J4)+1 &amp; "-" &amp; SUM(J$1:J5)))</f>
        <v>41-50</v>
      </c>
      <c r="L5" s="1" t="str">
        <f t="shared" si="1"/>
        <v>!import-table-item --Individual-2-4 --[[4d6]] gp --10</v>
      </c>
      <c r="M5" s="3" t="s">
        <v>406</v>
      </c>
      <c r="N5" s="2">
        <v>10</v>
      </c>
      <c r="O5" s="2" t="str">
        <f>IF(N5=0,"-",IF(N5=1,SUM(N$1:N4)+1,SUM(N$1:N4)+1 &amp; "-" &amp; SUM(N$1:N5)))</f>
        <v>26-35</v>
      </c>
      <c r="P5" s="1" t="str">
        <f t="shared" si="2"/>
        <v>!import-table-item --Individual-5-7 --[[ 1t[Gems-3-125-gp] ]] &amp; [[ 1t[Magic-Item-Table-A] ]] --10</v>
      </c>
      <c r="Q5" s="3" t="s">
        <v>405</v>
      </c>
      <c r="R5" s="2">
        <v>10</v>
      </c>
      <c r="S5" s="2" t="str">
        <f>IF(R5=0,"-",IF(R5=1,SUM(R$1:R4)+1,SUM(R$1:R4)+1 &amp; "-" &amp; SUM(R$1:R5)))</f>
        <v>26-35</v>
      </c>
      <c r="T5" s="1" t="str">
        <f t="shared" si="3"/>
        <v>!import-table-item --Individual-8-10 --[[ 1t[Gems-4-500-gp] ]] &amp; [[ 1t[Magic-Item-Table-B] ]] --10</v>
      </c>
      <c r="U5" s="3" t="s">
        <v>399</v>
      </c>
      <c r="V5" s="2">
        <v>10</v>
      </c>
      <c r="W5" s="2" t="str">
        <f>IF(V5=0,"-",IF(V5=1,SUM(V$1:V4)+1,SUM(V$1:V4)+1 &amp; "-" &amp; SUM(V$1:V5)))</f>
        <v>26-35</v>
      </c>
      <c r="X5" s="1" t="str">
        <f t="shared" si="4"/>
        <v>!import-table-item --Individual-11-13 --[[ 1t[Gems-5-1250-gp] ]] &amp; [[ 1t[Magic-Item-Table-B] ]] --10</v>
      </c>
      <c r="Y5" s="3" t="s">
        <v>404</v>
      </c>
      <c r="Z5" s="2">
        <v>10</v>
      </c>
      <c r="AA5" s="2" t="str">
        <f>IF(Z5=0,"-",IF(Z5=1,SUM(Z$1:Z4)+1,SUM(Z$1:Z4)+1 &amp; "-" &amp; SUM(Z$1:Z5)))</f>
        <v>26-35</v>
      </c>
      <c r="AB5" s="1" t="str">
        <f t="shared" si="5"/>
        <v>!import-table-item --Individual-14-16 --[[ 1t[Gems-5-1250-gp] ]] &amp; [[ 1t[Magic-Item-Table-C] ]] --10</v>
      </c>
      <c r="AC5" s="3" t="s">
        <v>403</v>
      </c>
      <c r="AD5" s="2">
        <v>15</v>
      </c>
      <c r="AE5" s="2" t="str">
        <f>IF(AD5=0,"-",IF(AD5=1,SUM(AD$1:AD4)+1,SUM(AD$1:AD4)+1 &amp; "-" &amp; SUM(AD$1:AD5)))</f>
        <v>76-90</v>
      </c>
      <c r="AF5" s="1" t="str">
        <f>"!import-table-item --" &amp; AC$1 &amp; " --" &amp; AC5 &amp; " --" &amp; AD5</f>
        <v>!import-table-item --Individual-17-19 --[[ 1t[Gems-7-12500-gp] ]] &amp; [[ 1t[Magic-Item-Table-E] ]] &amp; [[ 1t[Magic-Item-Table-H] ]] --15</v>
      </c>
      <c r="AK5" s="3" t="s">
        <v>402</v>
      </c>
      <c r="AL5" s="2">
        <v>5</v>
      </c>
      <c r="AM5" s="2" t="str">
        <f>IF(AL5=0,"-",IF(AL5=1,SUM(AL$1:AL3)+1,SUM(AL$1:AL3)+1 &amp; "-" &amp; SUM(AL$1:AL5)))</f>
        <v>8-12</v>
      </c>
      <c r="AN5" s="1" t="str">
        <f>"!import-table-item --" &amp; AK$1 &amp; " --" &amp; AK5 &amp; " --" &amp; AL5</f>
        <v>!import-table-item --Individual Treasure: Challenge 11-16 --[[2d4*10]] pp --5</v>
      </c>
      <c r="AO5" s="3" t="s">
        <v>401</v>
      </c>
      <c r="AP5" s="2">
        <v>5</v>
      </c>
      <c r="AQ5" s="2" t="str">
        <f>IF(AP5=0,"-",IF(AP5=1,SUM(AP$1:AP3)+1,SUM(AP$1:AP3)+1 &amp; "-" &amp; SUM(AP$1:AP5)))</f>
        <v>8-12</v>
      </c>
      <c r="AR5" s="1" t="str">
        <f>"!import-table-item --" &amp; AO$1 &amp; " --" &amp; AO5 &amp; " --" &amp; AP5</f>
        <v>!import-table-item --Individual Treasure: Challenge 17+ --[[2d4*100]] pp --5</v>
      </c>
    </row>
    <row r="6" spans="1:44" x14ac:dyDescent="0.3">
      <c r="A6" s="3" t="s">
        <v>484</v>
      </c>
      <c r="B6" s="2">
        <v>10</v>
      </c>
      <c r="C6" s="2" t="str">
        <f>IF(B6=0,"-",IF(B6=1,SUM(B$1:B5)+1,SUM(B$1:B5)+1 &amp; "-" &amp; SUM(B$1:B6)))</f>
        <v>81-90</v>
      </c>
      <c r="D6" s="1" t="str">
        <f t="shared" si="6"/>
        <v>!import-table-item --Pocket-Treasure --[[1d6]] cp &amp; [[1d6]] sp &amp; [[ 2t[Magic-Item-Table-A] ]] --10</v>
      </c>
      <c r="E6" s="3" t="s">
        <v>489</v>
      </c>
      <c r="F6" s="2">
        <v>10</v>
      </c>
      <c r="G6" s="2" t="str">
        <f>IF(F6=0,"-",IF(F6=1,SUM(F$1:F5)+1,SUM(F$1:F5)+1 &amp; "-" &amp; SUM(F$1:F6)))</f>
        <v>81-90</v>
      </c>
      <c r="H6" s="1" t="str">
        <f t="shared" si="0"/>
        <v>!import-table-item --Individual-CR-1/2-1 --[[1d6]] gp  &amp; [[ 1t[Magic-Item-Table-B] ]] &amp; [[ 1t[Gems-1-25-gp] ]] --10</v>
      </c>
      <c r="I6" s="3" t="s">
        <v>458</v>
      </c>
      <c r="J6" s="2">
        <v>5</v>
      </c>
      <c r="K6" s="2" t="str">
        <f>IF(J6=0,"-",IF(J6=1,SUM(J$1:J5)+1,SUM(J$1:J5)+1 &amp; "-" &amp; SUM(J$1:J6)))</f>
        <v>51-55</v>
      </c>
      <c r="L6" s="1" t="str">
        <f t="shared" si="1"/>
        <v>!import-table-item --Individual-2-4 --[[ 3t[Gems-1-25-gp] ]] &amp; [[ 1t[Magic-Item-Table-A] ]] --5</v>
      </c>
      <c r="M6" s="3" t="s">
        <v>400</v>
      </c>
      <c r="N6" s="2">
        <v>10</v>
      </c>
      <c r="O6" s="2" t="str">
        <f>IF(N6=0,"-",IF(N6=1,SUM(N$1:N5)+1,SUM(N$1:N5)+1 &amp; "-" &amp; SUM(N$1:N6)))</f>
        <v>36-45</v>
      </c>
      <c r="P6" s="1" t="str">
        <f t="shared" si="2"/>
        <v>!import-table-item --Individual-5-7 --[[ 1t[Gems-4-500-gp] ]] &amp; [[ 1t[Magic-Item-Table-A] ]] --10</v>
      </c>
      <c r="Q6" s="3" t="s">
        <v>399</v>
      </c>
      <c r="R6" s="2">
        <v>10</v>
      </c>
      <c r="S6" s="2" t="str">
        <f>IF(R6=0,"-",IF(R6=1,SUM(R$1:R5)+1,SUM(R$1:R5)+1 &amp; "-" &amp; SUM(R$1:R6)))</f>
        <v>36-45</v>
      </c>
      <c r="T6" s="1" t="str">
        <f t="shared" si="3"/>
        <v>!import-table-item --Individual-8-10 --[[ 1t[Gems-5-1250-gp] ]] &amp; [[ 1t[Magic-Item-Table-B] ]] --10</v>
      </c>
      <c r="U6" s="3" t="s">
        <v>395</v>
      </c>
      <c r="V6" s="2">
        <v>10</v>
      </c>
      <c r="W6" s="2" t="str">
        <f>IF(V6=0,"-",IF(V6=1,SUM(V$1:V5)+1,SUM(V$1:V5)+1 &amp; "-" &amp; SUM(V$1:V6)))</f>
        <v>36-45</v>
      </c>
      <c r="X6" s="1" t="str">
        <f t="shared" si="4"/>
        <v>!import-table-item --Individual-11-13 --[[ 1t[Gems-6-5000-gp] ]] &amp; [[ 1t[Magic-Item-Table-B] ]] --10</v>
      </c>
      <c r="Y6" s="3" t="s">
        <v>398</v>
      </c>
      <c r="Z6" s="2">
        <v>10</v>
      </c>
      <c r="AA6" s="2" t="str">
        <f>IF(Z6=0,"-",IF(Z6=1,SUM(Z$1:Z5)+1,SUM(Z$1:Z5)+1 &amp; "-" &amp; SUM(Z$1:Z6)))</f>
        <v>36-45</v>
      </c>
      <c r="AB6" s="1" t="str">
        <f t="shared" si="5"/>
        <v>!import-table-item --Individual-14-16 --[[ 1t[Gems-6-5000-gp] ]] &amp; [[ 1t[Magic-Item-Table-C] ]] --10</v>
      </c>
      <c r="AC6" s="3" t="s">
        <v>397</v>
      </c>
      <c r="AD6" s="2">
        <v>10</v>
      </c>
      <c r="AE6" s="2" t="str">
        <f>IF(AD6=0,"-",IF(AD6=1,SUM(AD$1:AD5)+1,SUM(AD$1:AD5)+1 &amp; "-" &amp; SUM(AD$1:AD6)))</f>
        <v>91-100</v>
      </c>
      <c r="AF6" s="1" t="str">
        <f>"!import-table-item --" &amp; AC$1 &amp; " --" &amp; AC6 &amp; " --" &amp; AD6</f>
        <v>!import-table-item --Individual-17-19 --[[ 1t[Gems-8-50000-gp] ]] &amp; [[ 1t[Magic-Item-Table-E] ]] &amp; [[ 1t[Magic-Item-Table-I] ]] --10</v>
      </c>
    </row>
    <row r="7" spans="1:44" x14ac:dyDescent="0.3">
      <c r="A7" s="3" t="s">
        <v>482</v>
      </c>
      <c r="B7" s="2">
        <v>9</v>
      </c>
      <c r="C7" s="2" t="str">
        <f>IF(B7=0,"-",IF(B7=1,SUM(B$1:B6)+1,SUM(B$1:B6)+1 &amp; "-" &amp; SUM(B$1:B7)))</f>
        <v>91-99</v>
      </c>
      <c r="D7" s="1" t="str">
        <f t="shared" si="6"/>
        <v>!import-table-item --Pocket-Treasure --[[2d6]] cp &amp; [[2d6]] sp &amp; [[ 1t[Magic-Item-Table-B] ]] --9</v>
      </c>
      <c r="E7" s="3" t="s">
        <v>488</v>
      </c>
      <c r="F7" s="2">
        <v>9</v>
      </c>
      <c r="G7" s="2" t="str">
        <f>IF(F7=0,"-",IF(F7=1,SUM(F$1:F6)+1,SUM(F$1:F6)+1 &amp; "-" &amp; SUM(F$1:F7)))</f>
        <v>91-99</v>
      </c>
      <c r="H7" s="1" t="str">
        <f t="shared" si="0"/>
        <v>!import-table-item --Individual-CR-1/2-1 --[[1d6]] gp  &amp; [[ 1t[Gems-1-25-gp] ]] &amp; [[ 1t[Magic-Item-Table-A] ]] --9</v>
      </c>
      <c r="I7" s="3" t="s">
        <v>459</v>
      </c>
      <c r="J7" s="2">
        <v>5</v>
      </c>
      <c r="K7" s="2" t="str">
        <f>IF(J7=0,"-",IF(J7=1,SUM(J$1:J6)+1,SUM(J$1:J6)+1 &amp; "-" &amp; SUM(J$1:J7)))</f>
        <v>56-60</v>
      </c>
      <c r="L7" s="1" t="str">
        <f t="shared" si="1"/>
        <v>!import-table-item --Individual-2-4 --[[ 2t[Gems-2-50-gp] ]] &amp; [[ 1t[Magic-Item-Table-A] ]] --5</v>
      </c>
      <c r="M7" s="3" t="s">
        <v>396</v>
      </c>
      <c r="N7" s="2">
        <v>5</v>
      </c>
      <c r="O7" s="2" t="str">
        <f>IF(N7=0,"-",IF(N7=1,SUM(N$1:N6)+1,SUM(N$1:N6)+1 &amp; "-" &amp; SUM(N$1:N7)))</f>
        <v>46-50</v>
      </c>
      <c r="P7" s="1" t="str">
        <f t="shared" si="2"/>
        <v>!import-table-item --Individual-5-7 --[[ 1t[Gems-5-1250-gp] ]] &amp; [[ 1t[Magic-Item-Table-A] ]] --5</v>
      </c>
      <c r="Q7" s="3" t="s">
        <v>395</v>
      </c>
      <c r="R7" s="2">
        <v>5</v>
      </c>
      <c r="S7" s="2" t="str">
        <f>IF(R7=0,"-",IF(R7=1,SUM(R$1:R6)+1,SUM(R$1:R6)+1 &amp; "-" &amp; SUM(R$1:R7)))</f>
        <v>46-50</v>
      </c>
      <c r="T7" s="1" t="str">
        <f t="shared" si="3"/>
        <v>!import-table-item --Individual-8-10 --[[ 1t[Gems-6-5000-gp] ]] &amp; [[ 1t[Magic-Item-Table-B] ]] --5</v>
      </c>
      <c r="U7" s="3" t="s">
        <v>394</v>
      </c>
      <c r="V7" s="2">
        <v>5</v>
      </c>
      <c r="W7" s="2" t="str">
        <f>IF(V7=0,"-",IF(V7=1,SUM(V$1:V6)+1,SUM(V$1:V6)+1 &amp; "-" &amp; SUM(V$1:V7)))</f>
        <v>46-50</v>
      </c>
      <c r="X7" s="1" t="str">
        <f t="shared" si="4"/>
        <v>!import-table-item --Individual-11-13 --[[ 1t[Gems-7-12500-gp] ]] &amp; [[ 1t[Magic-Item-Table-B] ]] --5</v>
      </c>
      <c r="Y7" s="3" t="s">
        <v>393</v>
      </c>
      <c r="Z7" s="2">
        <v>5</v>
      </c>
      <c r="AA7" s="2" t="str">
        <f>IF(Z7=0,"-",IF(Z7=1,SUM(Z$1:Z6)+1,SUM(Z$1:Z6)+1 &amp; "-" &amp; SUM(Z$1:Z7)))</f>
        <v>46-50</v>
      </c>
      <c r="AB7" s="1" t="str">
        <f t="shared" si="5"/>
        <v>!import-table-item --Individual-14-16 --[[ 1t[Gems-7-12500-gp] ]] &amp; [[ 1t[Magic-Item-Table-C] ]] --5</v>
      </c>
    </row>
    <row r="8" spans="1:44" x14ac:dyDescent="0.3">
      <c r="A8" s="3" t="s">
        <v>486</v>
      </c>
      <c r="B8" s="2">
        <v>1</v>
      </c>
      <c r="C8" s="2">
        <f>IF(B8=0,"-",IF(B8=1,SUM(B$1:B7)+1,SUM(B$1:B7)+1 &amp; "-" &amp; SUM(B$1:B8)))</f>
        <v>100</v>
      </c>
      <c r="D8" s="1" t="str">
        <f t="shared" si="6"/>
        <v>!import-table-item --Pocket-Treasure --[[2d6]] cp &amp; [[2d6]] sp &amp; [[ 1t[Magic-Item-Table-C] ]] --1</v>
      </c>
      <c r="E8" s="3" t="s">
        <v>490</v>
      </c>
      <c r="F8" s="2">
        <v>1</v>
      </c>
      <c r="G8" s="2">
        <f>IF(F8=0,"-",IF(F8=1,SUM(F$1:F7)+1,SUM(F$1:F7)+1 &amp; "-" &amp; SUM(F$1:F8)))</f>
        <v>100</v>
      </c>
      <c r="H8" s="1" t="str">
        <f t="shared" si="0"/>
        <v>!import-table-item --Individual-CR-1/2-1 --[[1d4]] gp &amp; [[ 1t[Magic-Item-Table-F] ]] --1</v>
      </c>
      <c r="I8" s="3" t="s">
        <v>406</v>
      </c>
      <c r="J8" s="2">
        <v>5</v>
      </c>
      <c r="K8" s="2" t="str">
        <f>IF(J8=0,"-",IF(J8=1,SUM(J$1:J7)+1,SUM(J$1:J7)+1 &amp; "-" &amp; SUM(J$1:J8)))</f>
        <v>61-65</v>
      </c>
      <c r="L8" s="1" t="str">
        <f t="shared" si="1"/>
        <v>!import-table-item --Individual-2-4 --[[ 1t[Gems-3-125-gp] ]] &amp; [[ 1t[Magic-Item-Table-A] ]] --5</v>
      </c>
      <c r="M8" s="3" t="s">
        <v>462</v>
      </c>
      <c r="N8" s="2">
        <v>25</v>
      </c>
      <c r="O8" s="2" t="str">
        <f>IF(N8=0,"-",IF(N8=1,SUM(N$1:N7)+1,SUM(N$1:N7)+1 &amp; "-" &amp; SUM(N$1:N8)))</f>
        <v>51-75</v>
      </c>
      <c r="P8" s="1" t="str">
        <f t="shared" si="2"/>
        <v>!import-table-item --Individual-5-7 --[[2d4]] pp &amp; [[ 1t[Magic-Item-Table-A] ]] &amp; [[ 1t[Magic-Item-Table-B] ]]  --25</v>
      </c>
      <c r="Q8" s="3" t="s">
        <v>392</v>
      </c>
      <c r="R8" s="2">
        <v>25</v>
      </c>
      <c r="S8" s="2" t="str">
        <f>IF(R8=0,"-",IF(R8=1,SUM(R$1:R7)+1,SUM(R$1:R7)+1 &amp; "-" &amp; SUM(R$1:R8)))</f>
        <v>51-75</v>
      </c>
      <c r="T8" s="1" t="str">
        <f t="shared" si="3"/>
        <v>!import-table-item --Individual-8-10 --[[4d4]] pp &amp; [[ 1t[Magic-Item-Table-C] ]] &amp; [[ 1t[Magic-Item-Table-F] ]] --25</v>
      </c>
      <c r="U8" s="3" t="s">
        <v>391</v>
      </c>
      <c r="V8" s="2">
        <v>25</v>
      </c>
      <c r="W8" s="2" t="str">
        <f>IF(V8=0,"-",IF(V8=1,SUM(V$1:V7)+1,SUM(V$1:V7)+1 &amp; "-" &amp; SUM(V$1:V8)))</f>
        <v>51-75</v>
      </c>
      <c r="X8" s="1" t="str">
        <f t="shared" si="4"/>
        <v>!import-table-item --Individual-11-13 --[[ 1t[Gems-4-500-gp] ]] &amp; [[ 1t[Magic-Item-Table-C] ]]  --25</v>
      </c>
      <c r="Y8" s="3" t="s">
        <v>390</v>
      </c>
      <c r="Z8" s="2">
        <v>25</v>
      </c>
      <c r="AA8" s="2" t="str">
        <f>IF(Z8=0,"-",IF(Z8=1,SUM(Z$1:Z7)+1,SUM(Z$1:Z7)+1 &amp; "-" &amp; SUM(Z$1:Z8)))</f>
        <v>51-75</v>
      </c>
      <c r="AB8" s="1" t="str">
        <f t="shared" si="5"/>
        <v>!import-table-item --Individual-14-16 --[[ 1t[Gems-4-500-gp] ]] &amp; [[ 1t[Magic-Item-Table-D] ]] &amp; [[ 1t[Magic-Item-Table-G] ]] --25</v>
      </c>
    </row>
    <row r="9" spans="1:44" x14ac:dyDescent="0.3">
      <c r="I9" s="3" t="s">
        <v>460</v>
      </c>
      <c r="J9" s="2">
        <v>25</v>
      </c>
      <c r="K9" s="2" t="str">
        <f>IF(J9=0,"-",IF(J9=1,SUM(J$1:J8)+1,SUM(J$1:J8)+1 &amp; "-" &amp; SUM(J$1:J9)))</f>
        <v>66-90</v>
      </c>
      <c r="L9" s="1" t="str">
        <f t="shared" si="1"/>
        <v>!import-table-item --Individual-2-4 --[[2d4]] gp &amp; [[ 1t[Magic-Item-Table-A] ]] &amp; [[ 1t[Magic-Item-Table-B] ]] --25</v>
      </c>
      <c r="M9" s="3" t="s">
        <v>463</v>
      </c>
      <c r="N9" s="2">
        <v>15</v>
      </c>
      <c r="O9" s="2" t="str">
        <f>IF(N9=0,"-",IF(N9=1,SUM(N$1:N8)+1,SUM(N$1:N8)+1 &amp; "-" &amp; SUM(N$1:N9)))</f>
        <v>76-90</v>
      </c>
      <c r="P9" s="1" t="str">
        <f t="shared" si="2"/>
        <v>!import-table-item --Individual-5-7 --[[2d4]] pp &amp; [[ 1t[Magic-Item-Table-A] ]] &amp; [[ 1t[Magic-Item-Table-B] ]] &amp; [[ 1t[Magic-Item-Table-F] ]] --15</v>
      </c>
      <c r="Q9" s="3" t="s">
        <v>389</v>
      </c>
      <c r="R9" s="2">
        <v>20</v>
      </c>
      <c r="S9" s="2" t="str">
        <f>IF(R9=0,"-",IF(R9=1,SUM(R$1:R8)+1,SUM(R$1:R8)+1 &amp; "-" &amp; SUM(R$1:R9)))</f>
        <v>76-95</v>
      </c>
      <c r="T9" s="1" t="str">
        <f t="shared" si="3"/>
        <v>!import-table-item --Individual-8-10 --[[4d4]] pp &amp; [[ 1t[Magic-Item-Table-C] ]] &amp; [[ 1t[Magic-Item-Table-G] ]] --20</v>
      </c>
      <c r="U9" s="3" t="s">
        <v>388</v>
      </c>
      <c r="V9" s="2">
        <v>15</v>
      </c>
      <c r="W9" s="2" t="str">
        <f>IF(V9=0,"-",IF(V9=1,SUM(V$1:V8)+1,SUM(V$1:V8)+1 &amp; "-" &amp; SUM(V$1:V9)))</f>
        <v>76-90</v>
      </c>
      <c r="X9" s="1" t="str">
        <f t="shared" si="4"/>
        <v>!import-table-item --Individual-11-13 --[[ 1t[Gems-4-500-gp] ]] pp &amp; [[ 1t[Magic-Item-Table-C] ]] &amp; [[ 1t[Magic-Item-Table-G] ]] --15</v>
      </c>
      <c r="Y9" s="3" t="s">
        <v>387</v>
      </c>
      <c r="Z9" s="2">
        <v>20</v>
      </c>
      <c r="AA9" s="2" t="str">
        <f>IF(Z9=0,"-",IF(Z9=1,SUM(Z$1:Z8)+1,SUM(Z$1:Z8)+1 &amp; "-" &amp; SUM(Z$1:Z9)))</f>
        <v>76-95</v>
      </c>
      <c r="AB9" s="1" t="str">
        <f t="shared" si="5"/>
        <v>!import-table-item --Individual-14-16 --[[ 1t[Gems-5-1250-gp] ]] &amp; [[ 1t[Magic-Item-Table-D] ]] &amp; [[ 1t[Magic-Item-Table-H] ]] --20</v>
      </c>
      <c r="AK9" s="3" t="s">
        <v>386</v>
      </c>
      <c r="AL9" s="2">
        <v>5</v>
      </c>
      <c r="AM9" s="2" t="str">
        <f>IF(AL9=0,"-",IF(AL9=1,SUM(AL$1:AL5)+1,SUM(AL$1:AL5)+1 &amp; "-" &amp; SUM(AL$1:AL9)))</f>
        <v>13-17</v>
      </c>
      <c r="AN9" s="1" t="str">
        <f>"!import-table-item --" &amp; AK$1 &amp; " --" &amp; AK9 &amp; " --" &amp; AL9</f>
        <v>!import-table-item --Individual Treasure: Challenge 11-16 --[[2d6*10]] pp [[ 1t[Magic-Item-Table-C] ]] --5</v>
      </c>
      <c r="AO9" s="3" t="s">
        <v>385</v>
      </c>
      <c r="AP9" s="2">
        <v>5</v>
      </c>
      <c r="AQ9" s="2" t="str">
        <f>IF(AP9=0,"-",IF(AP9=1,SUM(AP$1:AP5)+1,SUM(AP$1:AP5)+1 &amp; "-" &amp; SUM(AP$1:AP9)))</f>
        <v>13-17</v>
      </c>
      <c r="AR9" s="1" t="str">
        <f>"!import-table-item --" &amp; AO$1 &amp; " --" &amp; AO9 &amp; " --" &amp; AP9</f>
        <v>!import-table-item --Individual Treasure: Challenge 17+ --[[2d6*100]] pp [[ 1t[Magic-Item-Table-D] ]] --5</v>
      </c>
    </row>
    <row r="10" spans="1:44" x14ac:dyDescent="0.3">
      <c r="I10" s="3" t="s">
        <v>457</v>
      </c>
      <c r="J10" s="2">
        <v>9</v>
      </c>
      <c r="K10" s="2" t="str">
        <f>IF(J10=0,"-",IF(J10=1,SUM(J$1:J9)+1,SUM(J$1:J9)+1 &amp; "-" &amp; SUM(J$1:J10)))</f>
        <v>91-99</v>
      </c>
      <c r="L10" s="1" t="str">
        <f t="shared" si="1"/>
        <v>!import-table-item --Individual-2-4 --[[2d4]] gp &amp; [[ 1t[Magic-Item-Table-A] ]] &amp; [[ 1t[Magic-Item-Table-F] ]] --9</v>
      </c>
      <c r="M10" s="3" t="s">
        <v>464</v>
      </c>
      <c r="N10" s="2">
        <v>9</v>
      </c>
      <c r="O10" s="2" t="str">
        <f>IF(N10=0,"-",IF(N10=1,SUM(N$1:N9)+1,SUM(N$1:N9)+1 &amp; "-" &amp; SUM(N$1:N10)))</f>
        <v>91-99</v>
      </c>
      <c r="P10" s="1" t="str">
        <f t="shared" si="2"/>
        <v>!import-table-item --Individual-5-7 --[[2d4]] pp &amp; [[ 1t[Magic-Item-Table-A] ]] &amp; [[ 1t[Magic-Item-Table-C] ]] &amp; [[ 1t[Magic-Item-Table-F] ]] --9</v>
      </c>
      <c r="Q10" s="3" t="s">
        <v>384</v>
      </c>
      <c r="R10" s="2">
        <v>5</v>
      </c>
      <c r="S10" s="2" t="str">
        <f>IF(R10=0,"-",IF(R10=1,SUM(R$1:R9)+1,SUM(R$1:R9)+1 &amp; "-" &amp; SUM(R$1:R10)))</f>
        <v>96-100</v>
      </c>
      <c r="T10" s="1" t="str">
        <f t="shared" si="3"/>
        <v>!import-table-item --Individual-8-10 --[[4d4]] pp &amp; [[ 1t[Magic-Item-Table-C] ]] &amp; [[ 1t[Magic-Item-Table-H] ]] --5</v>
      </c>
      <c r="U10" s="3" t="s">
        <v>383</v>
      </c>
      <c r="V10" s="2">
        <v>9</v>
      </c>
      <c r="W10" s="2" t="str">
        <f>IF(V10=0,"-",IF(V10=1,SUM(V$1:V9)+1,SUM(V$1:V9)+1 &amp; "-" &amp; SUM(V$1:V10)))</f>
        <v>91-99</v>
      </c>
      <c r="X10" s="1" t="str">
        <f t="shared" si="4"/>
        <v>!import-table-item --Individual-11-13 --[[ 1t[Gems-5-1250-gp] ]] &amp; [[ 1t[Magic-Item-Table-D] ]] &amp; [[ 1t[Magic-Item-Table-G] ]] --9</v>
      </c>
      <c r="Y10" s="3" t="s">
        <v>380</v>
      </c>
      <c r="Z10" s="2">
        <v>5</v>
      </c>
      <c r="AA10" s="2" t="str">
        <f>IF(Z10=0,"-",IF(Z10=1,SUM(Z$1:Z9)+1,SUM(Z$1:Z9)+1 &amp; "-" &amp; SUM(Z$1:Z10)))</f>
        <v>96-100</v>
      </c>
      <c r="AB10" s="1" t="str">
        <f t="shared" si="5"/>
        <v>!import-table-item --Individual-14-16 --[[ 1t[Gems-6-5000-gp] ]] &amp; [[ 1t[Magic-Item-Table-D] ]] &amp; [[ 1t[Magic-Item-Table-I] ]] --5</v>
      </c>
      <c r="AK10" s="3" t="s">
        <v>382</v>
      </c>
      <c r="AL10" s="2">
        <v>2</v>
      </c>
      <c r="AM10" s="2" t="str">
        <f>IF(AL10=0,"-",IF(AL10=1,SUM(AL$1:AL9)+1,SUM(AL$1:AL9)+1 &amp; "-" &amp; SUM(AL$1:AL10)))</f>
        <v>18-19</v>
      </c>
      <c r="AN10" s="1" t="str">
        <f>"!import-table-item --" &amp; AK$1 &amp; " --" &amp; AK10 &amp; " --" &amp; AL10</f>
        <v>!import-table-item --Individual Treasure: Challenge 11-16 --[[4d6*10]] pp [[ 1t[Magic-Item-Table-D] ]] --2</v>
      </c>
      <c r="AO10" s="3" t="s">
        <v>381</v>
      </c>
      <c r="AP10" s="2">
        <v>2</v>
      </c>
      <c r="AQ10" s="2" t="str">
        <f>IF(AP10=0,"-",IF(AP10=1,SUM(AP$1:AP9)+1,SUM(AP$1:AP9)+1 &amp; "-" &amp; SUM(AP$1:AP10)))</f>
        <v>18-19</v>
      </c>
      <c r="AR10" s="1" t="str">
        <f>"!import-table-item --" &amp; AO$1 &amp; " --" &amp; AO10 &amp; " --" &amp; AP10</f>
        <v>!import-table-item --Individual Treasure: Challenge 17+ --[[4d6*100]] pp [[ 1t[Magic-Item-Table-E] ]] --2</v>
      </c>
    </row>
    <row r="11" spans="1:44" x14ac:dyDescent="0.3">
      <c r="I11" s="3" t="s">
        <v>461</v>
      </c>
      <c r="J11" s="2">
        <v>1</v>
      </c>
      <c r="K11" s="2">
        <f>IF(J11=0,"-",IF(J11=1,SUM(J$1:J10)+1,SUM(J$1:J10)+1 &amp; "-" &amp; SUM(J$1:J11)))</f>
        <v>100</v>
      </c>
      <c r="L11" s="1" t="str">
        <f t="shared" si="1"/>
        <v>!import-table-item --Individual-2-4 --[[2d4]] gp &amp; [[ 1t[Magic-Item-Table-A] ]] &amp; [[ 1t[Magic-Item-Table-B] ]] &amp; [[ 1t[Magic-Item-Table-F] ]] --1</v>
      </c>
      <c r="M11" s="3" t="s">
        <v>465</v>
      </c>
      <c r="N11" s="2">
        <v>1</v>
      </c>
      <c r="O11" s="2">
        <f>IF(N11=0,"-",IF(N11=1,SUM(N$1:N10)+1,SUM(N$1:N10)+1 &amp; "-" &amp; SUM(N$1:N11)))</f>
        <v>100</v>
      </c>
      <c r="P11" s="1" t="str">
        <f t="shared" si="2"/>
        <v>!import-table-item --Individual-5-7 --[[2d4]] pp &amp; [[ 1t[Magic-Item-Table-A] ]] &amp; [[ 1t[Magic-Item-Table-C] ]] &amp; [[ 1t[Magic-Item-Table-G] ]] --1</v>
      </c>
      <c r="U11" s="3" t="s">
        <v>380</v>
      </c>
      <c r="V11" s="2">
        <v>1</v>
      </c>
      <c r="W11" s="2">
        <f>IF(V11=0,"-",IF(V11=1,SUM(V$1:V10)+1,SUM(V$1:V10)+1 &amp; "-" &amp; SUM(V$1:V11)))</f>
        <v>100</v>
      </c>
      <c r="X11" s="1" t="str">
        <f t="shared" si="4"/>
        <v>!import-table-item --Individual-11-13 --[[ 1t[Gems-6-5000-gp] ]] &amp; [[ 1t[Magic-Item-Table-D] ]] &amp; [[ 1t[Magic-Item-Table-I] ]] --1</v>
      </c>
      <c r="AK11" s="3" t="s">
        <v>379</v>
      </c>
      <c r="AL11" s="2">
        <v>1</v>
      </c>
      <c r="AM11" s="2">
        <f>IF(AL11=0,"-",IF(AL11=1,SUM(AL$1:AL10)+1,SUM(AL$1:AL10)+1 &amp; "-" &amp; SUM(AL$1:AL11)))</f>
        <v>20</v>
      </c>
      <c r="AN11" s="1" t="str">
        <f>"!import-table-item --" &amp; AK$1 &amp; " --" &amp; AK11 &amp; " --" &amp; AL11</f>
        <v>!import-table-item --Individual Treasure: Challenge 11-16 --[[8d6*10]] pp &amp; [[ 1t[Magic-Item-Table-H] ]] --1</v>
      </c>
      <c r="AO11" s="3" t="s">
        <v>378</v>
      </c>
      <c r="AP11" s="2">
        <v>1</v>
      </c>
      <c r="AQ11" s="2">
        <f>IF(AP11=0,"-",IF(AP11=1,SUM(AP$1:AP10)+1,SUM(AP$1:AP10)+1 &amp; "-" &amp; SUM(AP$1:AP11)))</f>
        <v>20</v>
      </c>
      <c r="AR11" s="1" t="str">
        <f>"!import-table-item --" &amp; AO$1 &amp; " --" &amp; AO11 &amp; " --" &amp; AP11</f>
        <v>!import-table-item --Individual Treasure: Challenge 17+ --[[8d6*100]] pp &amp; [[ 1t[Magic-Item-Table-I] ]] --1</v>
      </c>
    </row>
    <row r="23" spans="1:44" s="2" customFormat="1" x14ac:dyDescent="0.3">
      <c r="A23" s="3"/>
      <c r="D23" s="1"/>
      <c r="E23" s="3"/>
      <c r="H23" s="1"/>
      <c r="I23" s="3"/>
      <c r="L23" s="1"/>
      <c r="M23" s="3"/>
      <c r="P23" s="1"/>
      <c r="Q23" s="3"/>
      <c r="T23" s="1"/>
      <c r="U23" s="3"/>
      <c r="X23" s="1"/>
      <c r="Y23" s="3"/>
      <c r="AB23" s="1"/>
      <c r="AC23" s="3"/>
      <c r="AF23" s="1"/>
      <c r="AG23" s="3"/>
      <c r="AJ23" s="1"/>
      <c r="AK23" s="3"/>
      <c r="AN23" s="1"/>
      <c r="AO23" s="3"/>
      <c r="AR23" s="1"/>
    </row>
    <row r="24" spans="1:44" s="2" customFormat="1" x14ac:dyDescent="0.3">
      <c r="A24" s="3"/>
      <c r="D24" s="1"/>
      <c r="E24" s="3"/>
      <c r="H24" s="1"/>
      <c r="I24" s="3"/>
      <c r="L24" s="1"/>
      <c r="M24" s="3"/>
      <c r="P24" s="1"/>
      <c r="Q24" s="3"/>
      <c r="T24" s="1"/>
      <c r="U24" s="3"/>
      <c r="X24" s="1"/>
      <c r="Y24" s="3"/>
      <c r="AB24" s="1"/>
      <c r="AC24" s="3"/>
      <c r="AF24" s="1"/>
      <c r="AG24" s="3"/>
      <c r="AJ24" s="1"/>
      <c r="AN24" s="1"/>
      <c r="AO24" s="3"/>
      <c r="AR24" s="1"/>
    </row>
    <row r="25" spans="1:44" s="2" customFormat="1" x14ac:dyDescent="0.3">
      <c r="A25" s="3"/>
      <c r="D25" s="1"/>
      <c r="E25" s="3"/>
      <c r="H25" s="1"/>
      <c r="I25" s="3"/>
      <c r="L25" s="1"/>
      <c r="M25" s="3"/>
      <c r="P25" s="1"/>
      <c r="Q25" s="3"/>
      <c r="T25" s="1"/>
      <c r="U25" s="3"/>
      <c r="X25" s="1"/>
      <c r="Y25" s="3"/>
      <c r="AB25" s="1"/>
      <c r="AC25" s="3"/>
      <c r="AF25" s="1"/>
      <c r="AG25" s="3"/>
      <c r="AJ25" s="1"/>
      <c r="AN25" s="1"/>
      <c r="AO25" s="3"/>
      <c r="AR25" s="1"/>
    </row>
    <row r="26" spans="1:44" s="2" customFormat="1" x14ac:dyDescent="0.3">
      <c r="A26" s="3"/>
      <c r="D26" s="1"/>
      <c r="E26" s="3"/>
      <c r="H26" s="1"/>
      <c r="I26" s="3"/>
      <c r="L26" s="1"/>
      <c r="M26" s="3"/>
      <c r="P26" s="1"/>
      <c r="Q26" s="3"/>
      <c r="T26" s="1"/>
      <c r="U26" s="3"/>
      <c r="X26" s="1"/>
      <c r="Y26" s="3"/>
      <c r="AB26" s="1"/>
      <c r="AC26" s="3"/>
      <c r="AF26" s="1"/>
      <c r="AG26" s="3"/>
      <c r="AJ26" s="1"/>
      <c r="AN26" s="1"/>
      <c r="AO26" s="3"/>
      <c r="AR26" s="1"/>
    </row>
    <row r="27" spans="1:44" s="2" customFormat="1" x14ac:dyDescent="0.3">
      <c r="A27" s="3"/>
      <c r="D27" s="1"/>
      <c r="E27" s="3"/>
      <c r="H27" s="1"/>
      <c r="I27" s="3"/>
      <c r="L27" s="1"/>
      <c r="M27" s="3"/>
      <c r="P27" s="1"/>
      <c r="Q27" s="3"/>
      <c r="T27" s="1"/>
      <c r="U27" s="3"/>
      <c r="X27" s="1"/>
      <c r="Y27" s="3"/>
      <c r="AB27" s="1"/>
      <c r="AC27" s="3"/>
      <c r="AF27" s="1"/>
      <c r="AG27" s="3"/>
      <c r="AJ27" s="1"/>
      <c r="AN27" s="1"/>
      <c r="AO27" s="3"/>
      <c r="AR27" s="1"/>
    </row>
    <row r="28" spans="1:44" s="2" customFormat="1" x14ac:dyDescent="0.3">
      <c r="A28" s="3"/>
      <c r="D28" s="1"/>
      <c r="E28" s="3"/>
      <c r="H28" s="1"/>
      <c r="I28" s="3"/>
      <c r="L28" s="1"/>
      <c r="M28" s="3"/>
      <c r="P28" s="1"/>
      <c r="Q28" s="3"/>
      <c r="T28" s="1"/>
      <c r="U28" s="3"/>
      <c r="X28" s="1"/>
      <c r="Y28" s="3"/>
      <c r="AB28" s="1"/>
      <c r="AC28" s="3"/>
      <c r="AF28" s="1"/>
      <c r="AG28" s="3"/>
      <c r="AJ28" s="1"/>
      <c r="AN28" s="1"/>
      <c r="AO28" s="3"/>
      <c r="AR28" s="1"/>
    </row>
    <row r="29" spans="1:44" s="2" customFormat="1" x14ac:dyDescent="0.3">
      <c r="A29" s="3"/>
      <c r="D29" s="1"/>
      <c r="E29" s="3"/>
      <c r="H29" s="1"/>
      <c r="I29" s="3"/>
      <c r="L29" s="1"/>
      <c r="M29" s="3"/>
      <c r="P29" s="1"/>
      <c r="Q29" s="3"/>
      <c r="T29" s="1"/>
      <c r="U29" s="3"/>
      <c r="X29" s="1"/>
      <c r="Y29" s="3"/>
      <c r="AB29" s="1"/>
      <c r="AC29" s="3"/>
      <c r="AF29" s="1"/>
      <c r="AG29" s="3"/>
      <c r="AJ29" s="1"/>
      <c r="AN29" s="1"/>
      <c r="AO29" s="3"/>
      <c r="AR29" s="1"/>
    </row>
    <row r="30" spans="1:44" s="2" customFormat="1" x14ac:dyDescent="0.3">
      <c r="A30" s="3"/>
      <c r="D30" s="1"/>
      <c r="E30" s="3"/>
      <c r="H30" s="1"/>
      <c r="I30" s="3"/>
      <c r="L30" s="1"/>
      <c r="M30" s="3"/>
      <c r="P30" s="1"/>
      <c r="Q30" s="3"/>
      <c r="T30" s="1"/>
      <c r="U30" s="3"/>
      <c r="X30" s="1"/>
      <c r="Y30" s="3"/>
      <c r="AB30" s="1"/>
      <c r="AC30" s="3"/>
      <c r="AF30" s="1"/>
      <c r="AG30" s="3"/>
      <c r="AJ30" s="1"/>
      <c r="AN30" s="1"/>
      <c r="AO30" s="3"/>
      <c r="AR30" s="1"/>
    </row>
    <row r="31" spans="1:44" s="2" customFormat="1" x14ac:dyDescent="0.3">
      <c r="A31" s="3"/>
      <c r="D31" s="1"/>
      <c r="E31" s="3"/>
      <c r="H31" s="1"/>
      <c r="I31" s="3"/>
      <c r="L31" s="1"/>
      <c r="M31" s="3"/>
      <c r="P31" s="1"/>
      <c r="Q31" s="3"/>
      <c r="T31" s="1"/>
      <c r="U31" s="3"/>
      <c r="X31" s="1"/>
      <c r="Y31" s="3"/>
      <c r="AB31" s="1"/>
      <c r="AC31" s="3"/>
      <c r="AF31" s="1"/>
      <c r="AG31" s="3"/>
      <c r="AJ31" s="1"/>
      <c r="AN31" s="1"/>
      <c r="AO31" s="3"/>
      <c r="AR31" s="1"/>
    </row>
    <row r="32" spans="1:44" s="2" customFormat="1" x14ac:dyDescent="0.3">
      <c r="A32" s="3"/>
      <c r="D32" s="1"/>
      <c r="E32" s="3"/>
      <c r="H32" s="1"/>
      <c r="I32" s="3"/>
      <c r="L32" s="1"/>
      <c r="M32" s="3"/>
      <c r="P32" s="1"/>
      <c r="Q32" s="3"/>
      <c r="T32" s="1"/>
      <c r="U32" s="3"/>
      <c r="X32" s="1"/>
      <c r="Y32" s="3"/>
      <c r="AB32" s="1"/>
      <c r="AC32" s="3"/>
      <c r="AF32" s="1"/>
      <c r="AG32" s="3"/>
      <c r="AJ32" s="1"/>
      <c r="AN32" s="1"/>
      <c r="AO32" s="3"/>
      <c r="AR32" s="1"/>
    </row>
    <row r="33" spans="1:44" s="2" customFormat="1" x14ac:dyDescent="0.3">
      <c r="A33" s="3"/>
      <c r="D33" s="1"/>
      <c r="E33" s="3"/>
      <c r="H33" s="1"/>
      <c r="I33" s="3"/>
      <c r="L33" s="1"/>
      <c r="M33" s="3"/>
      <c r="P33" s="1"/>
      <c r="Q33" s="3"/>
      <c r="T33" s="1"/>
      <c r="U33" s="3"/>
      <c r="X33" s="1"/>
      <c r="Y33" s="3"/>
      <c r="AB33" s="1"/>
      <c r="AC33" s="3"/>
      <c r="AF33" s="1"/>
      <c r="AG33" s="3"/>
      <c r="AJ33" s="1"/>
      <c r="AN33" s="1"/>
      <c r="AO33" s="3"/>
      <c r="AR33" s="1"/>
    </row>
    <row r="34" spans="1:44" s="2" customFormat="1" x14ac:dyDescent="0.3">
      <c r="A34" s="3"/>
      <c r="D34" s="1"/>
      <c r="E34" s="3"/>
      <c r="H34" s="1"/>
      <c r="I34" s="3"/>
      <c r="L34" s="1"/>
      <c r="M34" s="3"/>
      <c r="P34" s="1"/>
      <c r="Q34" s="3"/>
      <c r="T34" s="1"/>
      <c r="U34" s="3"/>
      <c r="X34" s="1"/>
      <c r="Y34" s="3"/>
      <c r="AB34" s="1"/>
      <c r="AC34" s="3"/>
      <c r="AF34" s="1"/>
      <c r="AG34" s="3"/>
      <c r="AJ34" s="1"/>
      <c r="AN34" s="1"/>
      <c r="AO34" s="3"/>
      <c r="AR34" s="1"/>
    </row>
    <row r="35" spans="1:44" s="2" customFormat="1" x14ac:dyDescent="0.3">
      <c r="A35" s="3"/>
      <c r="D35" s="1"/>
      <c r="E35" s="3"/>
      <c r="H35" s="1"/>
      <c r="I35" s="3"/>
      <c r="L35" s="1"/>
      <c r="M35" s="3"/>
      <c r="P35" s="1"/>
      <c r="Q35" s="3"/>
      <c r="T35" s="1"/>
      <c r="U35" s="3"/>
      <c r="X35" s="1"/>
      <c r="Y35" s="3"/>
      <c r="AB35" s="1"/>
      <c r="AC35" s="3"/>
      <c r="AF35" s="1"/>
      <c r="AG35" s="3"/>
      <c r="AJ35" s="1"/>
      <c r="AN35" s="1"/>
      <c r="AO35" s="3"/>
      <c r="AR35" s="1"/>
    </row>
    <row r="36" spans="1:44" s="2" customFormat="1" x14ac:dyDescent="0.3">
      <c r="A36" s="3"/>
      <c r="D36" s="1"/>
      <c r="E36" s="3"/>
      <c r="H36" s="1"/>
      <c r="I36" s="3"/>
      <c r="L36" s="1"/>
      <c r="M36" s="3"/>
      <c r="P36" s="1"/>
      <c r="Q36" s="3"/>
      <c r="T36" s="1"/>
      <c r="U36" s="3"/>
      <c r="X36" s="1"/>
      <c r="Y36" s="3"/>
      <c r="AB36" s="1"/>
      <c r="AC36" s="3"/>
      <c r="AF36" s="1"/>
      <c r="AG36" s="3"/>
      <c r="AJ36" s="1"/>
      <c r="AN36" s="1"/>
      <c r="AO36" s="3"/>
      <c r="AR36" s="1"/>
    </row>
    <row r="37" spans="1:44" s="2" customFormat="1" x14ac:dyDescent="0.3">
      <c r="A37" s="3"/>
      <c r="D37" s="1"/>
      <c r="E37" s="3"/>
      <c r="H37" s="1"/>
      <c r="I37" s="3"/>
      <c r="L37" s="1"/>
      <c r="M37" s="3"/>
      <c r="P37" s="1"/>
      <c r="Q37" s="3"/>
      <c r="T37" s="1"/>
      <c r="U37" s="3"/>
      <c r="X37" s="1"/>
      <c r="Y37" s="3"/>
      <c r="AB37" s="1"/>
      <c r="AC37" s="3"/>
      <c r="AF37" s="1"/>
      <c r="AG37" s="3"/>
      <c r="AJ37" s="1"/>
      <c r="AK37" s="3"/>
      <c r="AN37" s="1"/>
      <c r="AO37" s="3"/>
      <c r="AR37" s="1"/>
    </row>
    <row r="38" spans="1:44" s="2" customFormat="1" x14ac:dyDescent="0.3">
      <c r="A38" s="3"/>
      <c r="D38" s="1"/>
      <c r="E38" s="3"/>
      <c r="H38" s="1"/>
      <c r="I38" s="3"/>
      <c r="L38" s="1"/>
      <c r="M38" s="3"/>
      <c r="P38" s="1"/>
      <c r="Q38" s="3"/>
      <c r="T38" s="1"/>
      <c r="U38" s="3"/>
      <c r="X38" s="1"/>
      <c r="Y38" s="3"/>
      <c r="AB38" s="1"/>
      <c r="AC38" s="3"/>
      <c r="AF38" s="1"/>
      <c r="AG38" s="3"/>
      <c r="AJ38" s="1"/>
      <c r="AK38" s="3"/>
      <c r="AN38" s="1"/>
      <c r="AO38" s="3"/>
      <c r="AR38" s="1"/>
    </row>
    <row r="39" spans="1:44" s="2" customFormat="1" x14ac:dyDescent="0.3">
      <c r="A39" s="3"/>
      <c r="D39" s="1"/>
      <c r="E39" s="3"/>
      <c r="H39" s="1"/>
      <c r="I39" s="3"/>
      <c r="L39" s="1"/>
      <c r="M39" s="3"/>
      <c r="P39" s="1"/>
      <c r="Q39" s="3"/>
      <c r="T39" s="1"/>
      <c r="U39" s="3"/>
      <c r="X39" s="1"/>
      <c r="Y39" s="3"/>
      <c r="AB39" s="1"/>
      <c r="AC39" s="3"/>
      <c r="AF39" s="1"/>
      <c r="AG39" s="3"/>
      <c r="AJ39" s="1"/>
      <c r="AK39" s="3"/>
      <c r="AN39" s="1"/>
      <c r="AO39" s="3"/>
      <c r="AR39" s="1"/>
    </row>
    <row r="40" spans="1:44" s="2" customFormat="1" x14ac:dyDescent="0.3">
      <c r="A40" s="3"/>
      <c r="D40" s="1"/>
      <c r="E40" s="3"/>
      <c r="H40" s="1"/>
      <c r="I40" s="3"/>
      <c r="L40" s="1"/>
      <c r="M40" s="3"/>
      <c r="P40" s="1"/>
      <c r="Q40" s="3"/>
      <c r="T40" s="1"/>
      <c r="U40" s="3"/>
      <c r="X40" s="1"/>
      <c r="Y40" s="3"/>
      <c r="AB40" s="1"/>
      <c r="AC40" s="3"/>
      <c r="AF40" s="1"/>
      <c r="AG40" s="3"/>
      <c r="AJ40" s="1"/>
      <c r="AK40" s="3"/>
      <c r="AN40" s="1"/>
      <c r="AO40" s="3"/>
      <c r="AR40" s="1"/>
    </row>
    <row r="41" spans="1:44" s="2" customFormat="1" x14ac:dyDescent="0.3">
      <c r="A41" s="3"/>
      <c r="D41" s="1"/>
      <c r="E41" s="3"/>
      <c r="H41" s="1"/>
      <c r="I41" s="3"/>
      <c r="L41" s="1"/>
      <c r="M41" s="3"/>
      <c r="P41" s="1"/>
      <c r="Q41" s="3"/>
      <c r="T41" s="1"/>
      <c r="U41" s="3"/>
      <c r="X41" s="1"/>
      <c r="Y41" s="3"/>
      <c r="AB41" s="1"/>
      <c r="AC41" s="3"/>
      <c r="AF41" s="1"/>
      <c r="AG41" s="3"/>
      <c r="AJ41" s="1"/>
      <c r="AK41" s="3"/>
      <c r="AN41" s="1"/>
      <c r="AO41" s="3"/>
      <c r="AR41" s="1"/>
    </row>
    <row r="42" spans="1:44" s="2" customFormat="1" x14ac:dyDescent="0.3">
      <c r="A42" s="3"/>
      <c r="D42" s="1"/>
      <c r="E42" s="3"/>
      <c r="H42" s="1"/>
      <c r="I42" s="3"/>
      <c r="L42" s="1"/>
      <c r="M42" s="3"/>
      <c r="P42" s="1"/>
      <c r="Q42" s="3"/>
      <c r="T42" s="1"/>
      <c r="U42" s="3"/>
      <c r="X42" s="1"/>
      <c r="Y42" s="3"/>
      <c r="AB42" s="1"/>
      <c r="AC42" s="3"/>
      <c r="AF42" s="1"/>
      <c r="AG42" s="3"/>
      <c r="AJ42" s="1"/>
      <c r="AK42" s="3"/>
      <c r="AN42" s="1"/>
      <c r="AO42" s="3"/>
      <c r="AR42" s="1"/>
    </row>
    <row r="43" spans="1:44" s="2" customFormat="1" x14ac:dyDescent="0.3">
      <c r="A43" s="3"/>
      <c r="D43" s="1"/>
      <c r="E43" s="3"/>
      <c r="H43" s="1"/>
      <c r="I43" s="3"/>
      <c r="L43" s="1"/>
      <c r="M43" s="3"/>
      <c r="P43" s="1"/>
      <c r="Q43" s="3"/>
      <c r="T43" s="1"/>
      <c r="U43" s="3"/>
      <c r="X43" s="1"/>
      <c r="Y43" s="3"/>
      <c r="AB43" s="1"/>
      <c r="AC43" s="3"/>
      <c r="AF43" s="1"/>
      <c r="AG43" s="3"/>
      <c r="AJ43" s="1"/>
      <c r="AK43" s="3"/>
      <c r="AN43" s="1"/>
      <c r="AO43" s="3"/>
      <c r="AR43" s="1"/>
    </row>
    <row r="44" spans="1:44" s="2" customFormat="1" x14ac:dyDescent="0.3">
      <c r="A44" s="3"/>
      <c r="D44" s="1"/>
      <c r="E44" s="3"/>
      <c r="H44" s="1"/>
      <c r="I44" s="3"/>
      <c r="L44" s="1"/>
      <c r="M44" s="3"/>
      <c r="P44" s="1"/>
      <c r="Q44" s="3"/>
      <c r="T44" s="1"/>
      <c r="U44" s="3"/>
      <c r="X44" s="1"/>
      <c r="Y44" s="3"/>
      <c r="AB44" s="1"/>
      <c r="AC44" s="3"/>
      <c r="AF44" s="1"/>
      <c r="AG44" s="3"/>
      <c r="AJ44" s="1"/>
      <c r="AK44" s="3"/>
      <c r="AN44" s="1"/>
      <c r="AO44" s="3"/>
      <c r="AR44" s="1"/>
    </row>
    <row r="45" spans="1:44" s="2" customFormat="1" x14ac:dyDescent="0.3">
      <c r="A45" s="3"/>
      <c r="D45" s="1"/>
      <c r="E45" s="3"/>
      <c r="H45" s="1"/>
      <c r="I45" s="3"/>
      <c r="L45" s="1"/>
      <c r="M45" s="3"/>
      <c r="P45" s="1"/>
      <c r="Q45" s="3"/>
      <c r="T45" s="1"/>
      <c r="U45" s="3"/>
      <c r="X45" s="1"/>
      <c r="Y45" s="3"/>
      <c r="AB45" s="1"/>
      <c r="AC45" s="3"/>
      <c r="AF45" s="1"/>
      <c r="AG45" s="3"/>
      <c r="AJ45" s="1"/>
      <c r="AK45" s="3"/>
      <c r="AN45" s="1"/>
      <c r="AO45" s="3"/>
      <c r="AR45" s="1"/>
    </row>
    <row r="46" spans="1:44" s="2" customFormat="1" x14ac:dyDescent="0.3">
      <c r="A46" s="3"/>
      <c r="D46" s="1"/>
      <c r="E46" s="3"/>
      <c r="H46" s="1"/>
      <c r="I46" s="3"/>
      <c r="L46" s="1"/>
      <c r="M46" s="3"/>
      <c r="P46" s="1"/>
      <c r="Q46" s="3"/>
      <c r="T46" s="1"/>
      <c r="U46" s="3"/>
      <c r="X46" s="1"/>
      <c r="Y46" s="3"/>
      <c r="AB46" s="1"/>
      <c r="AC46" s="3"/>
      <c r="AF46" s="1"/>
      <c r="AG46" s="3"/>
      <c r="AJ46" s="1"/>
      <c r="AK46" s="3"/>
      <c r="AN46" s="1"/>
      <c r="AO46" s="3"/>
      <c r="AR46" s="1"/>
    </row>
    <row r="47" spans="1:44" s="2" customFormat="1" x14ac:dyDescent="0.3">
      <c r="A47" s="3"/>
      <c r="D47" s="1"/>
      <c r="E47" s="3"/>
      <c r="H47" s="1"/>
      <c r="I47" s="3"/>
      <c r="L47" s="1"/>
      <c r="M47" s="3"/>
      <c r="P47" s="1"/>
      <c r="Q47" s="3"/>
      <c r="T47" s="1"/>
      <c r="U47" s="3"/>
      <c r="X47" s="1"/>
      <c r="Y47" s="3"/>
      <c r="AB47" s="1"/>
      <c r="AC47" s="3"/>
      <c r="AF47" s="1"/>
      <c r="AG47" s="3"/>
      <c r="AJ47" s="1"/>
      <c r="AK47" s="3"/>
      <c r="AN47" s="1"/>
      <c r="AO47" s="3"/>
      <c r="AR47" s="1"/>
    </row>
    <row r="48" spans="1:44" s="2" customFormat="1" x14ac:dyDescent="0.3">
      <c r="A48" s="3"/>
      <c r="D48" s="1"/>
      <c r="E48" s="3"/>
      <c r="H48" s="1"/>
      <c r="I48" s="3"/>
      <c r="L48" s="1"/>
      <c r="M48" s="3"/>
      <c r="P48" s="1"/>
      <c r="Q48" s="3"/>
      <c r="T48" s="1"/>
      <c r="U48" s="3"/>
      <c r="X48" s="1"/>
      <c r="Y48" s="3"/>
      <c r="AB48" s="1"/>
      <c r="AC48" s="3"/>
      <c r="AF48" s="1"/>
      <c r="AG48" s="3"/>
      <c r="AJ48" s="1"/>
      <c r="AK48" s="3"/>
      <c r="AN48" s="1"/>
      <c r="AO48" s="3"/>
      <c r="AR48" s="1"/>
    </row>
    <row r="49" spans="1:44" s="2" customFormat="1" x14ac:dyDescent="0.3">
      <c r="A49" s="3"/>
      <c r="D49" s="1"/>
      <c r="E49" s="3"/>
      <c r="H49" s="1"/>
      <c r="I49" s="3"/>
      <c r="L49" s="1"/>
      <c r="M49" s="3"/>
      <c r="P49" s="1"/>
      <c r="Q49" s="3"/>
      <c r="T49" s="1"/>
      <c r="U49" s="3"/>
      <c r="X49" s="1"/>
      <c r="Y49" s="3"/>
      <c r="AB49" s="1"/>
      <c r="AC49" s="3"/>
      <c r="AF49" s="1"/>
      <c r="AG49" s="3"/>
      <c r="AJ49" s="1"/>
      <c r="AK49" s="3"/>
      <c r="AN49" s="1"/>
      <c r="AO49" s="3"/>
      <c r="AR49" s="1"/>
    </row>
    <row r="50" spans="1:44" s="2" customFormat="1" x14ac:dyDescent="0.3">
      <c r="A50" s="3"/>
      <c r="D50" s="1"/>
      <c r="E50" s="3"/>
      <c r="H50" s="1"/>
      <c r="I50" s="3"/>
      <c r="L50" s="1"/>
      <c r="M50" s="3"/>
      <c r="P50" s="1"/>
      <c r="Q50" s="3"/>
      <c r="T50" s="1"/>
      <c r="U50" s="3"/>
      <c r="X50" s="1"/>
      <c r="Y50" s="3"/>
      <c r="AB50" s="1"/>
      <c r="AC50" s="3"/>
      <c r="AF50" s="1"/>
      <c r="AG50" s="3"/>
      <c r="AJ50" s="1"/>
      <c r="AK50" s="3"/>
      <c r="AN50" s="1"/>
      <c r="AO50" s="3"/>
      <c r="AR50" s="1"/>
    </row>
    <row r="51" spans="1:44" s="2" customFormat="1" x14ac:dyDescent="0.3">
      <c r="A51" s="3"/>
      <c r="D51" s="1"/>
      <c r="E51" s="3"/>
      <c r="H51" s="1"/>
      <c r="I51" s="3"/>
      <c r="L51" s="1"/>
      <c r="M51" s="3"/>
      <c r="P51" s="1"/>
      <c r="Q51" s="3"/>
      <c r="T51" s="1"/>
      <c r="U51" s="3"/>
      <c r="X51" s="1"/>
      <c r="Y51" s="3"/>
      <c r="AB51" s="1"/>
      <c r="AC51" s="3"/>
      <c r="AF51" s="1"/>
      <c r="AG51" s="3"/>
      <c r="AJ51" s="1"/>
      <c r="AK51" s="3"/>
      <c r="AN51" s="1"/>
      <c r="AO51" s="3"/>
      <c r="AR51" s="1"/>
    </row>
    <row r="52" spans="1:44" s="2" customFormat="1" x14ac:dyDescent="0.3">
      <c r="A52" s="3"/>
      <c r="D52" s="1"/>
      <c r="E52" s="3"/>
      <c r="H52" s="1"/>
      <c r="I52" s="3"/>
      <c r="L52" s="1"/>
      <c r="M52" s="3"/>
      <c r="P52" s="1"/>
      <c r="Q52" s="3"/>
      <c r="T52" s="1"/>
      <c r="U52" s="3"/>
      <c r="X52" s="1"/>
      <c r="Y52" s="3"/>
      <c r="AB52" s="1"/>
      <c r="AC52" s="3"/>
      <c r="AF52" s="1"/>
      <c r="AG52" s="3"/>
      <c r="AJ52" s="1"/>
      <c r="AK52" s="3"/>
      <c r="AN52" s="1"/>
      <c r="AO52" s="3"/>
      <c r="AR52" s="1"/>
    </row>
    <row r="53" spans="1:44" s="2" customFormat="1" x14ac:dyDescent="0.3">
      <c r="A53" s="3"/>
      <c r="D53" s="1"/>
      <c r="E53" s="3"/>
      <c r="H53" s="1"/>
      <c r="I53" s="3"/>
      <c r="L53" s="1"/>
      <c r="M53" s="3"/>
      <c r="P53" s="1"/>
      <c r="Q53" s="3"/>
      <c r="T53" s="1"/>
      <c r="U53" s="3"/>
      <c r="X53" s="1"/>
      <c r="Y53" s="3"/>
      <c r="AB53" s="1"/>
      <c r="AC53" s="3"/>
      <c r="AF53" s="1"/>
      <c r="AG53" s="3"/>
      <c r="AJ53" s="1"/>
      <c r="AK53" s="3"/>
      <c r="AN53" s="1"/>
      <c r="AO53" s="3"/>
      <c r="AR53" s="1"/>
    </row>
    <row r="54" spans="1:44" s="2" customFormat="1" x14ac:dyDescent="0.3">
      <c r="A54" s="3"/>
      <c r="D54" s="1"/>
      <c r="E54" s="3"/>
      <c r="H54" s="1"/>
      <c r="I54" s="3"/>
      <c r="L54" s="1"/>
      <c r="M54" s="3"/>
      <c r="P54" s="1"/>
      <c r="Q54" s="3"/>
      <c r="T54" s="1"/>
      <c r="U54" s="3"/>
      <c r="X54" s="1"/>
      <c r="Y54" s="3"/>
      <c r="AB54" s="1"/>
      <c r="AC54" s="3"/>
      <c r="AF54" s="1"/>
      <c r="AG54" s="3"/>
      <c r="AJ54" s="1"/>
      <c r="AK54" s="3"/>
      <c r="AN54" s="1"/>
      <c r="AO54" s="3"/>
      <c r="AR54" s="1"/>
    </row>
    <row r="55" spans="1:44" s="2" customFormat="1" x14ac:dyDescent="0.3">
      <c r="A55" s="3"/>
      <c r="D55" s="1"/>
      <c r="E55" s="3"/>
      <c r="H55" s="1"/>
      <c r="I55" s="3"/>
      <c r="L55" s="1"/>
      <c r="M55" s="3"/>
      <c r="P55" s="1"/>
      <c r="Q55" s="3"/>
      <c r="T55" s="1"/>
      <c r="U55" s="3"/>
      <c r="X55" s="1"/>
      <c r="Y55" s="3"/>
      <c r="AB55" s="1"/>
      <c r="AC55" s="3"/>
      <c r="AF55" s="1"/>
      <c r="AG55" s="3"/>
      <c r="AJ55" s="1"/>
      <c r="AK55" s="3"/>
      <c r="AN55" s="1"/>
      <c r="AO55" s="3"/>
      <c r="AR55" s="1"/>
    </row>
    <row r="56" spans="1:44" s="2" customFormat="1" x14ac:dyDescent="0.3">
      <c r="A56" s="3"/>
      <c r="D56" s="1"/>
      <c r="E56" s="3"/>
      <c r="H56" s="1"/>
      <c r="I56" s="3"/>
      <c r="L56" s="1"/>
      <c r="M56" s="3"/>
      <c r="P56" s="1"/>
      <c r="Q56" s="3"/>
      <c r="T56" s="1"/>
      <c r="U56" s="3"/>
      <c r="X56" s="1"/>
      <c r="Y56" s="3"/>
      <c r="AB56" s="1"/>
      <c r="AC56" s="3"/>
      <c r="AF56" s="1"/>
      <c r="AG56" s="3"/>
      <c r="AJ56" s="1"/>
      <c r="AK56" s="3"/>
      <c r="AN56" s="1"/>
      <c r="AO56" s="3"/>
      <c r="AR56" s="1"/>
    </row>
    <row r="57" spans="1:44" s="2" customFormat="1" x14ac:dyDescent="0.3">
      <c r="A57" s="3"/>
      <c r="D57" s="1"/>
      <c r="E57" s="3"/>
      <c r="H57" s="1"/>
      <c r="I57" s="3"/>
      <c r="L57" s="1"/>
      <c r="M57" s="3"/>
      <c r="P57" s="1"/>
      <c r="Q57" s="3"/>
      <c r="T57" s="1"/>
      <c r="U57" s="3"/>
      <c r="X57" s="1"/>
      <c r="Y57" s="3"/>
      <c r="AB57" s="1"/>
      <c r="AC57" s="3"/>
      <c r="AF57" s="1"/>
      <c r="AG57" s="3"/>
      <c r="AJ57" s="1"/>
      <c r="AK57" s="3"/>
      <c r="AN57" s="1"/>
      <c r="AO57" s="3"/>
      <c r="AR57" s="1"/>
    </row>
    <row r="58" spans="1:44" s="2" customFormat="1" x14ac:dyDescent="0.3">
      <c r="A58" s="3"/>
      <c r="D58" s="1"/>
      <c r="E58" s="3"/>
      <c r="H58" s="1"/>
      <c r="I58" s="3"/>
      <c r="L58" s="1"/>
      <c r="M58" s="3"/>
      <c r="P58" s="1"/>
      <c r="Q58" s="3"/>
      <c r="T58" s="1"/>
      <c r="U58" s="3"/>
      <c r="X58" s="1"/>
      <c r="Y58" s="3"/>
      <c r="AB58" s="1"/>
      <c r="AC58" s="3"/>
      <c r="AF58" s="1"/>
      <c r="AG58" s="3"/>
      <c r="AJ58" s="1"/>
      <c r="AK58" s="3"/>
      <c r="AN58" s="1"/>
      <c r="AO58" s="3"/>
      <c r="AR58" s="1"/>
    </row>
    <row r="59" spans="1:44" s="2" customFormat="1" x14ac:dyDescent="0.3">
      <c r="A59" s="3"/>
      <c r="D59" s="1"/>
      <c r="E59" s="3"/>
      <c r="H59" s="1"/>
      <c r="I59" s="3"/>
      <c r="L59" s="1"/>
      <c r="M59" s="3"/>
      <c r="P59" s="1"/>
      <c r="Q59" s="3"/>
      <c r="T59" s="1"/>
      <c r="U59" s="3"/>
      <c r="X59" s="1"/>
      <c r="Y59" s="3"/>
      <c r="AB59" s="1"/>
      <c r="AC59" s="3"/>
      <c r="AF59" s="1"/>
      <c r="AG59" s="3"/>
      <c r="AJ59" s="1"/>
      <c r="AK59" s="3"/>
      <c r="AN59" s="1"/>
      <c r="AO59" s="3"/>
      <c r="AR59" s="1"/>
    </row>
    <row r="60" spans="1:44" s="2" customFormat="1" x14ac:dyDescent="0.3">
      <c r="A60" s="3"/>
      <c r="D60" s="1"/>
      <c r="E60" s="3"/>
      <c r="H60" s="1"/>
      <c r="I60" s="3"/>
      <c r="L60" s="1"/>
      <c r="M60" s="3"/>
      <c r="P60" s="1"/>
      <c r="Q60" s="3"/>
      <c r="T60" s="1"/>
      <c r="U60" s="3"/>
      <c r="X60" s="1"/>
      <c r="Y60" s="3"/>
      <c r="AB60" s="1"/>
      <c r="AC60" s="3"/>
      <c r="AF60" s="1"/>
      <c r="AG60" s="3"/>
      <c r="AJ60" s="1"/>
      <c r="AK60" s="3"/>
      <c r="AN60" s="1"/>
      <c r="AO60" s="3"/>
      <c r="AR60" s="1"/>
    </row>
    <row r="61" spans="1:44" s="2" customFormat="1" x14ac:dyDescent="0.3">
      <c r="A61" s="3"/>
      <c r="D61" s="1"/>
      <c r="E61" s="3"/>
      <c r="H61" s="1"/>
      <c r="I61" s="3"/>
      <c r="L61" s="1"/>
      <c r="M61" s="3"/>
      <c r="P61" s="1"/>
      <c r="Q61" s="3"/>
      <c r="T61" s="1"/>
      <c r="U61" s="3"/>
      <c r="X61" s="1"/>
      <c r="Y61" s="3"/>
      <c r="AB61" s="1"/>
      <c r="AC61" s="3"/>
      <c r="AF61" s="1"/>
      <c r="AG61" s="3"/>
      <c r="AJ61" s="1"/>
      <c r="AK61" s="3"/>
      <c r="AN61" s="1"/>
      <c r="AO61" s="3"/>
      <c r="AR61" s="1"/>
    </row>
    <row r="62" spans="1:44" s="2" customFormat="1" x14ac:dyDescent="0.3">
      <c r="A62" s="3"/>
      <c r="D62" s="1"/>
      <c r="E62" s="3"/>
      <c r="H62" s="1"/>
      <c r="I62" s="3"/>
      <c r="L62" s="1"/>
      <c r="M62" s="3"/>
      <c r="P62" s="1"/>
      <c r="Q62" s="3"/>
      <c r="T62" s="1"/>
      <c r="U62" s="3"/>
      <c r="X62" s="1"/>
      <c r="Y62" s="3"/>
      <c r="AB62" s="1"/>
      <c r="AC62" s="3"/>
      <c r="AF62" s="1"/>
      <c r="AG62" s="3"/>
      <c r="AJ62" s="1"/>
      <c r="AK62" s="3"/>
      <c r="AN62" s="1"/>
      <c r="AO62" s="3"/>
      <c r="AR62" s="1"/>
    </row>
    <row r="63" spans="1:44" s="2" customFormat="1" x14ac:dyDescent="0.3">
      <c r="A63" s="3"/>
      <c r="D63" s="1"/>
      <c r="E63" s="3"/>
      <c r="H63" s="1"/>
      <c r="I63" s="3"/>
      <c r="L63" s="1"/>
      <c r="M63" s="3"/>
      <c r="P63" s="1"/>
      <c r="Q63" s="3"/>
      <c r="T63" s="1"/>
      <c r="U63" s="3"/>
      <c r="X63" s="1"/>
      <c r="Y63" s="3"/>
      <c r="AB63" s="1"/>
      <c r="AC63" s="3"/>
      <c r="AF63" s="1"/>
      <c r="AG63" s="3"/>
      <c r="AJ63" s="1"/>
      <c r="AK63" s="3"/>
      <c r="AN63" s="1"/>
      <c r="AO63" s="3"/>
      <c r="AR63" s="1"/>
    </row>
    <row r="64" spans="1:44" s="2" customFormat="1" x14ac:dyDescent="0.3">
      <c r="A64" s="3"/>
      <c r="D64" s="1"/>
      <c r="E64" s="3"/>
      <c r="H64" s="1"/>
      <c r="I64" s="3"/>
      <c r="L64" s="1"/>
      <c r="M64" s="3"/>
      <c r="P64" s="1"/>
      <c r="Q64" s="3"/>
      <c r="T64" s="1"/>
      <c r="U64" s="3"/>
      <c r="X64" s="1"/>
      <c r="Y64" s="3"/>
      <c r="AB64" s="1"/>
      <c r="AC64" s="3"/>
      <c r="AF64" s="1"/>
      <c r="AG64" s="3"/>
      <c r="AJ64" s="1"/>
      <c r="AK64" s="3"/>
      <c r="AN64" s="1"/>
      <c r="AO64" s="3"/>
      <c r="AR64" s="1"/>
    </row>
    <row r="65" spans="1:44" s="2" customFormat="1" x14ac:dyDescent="0.3">
      <c r="A65" s="3"/>
      <c r="D65" s="1"/>
      <c r="E65" s="3"/>
      <c r="H65" s="1"/>
      <c r="I65" s="3"/>
      <c r="L65" s="1"/>
      <c r="M65" s="3"/>
      <c r="P65" s="1"/>
      <c r="Q65" s="3"/>
      <c r="T65" s="1"/>
      <c r="U65" s="3"/>
      <c r="X65" s="1"/>
      <c r="Y65" s="3"/>
      <c r="AB65" s="1"/>
      <c r="AC65" s="3"/>
      <c r="AF65" s="1"/>
      <c r="AG65" s="3"/>
      <c r="AJ65" s="1"/>
      <c r="AK65" s="3"/>
      <c r="AN65" s="1"/>
      <c r="AO65" s="3"/>
      <c r="AR65" s="1"/>
    </row>
    <row r="66" spans="1:44" s="2" customFormat="1" x14ac:dyDescent="0.3">
      <c r="A66" s="3"/>
      <c r="D66" s="1"/>
      <c r="E66" s="3"/>
      <c r="H66" s="1"/>
      <c r="I66" s="3"/>
      <c r="L66" s="1"/>
      <c r="M66" s="3"/>
      <c r="P66" s="1"/>
      <c r="Q66" s="3"/>
      <c r="T66" s="1"/>
      <c r="U66" s="3"/>
      <c r="X66" s="1"/>
      <c r="Y66" s="3"/>
      <c r="AB66" s="1"/>
      <c r="AC66" s="3"/>
      <c r="AF66" s="1"/>
      <c r="AG66" s="3"/>
      <c r="AJ66" s="1"/>
      <c r="AK66" s="3"/>
      <c r="AN66" s="1"/>
      <c r="AO66" s="3"/>
      <c r="AR66" s="1"/>
    </row>
    <row r="67" spans="1:44" s="2" customFormat="1" x14ac:dyDescent="0.3">
      <c r="A67" s="3"/>
      <c r="D67" s="1"/>
      <c r="E67" s="3"/>
      <c r="H67" s="1"/>
      <c r="I67" s="3"/>
      <c r="L67" s="1"/>
      <c r="M67" s="3"/>
      <c r="P67" s="1"/>
      <c r="Q67" s="3"/>
      <c r="T67" s="1"/>
      <c r="U67" s="3"/>
      <c r="X67" s="1"/>
      <c r="Y67" s="3"/>
      <c r="AB67" s="1"/>
      <c r="AC67" s="3"/>
      <c r="AF67" s="1"/>
      <c r="AG67" s="3"/>
      <c r="AJ67" s="1"/>
      <c r="AK67" s="3"/>
      <c r="AN67" s="1"/>
      <c r="AO67" s="3"/>
      <c r="AR67" s="1"/>
    </row>
    <row r="68" spans="1:44" s="2" customFormat="1" x14ac:dyDescent="0.3">
      <c r="A68" s="3"/>
      <c r="D68" s="1"/>
      <c r="E68" s="3"/>
      <c r="H68" s="1"/>
      <c r="I68" s="3"/>
      <c r="L68" s="1"/>
      <c r="M68" s="3"/>
      <c r="P68" s="1"/>
      <c r="Q68" s="3"/>
      <c r="T68" s="1"/>
      <c r="U68" s="3"/>
      <c r="X68" s="1"/>
      <c r="Y68" s="3"/>
      <c r="AB68" s="1"/>
      <c r="AC68" s="3"/>
      <c r="AF68" s="1"/>
      <c r="AG68" s="3"/>
      <c r="AJ68" s="1"/>
      <c r="AK68" s="3"/>
      <c r="AN68" s="1"/>
      <c r="AO68" s="3"/>
      <c r="AR68" s="1"/>
    </row>
    <row r="69" spans="1:44" s="2" customFormat="1" x14ac:dyDescent="0.3">
      <c r="A69" s="3"/>
      <c r="D69" s="1"/>
      <c r="E69" s="3"/>
      <c r="H69" s="1"/>
      <c r="I69" s="3"/>
      <c r="L69" s="1"/>
      <c r="M69" s="3"/>
      <c r="P69" s="1"/>
      <c r="Q69" s="3"/>
      <c r="T69" s="1"/>
      <c r="U69" s="3"/>
      <c r="X69" s="1"/>
      <c r="Y69" s="3"/>
      <c r="AB69" s="1"/>
      <c r="AC69" s="3"/>
      <c r="AF69" s="1"/>
      <c r="AG69" s="3"/>
      <c r="AJ69" s="1"/>
      <c r="AK69" s="3"/>
      <c r="AN69" s="1"/>
      <c r="AO69" s="3"/>
      <c r="AR69" s="1"/>
    </row>
    <row r="70" spans="1:44" s="2" customFormat="1" x14ac:dyDescent="0.3">
      <c r="A70" s="3"/>
      <c r="D70" s="1"/>
      <c r="E70" s="3"/>
      <c r="H70" s="1"/>
      <c r="I70" s="3"/>
      <c r="L70" s="1"/>
      <c r="M70" s="3"/>
      <c r="P70" s="1"/>
      <c r="Q70" s="3"/>
      <c r="T70" s="1"/>
      <c r="U70" s="3"/>
      <c r="X70" s="1"/>
      <c r="Y70" s="3"/>
      <c r="AB70" s="1"/>
      <c r="AC70" s="3"/>
      <c r="AF70" s="1"/>
      <c r="AG70" s="3"/>
      <c r="AJ70" s="1"/>
      <c r="AK70" s="3"/>
      <c r="AN70" s="1"/>
      <c r="AO70" s="3"/>
      <c r="AR70" s="1"/>
    </row>
    <row r="71" spans="1:44" s="2" customFormat="1" x14ac:dyDescent="0.3">
      <c r="A71" s="3"/>
      <c r="D71" s="1"/>
      <c r="E71" s="3"/>
      <c r="H71" s="1"/>
      <c r="I71" s="3"/>
      <c r="L71" s="1"/>
      <c r="M71" s="3"/>
      <c r="P71" s="1"/>
      <c r="Q71" s="3"/>
      <c r="T71" s="1"/>
      <c r="U71" s="3"/>
      <c r="X71" s="1"/>
      <c r="Y71" s="3"/>
      <c r="AB71" s="1"/>
      <c r="AC71" s="3"/>
      <c r="AF71" s="1"/>
      <c r="AG71" s="3"/>
      <c r="AJ71" s="1"/>
      <c r="AK71" s="3"/>
      <c r="AN71" s="1"/>
      <c r="AO71" s="3"/>
      <c r="AR71" s="1"/>
    </row>
    <row r="72" spans="1:44" s="2" customFormat="1" x14ac:dyDescent="0.3">
      <c r="A72" s="3"/>
      <c r="D72" s="1"/>
      <c r="E72" s="3"/>
      <c r="H72" s="1"/>
      <c r="I72" s="3"/>
      <c r="L72" s="1"/>
      <c r="M72" s="3"/>
      <c r="P72" s="1"/>
      <c r="Q72" s="3"/>
      <c r="T72" s="1"/>
      <c r="U72" s="3"/>
      <c r="X72" s="1"/>
      <c r="Y72" s="3"/>
      <c r="AB72" s="1"/>
      <c r="AC72" s="3"/>
      <c r="AF72" s="1"/>
      <c r="AG72" s="3"/>
      <c r="AJ72" s="1"/>
      <c r="AK72" s="3"/>
      <c r="AN72" s="1"/>
      <c r="AO72" s="3"/>
      <c r="AR72" s="1"/>
    </row>
    <row r="73" spans="1:44" s="2" customFormat="1" x14ac:dyDescent="0.3">
      <c r="A73" s="3"/>
      <c r="D73" s="1"/>
      <c r="E73" s="3"/>
      <c r="H73" s="1"/>
      <c r="I73" s="3"/>
      <c r="L73" s="1"/>
      <c r="M73" s="3"/>
      <c r="P73" s="1"/>
      <c r="Q73" s="3"/>
      <c r="T73" s="1"/>
      <c r="U73" s="3"/>
      <c r="X73" s="1"/>
      <c r="Y73" s="3"/>
      <c r="AB73" s="1"/>
      <c r="AC73" s="3"/>
      <c r="AF73" s="1"/>
      <c r="AG73" s="3"/>
      <c r="AJ73" s="1"/>
      <c r="AK73" s="3"/>
      <c r="AN73" s="1"/>
      <c r="AO73" s="3"/>
      <c r="AR73" s="1"/>
    </row>
    <row r="74" spans="1:44" s="2" customFormat="1" x14ac:dyDescent="0.3">
      <c r="A74" s="3"/>
      <c r="D74" s="1"/>
      <c r="E74" s="3"/>
      <c r="H74" s="1"/>
      <c r="I74" s="3"/>
      <c r="L74" s="1"/>
      <c r="M74" s="3"/>
      <c r="P74" s="1"/>
      <c r="Q74" s="3"/>
      <c r="T74" s="1"/>
      <c r="U74" s="3"/>
      <c r="X74" s="1"/>
      <c r="Y74" s="3"/>
      <c r="AB74" s="1"/>
      <c r="AC74" s="3"/>
      <c r="AF74" s="1"/>
      <c r="AG74" s="3"/>
      <c r="AJ74" s="1"/>
      <c r="AK74" s="3"/>
      <c r="AN74" s="1"/>
      <c r="AO74" s="3"/>
      <c r="AR74" s="1"/>
    </row>
    <row r="75" spans="1:44" s="2" customFormat="1" x14ac:dyDescent="0.3">
      <c r="A75" s="3"/>
      <c r="D75" s="1"/>
      <c r="E75" s="3"/>
      <c r="H75" s="1"/>
      <c r="I75" s="3"/>
      <c r="L75" s="1"/>
      <c r="M75" s="3"/>
      <c r="P75" s="1"/>
      <c r="Q75" s="3"/>
      <c r="T75" s="1"/>
      <c r="U75" s="3"/>
      <c r="X75" s="1"/>
      <c r="Y75" s="3"/>
      <c r="AB75" s="1"/>
      <c r="AC75" s="3"/>
      <c r="AF75" s="1"/>
      <c r="AG75" s="3"/>
      <c r="AJ75" s="1"/>
      <c r="AK75" s="3"/>
      <c r="AN75" s="1"/>
      <c r="AO75" s="3"/>
      <c r="AR7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059BC-1883-4397-887C-626A2C508E83}">
  <dimension ref="A1:H210"/>
  <sheetViews>
    <sheetView tabSelected="1" workbookViewId="0">
      <selection activeCell="E11" sqref="E11"/>
    </sheetView>
  </sheetViews>
  <sheetFormatPr defaultRowHeight="18.75" x14ac:dyDescent="0.3"/>
  <cols>
    <col min="1" max="1" width="38.7109375" style="3" bestFit="1" customWidth="1"/>
    <col min="2" max="2" width="9.140625" style="2" bestFit="1"/>
    <col min="3" max="3" width="7.85546875" style="2" bestFit="1" customWidth="1"/>
    <col min="4" max="4" width="89" style="1" bestFit="1" customWidth="1"/>
    <col min="5" max="5" width="20.7109375" bestFit="1" customWidth="1"/>
    <col min="7" max="7" width="7.85546875" bestFit="1" customWidth="1"/>
    <col min="8" max="8" width="68.140625" bestFit="1" customWidth="1"/>
  </cols>
  <sheetData>
    <row r="1" spans="1:8" x14ac:dyDescent="0.3">
      <c r="A1" s="7" t="s">
        <v>493</v>
      </c>
      <c r="B1" s="5" t="s">
        <v>18</v>
      </c>
      <c r="C1" s="5" t="str">
        <f>"d" &amp; SUM(B:B)</f>
        <v>d20</v>
      </c>
      <c r="D1" s="4" t="str">
        <f>"!import-table --" &amp; A1 &amp; " --hide"</f>
        <v>!import-table --Travel-Encounters --hide</v>
      </c>
      <c r="E1" s="7" t="s">
        <v>501</v>
      </c>
      <c r="F1" s="5" t="s">
        <v>18</v>
      </c>
      <c r="G1" s="5" t="str">
        <f>"d" &amp; SUM(F:F)</f>
        <v>d20</v>
      </c>
      <c r="H1" s="4" t="str">
        <f>"!import-table --" &amp; E1 &amp; " --hide"</f>
        <v>!import-table --Sea-Encounters --hide</v>
      </c>
    </row>
    <row r="2" spans="1:8" x14ac:dyDescent="0.3">
      <c r="A2" s="3" t="s">
        <v>496</v>
      </c>
      <c r="B2" s="2">
        <v>1</v>
      </c>
      <c r="C2" s="2">
        <f>IF(B2=0,"-",IF(B2=1,SUM(B$1:B1)+1,SUM(B$1:B1)+1 &amp; "-" &amp; SUM(B$1:B2)))</f>
        <v>1</v>
      </c>
      <c r="D2" s="1" t="str">
        <f>"!import-table-item --" &amp; A$1 &amp; " --" &amp; A2 &amp; " --" &amp; B2</f>
        <v>!import-table-item --Travel-Encounters --Critical Disaster! --1</v>
      </c>
      <c r="E2" s="3" t="s">
        <v>502</v>
      </c>
      <c r="F2" s="2">
        <v>5</v>
      </c>
      <c r="G2" s="2" t="str">
        <f>IF(F2=0,"-",IF(F2=1,SUM(F$1:F1)+1,SUM(F$1:F1)+1 &amp; "-" &amp; SUM(F$1:F2)))</f>
        <v>1-5</v>
      </c>
      <c r="H2" s="1" t="str">
        <f t="shared" ref="H2:H8" si="0">"!import-table-item --" &amp; E$1 &amp; " --" &amp; E2 &amp; " --" &amp; F2</f>
        <v>!import-table-item --Sea-Encounters --Flotsam --5</v>
      </c>
    </row>
    <row r="3" spans="1:8" x14ac:dyDescent="0.3">
      <c r="A3" s="3" t="s">
        <v>494</v>
      </c>
      <c r="B3" s="2">
        <v>2</v>
      </c>
      <c r="C3" s="2" t="str">
        <f>IF(B3=0,"-",IF(B3=1,SUM(B$1:B2)+1,SUM(B$1:B2)+1 &amp; "-" &amp; SUM(B$1:B3)))</f>
        <v>2-3</v>
      </c>
      <c r="D3" s="1" t="str">
        <f t="shared" ref="D3:D8" si="1">"!import-table-item --" &amp; A$1 &amp; " --" &amp; A3 &amp; " --" &amp; B3</f>
        <v>!import-table-item --Travel-Encounters --Bad Luck --2</v>
      </c>
      <c r="E3" s="3" t="s">
        <v>506</v>
      </c>
      <c r="F3" s="2">
        <v>5</v>
      </c>
      <c r="G3" s="2" t="str">
        <f>IF(F3=0,"-",IF(F3=1,SUM(F$1:F2)+1,SUM(F$1:F2)+1 &amp; "-" &amp; SUM(F$1:F3)))</f>
        <v>6-10</v>
      </c>
      <c r="H3" s="1" t="str">
        <f t="shared" si="0"/>
        <v>!import-table-item --Sea-Encounters --Resources --5</v>
      </c>
    </row>
    <row r="4" spans="1:8" x14ac:dyDescent="0.3">
      <c r="A4" s="3" t="s">
        <v>498</v>
      </c>
      <c r="B4" s="2">
        <v>3</v>
      </c>
      <c r="C4" s="2" t="str">
        <f>IF(B4=0,"-",IF(B4=1,SUM(B$1:B3)+1,SUM(B$1:B3)+1 &amp; "-" &amp; SUM(B$1:B4)))</f>
        <v>4-6</v>
      </c>
      <c r="D4" s="1" t="str">
        <f t="shared" si="1"/>
        <v>!import-table-item --Travel-Encounters --Typical encounter, bad situation --3</v>
      </c>
      <c r="E4" s="3" t="s">
        <v>507</v>
      </c>
      <c r="F4" s="2">
        <v>3</v>
      </c>
      <c r="G4" s="2" t="str">
        <f>IF(F4=0,"-",IF(F4=1,SUM(F$1:F3)+1,SUM(F$1:F3)+1 &amp; "-" &amp; SUM(F$1:F4)))</f>
        <v>11-13</v>
      </c>
      <c r="H4" s="1" t="str">
        <f t="shared" si="0"/>
        <v>!import-table-item --Sea-Encounters --Neutral Vessel --3</v>
      </c>
    </row>
    <row r="5" spans="1:8" x14ac:dyDescent="0.3">
      <c r="A5" s="3" t="s">
        <v>500</v>
      </c>
      <c r="B5" s="2">
        <v>8</v>
      </c>
      <c r="C5" s="2" t="str">
        <f>IF(B5=0,"-",IF(B5=1,SUM(B$1:B4)+1,SUM(B$1:B4)+1 &amp; "-" &amp; SUM(B$1:B5)))</f>
        <v>7-14</v>
      </c>
      <c r="D5" s="1" t="str">
        <f t="shared" si="1"/>
        <v>!import-table-item --Travel-Encounters --Quiet --8</v>
      </c>
      <c r="E5" s="3" t="s">
        <v>505</v>
      </c>
      <c r="F5" s="2">
        <v>2</v>
      </c>
      <c r="G5" s="2" t="str">
        <f>IF(F5=0,"-",IF(F5=1,SUM(F$1:F4)+1,SUM(F$1:F4)+1 &amp; "-" &amp; SUM(F$1:F5)))</f>
        <v>14-15</v>
      </c>
      <c r="H5" s="1" t="str">
        <f t="shared" si="0"/>
        <v>!import-table-item --Sea-Encounters --Calm Weather --2</v>
      </c>
    </row>
    <row r="6" spans="1:8" x14ac:dyDescent="0.3">
      <c r="A6" s="3" t="s">
        <v>499</v>
      </c>
      <c r="B6" s="2">
        <v>3</v>
      </c>
      <c r="C6" s="2" t="str">
        <f>IF(B6=0,"-",IF(B6=1,SUM(B$1:B5)+1,SUM(B$1:B5)+1 &amp; "-" &amp; SUM(B$1:B6)))</f>
        <v>15-17</v>
      </c>
      <c r="D6" s="1" t="str">
        <f t="shared" si="1"/>
        <v>!import-table-item --Travel-Encounters --Typical encounter, good situation --3</v>
      </c>
      <c r="E6" s="3" t="s">
        <v>504</v>
      </c>
      <c r="F6" s="2">
        <v>2</v>
      </c>
      <c r="G6" s="2" t="str">
        <f>IF(F6=0,"-",IF(F6=1,SUM(F$1:F5)+1,SUM(F$1:F5)+1 &amp; "-" &amp; SUM(F$1:F6)))</f>
        <v>16-17</v>
      </c>
      <c r="H6" s="1" t="str">
        <f t="shared" si="0"/>
        <v>!import-table-item --Sea-Encounters --Extreme Weather --2</v>
      </c>
    </row>
    <row r="7" spans="1:8" x14ac:dyDescent="0.3">
      <c r="A7" s="3" t="s">
        <v>495</v>
      </c>
      <c r="B7" s="2">
        <v>2</v>
      </c>
      <c r="C7" s="2" t="str">
        <f>IF(B7=0,"-",IF(B7=1,SUM(B$1:B6)+1,SUM(B$1:B6)+1 &amp; "-" &amp; SUM(B$1:B7)))</f>
        <v>18-19</v>
      </c>
      <c r="D7" s="1" t="str">
        <f t="shared" si="1"/>
        <v>!import-table-item --Travel-Encounters --Good Luck --2</v>
      </c>
      <c r="E7" s="3" t="s">
        <v>508</v>
      </c>
      <c r="F7" s="2">
        <v>2</v>
      </c>
      <c r="G7" s="2" t="str">
        <f>IF(F7=0,"-",IF(F7=1,SUM(F$1:F6)+1,SUM(F$1:F6)+1 &amp; "-" &amp; SUM(F$1:F7)))</f>
        <v>18-19</v>
      </c>
      <c r="H7" s="1" t="str">
        <f t="shared" si="0"/>
        <v>!import-table-item --Sea-Encounters --Pirates! --2</v>
      </c>
    </row>
    <row r="8" spans="1:8" x14ac:dyDescent="0.3">
      <c r="A8" s="3" t="s">
        <v>497</v>
      </c>
      <c r="B8" s="2">
        <v>1</v>
      </c>
      <c r="C8" s="2">
        <f>IF(B8=0,"-",IF(B8=1,SUM(B$1:B7)+1,SUM(B$1:B7)+1 &amp; "-" &amp; SUM(B$1:B8)))</f>
        <v>20</v>
      </c>
      <c r="D8" s="1" t="str">
        <f t="shared" si="1"/>
        <v>!import-table-item --Travel-Encounters --Critical Fortune! --1</v>
      </c>
      <c r="E8" s="3" t="s">
        <v>503</v>
      </c>
      <c r="F8" s="2">
        <v>1</v>
      </c>
      <c r="G8" s="2">
        <f>IF(F8=0,"-",IF(F8=1,SUM(F$1:F7)+1,SUM(F$1:F7)+1 &amp; "-" &amp; SUM(F$1:F8)))</f>
        <v>20</v>
      </c>
      <c r="H8" s="1" t="str">
        <f t="shared" si="0"/>
        <v>!import-table-item --Sea-Encounters --Sahuagin Raiders --1</v>
      </c>
    </row>
    <row r="9" spans="1:8" x14ac:dyDescent="0.3">
      <c r="F9" s="2"/>
    </row>
    <row r="10" spans="1:8" x14ac:dyDescent="0.3">
      <c r="F10" s="2"/>
    </row>
    <row r="11" spans="1:8" x14ac:dyDescent="0.3">
      <c r="F11" s="2"/>
    </row>
    <row r="12" spans="1:8" x14ac:dyDescent="0.3">
      <c r="F12" s="2"/>
    </row>
    <row r="13" spans="1:8" x14ac:dyDescent="0.3">
      <c r="F13" s="2"/>
    </row>
    <row r="14" spans="1:8" x14ac:dyDescent="0.3">
      <c r="F14" s="2"/>
    </row>
    <row r="15" spans="1:8" x14ac:dyDescent="0.3">
      <c r="F15" s="2"/>
    </row>
    <row r="16" spans="1:8" x14ac:dyDescent="0.3">
      <c r="F16" s="2"/>
    </row>
    <row r="17" spans="6:6" x14ac:dyDescent="0.3">
      <c r="F17" s="2"/>
    </row>
    <row r="18" spans="6:6" x14ac:dyDescent="0.3">
      <c r="F18" s="2"/>
    </row>
    <row r="19" spans="6:6" x14ac:dyDescent="0.3">
      <c r="F19" s="2"/>
    </row>
    <row r="20" spans="6:6" x14ac:dyDescent="0.3">
      <c r="F20" s="2"/>
    </row>
    <row r="21" spans="6:6" x14ac:dyDescent="0.3">
      <c r="F21" s="2"/>
    </row>
    <row r="22" spans="6:6" x14ac:dyDescent="0.3">
      <c r="F22" s="2"/>
    </row>
    <row r="23" spans="6:6" x14ac:dyDescent="0.3">
      <c r="F23" s="2"/>
    </row>
    <row r="24" spans="6:6" x14ac:dyDescent="0.3">
      <c r="F24" s="2"/>
    </row>
    <row r="25" spans="6:6" x14ac:dyDescent="0.3">
      <c r="F25" s="2"/>
    </row>
    <row r="26" spans="6:6" x14ac:dyDescent="0.3">
      <c r="F26" s="2"/>
    </row>
    <row r="27" spans="6:6" x14ac:dyDescent="0.3">
      <c r="F27" s="2"/>
    </row>
    <row r="28" spans="6:6" x14ac:dyDescent="0.3">
      <c r="F28" s="2"/>
    </row>
    <row r="29" spans="6:6" x14ac:dyDescent="0.3">
      <c r="F29" s="2"/>
    </row>
    <row r="30" spans="6:6" x14ac:dyDescent="0.3">
      <c r="F30" s="2"/>
    </row>
    <row r="31" spans="6:6" x14ac:dyDescent="0.3">
      <c r="F31" s="2"/>
    </row>
    <row r="32" spans="6:6" x14ac:dyDescent="0.3">
      <c r="F32" s="2"/>
    </row>
    <row r="33" spans="6:6" x14ac:dyDescent="0.3">
      <c r="F33" s="2"/>
    </row>
    <row r="34" spans="6:6" x14ac:dyDescent="0.3">
      <c r="F34" s="2"/>
    </row>
    <row r="35" spans="6:6" x14ac:dyDescent="0.3">
      <c r="F35" s="2"/>
    </row>
    <row r="36" spans="6:6" x14ac:dyDescent="0.3">
      <c r="F36" s="2"/>
    </row>
    <row r="37" spans="6:6" x14ac:dyDescent="0.3">
      <c r="F37" s="2"/>
    </row>
    <row r="38" spans="6:6" x14ac:dyDescent="0.3">
      <c r="F38" s="2"/>
    </row>
    <row r="39" spans="6:6" x14ac:dyDescent="0.3">
      <c r="F39" s="2"/>
    </row>
    <row r="40" spans="6:6" x14ac:dyDescent="0.3">
      <c r="F40" s="2"/>
    </row>
    <row r="41" spans="6:6" x14ac:dyDescent="0.3">
      <c r="F41" s="2"/>
    </row>
    <row r="42" spans="6:6" x14ac:dyDescent="0.3">
      <c r="F42" s="2"/>
    </row>
    <row r="43" spans="6:6" x14ac:dyDescent="0.3">
      <c r="F43" s="2"/>
    </row>
    <row r="44" spans="6:6" x14ac:dyDescent="0.3">
      <c r="F44" s="2"/>
    </row>
    <row r="45" spans="6:6" x14ac:dyDescent="0.3">
      <c r="F45" s="2"/>
    </row>
    <row r="46" spans="6:6" x14ac:dyDescent="0.3">
      <c r="F46" s="2"/>
    </row>
    <row r="47" spans="6:6" x14ac:dyDescent="0.3">
      <c r="F47" s="2"/>
    </row>
    <row r="48" spans="6:6" x14ac:dyDescent="0.3">
      <c r="F48" s="2"/>
    </row>
    <row r="49" spans="6:6" x14ac:dyDescent="0.3">
      <c r="F49" s="2"/>
    </row>
    <row r="50" spans="6:6" x14ac:dyDescent="0.3">
      <c r="F50" s="2"/>
    </row>
    <row r="51" spans="6:6" x14ac:dyDescent="0.3">
      <c r="F51" s="2"/>
    </row>
    <row r="52" spans="6:6" x14ac:dyDescent="0.3">
      <c r="F52" s="2"/>
    </row>
    <row r="53" spans="6:6" x14ac:dyDescent="0.3">
      <c r="F53" s="2"/>
    </row>
    <row r="54" spans="6:6" x14ac:dyDescent="0.3">
      <c r="F54" s="2"/>
    </row>
    <row r="55" spans="6:6" x14ac:dyDescent="0.3">
      <c r="F55" s="2"/>
    </row>
    <row r="56" spans="6:6" x14ac:dyDescent="0.3">
      <c r="F56" s="2"/>
    </row>
    <row r="57" spans="6:6" x14ac:dyDescent="0.3">
      <c r="F57" s="2"/>
    </row>
    <row r="58" spans="6:6" x14ac:dyDescent="0.3">
      <c r="F58" s="2"/>
    </row>
    <row r="59" spans="6:6" x14ac:dyDescent="0.3">
      <c r="F59" s="2"/>
    </row>
    <row r="60" spans="6:6" x14ac:dyDescent="0.3">
      <c r="F60" s="2"/>
    </row>
    <row r="61" spans="6:6" x14ac:dyDescent="0.3">
      <c r="F61" s="2"/>
    </row>
    <row r="62" spans="6:6" x14ac:dyDescent="0.3">
      <c r="F62" s="2"/>
    </row>
    <row r="63" spans="6:6" x14ac:dyDescent="0.3">
      <c r="F63" s="2"/>
    </row>
    <row r="64" spans="6:6" x14ac:dyDescent="0.3">
      <c r="F64" s="2"/>
    </row>
    <row r="65" spans="6:6" x14ac:dyDescent="0.3">
      <c r="F65" s="2"/>
    </row>
    <row r="66" spans="6:6" x14ac:dyDescent="0.3">
      <c r="F66" s="2"/>
    </row>
    <row r="67" spans="6:6" x14ac:dyDescent="0.3">
      <c r="F67" s="2"/>
    </row>
    <row r="68" spans="6:6" x14ac:dyDescent="0.3">
      <c r="F68" s="2"/>
    </row>
    <row r="69" spans="6:6" x14ac:dyDescent="0.3">
      <c r="F69" s="2"/>
    </row>
    <row r="70" spans="6:6" x14ac:dyDescent="0.3">
      <c r="F70" s="2"/>
    </row>
    <row r="71" spans="6:6" x14ac:dyDescent="0.3">
      <c r="F71" s="2"/>
    </row>
    <row r="72" spans="6:6" x14ac:dyDescent="0.3">
      <c r="F72" s="2"/>
    </row>
    <row r="73" spans="6:6" x14ac:dyDescent="0.3">
      <c r="F73" s="2"/>
    </row>
    <row r="74" spans="6:6" x14ac:dyDescent="0.3">
      <c r="F74" s="2"/>
    </row>
    <row r="75" spans="6:6" x14ac:dyDescent="0.3">
      <c r="F75" s="2"/>
    </row>
    <row r="76" spans="6:6" x14ac:dyDescent="0.3">
      <c r="F76" s="2"/>
    </row>
    <row r="77" spans="6:6" x14ac:dyDescent="0.3">
      <c r="F77" s="2"/>
    </row>
    <row r="78" spans="6:6" x14ac:dyDescent="0.3">
      <c r="F78" s="2"/>
    </row>
    <row r="79" spans="6:6" x14ac:dyDescent="0.3">
      <c r="F79" s="2"/>
    </row>
    <row r="80" spans="6:6" x14ac:dyDescent="0.3">
      <c r="F80" s="2"/>
    </row>
    <row r="81" spans="6:6" x14ac:dyDescent="0.3">
      <c r="F81" s="2"/>
    </row>
    <row r="82" spans="6:6" x14ac:dyDescent="0.3">
      <c r="F82" s="2"/>
    </row>
    <row r="83" spans="6:6" x14ac:dyDescent="0.3">
      <c r="F83" s="2"/>
    </row>
    <row r="84" spans="6:6" x14ac:dyDescent="0.3">
      <c r="F84" s="2"/>
    </row>
    <row r="85" spans="6:6" x14ac:dyDescent="0.3">
      <c r="F85" s="2"/>
    </row>
    <row r="86" spans="6:6" x14ac:dyDescent="0.3">
      <c r="F86" s="2"/>
    </row>
    <row r="87" spans="6:6" x14ac:dyDescent="0.3">
      <c r="F87" s="2"/>
    </row>
    <row r="88" spans="6:6" x14ac:dyDescent="0.3">
      <c r="F88" s="2"/>
    </row>
    <row r="89" spans="6:6" x14ac:dyDescent="0.3">
      <c r="F89" s="2"/>
    </row>
    <row r="90" spans="6:6" x14ac:dyDescent="0.3">
      <c r="F90" s="2"/>
    </row>
    <row r="91" spans="6:6" x14ac:dyDescent="0.3">
      <c r="F91" s="2"/>
    </row>
    <row r="92" spans="6:6" x14ac:dyDescent="0.3">
      <c r="F92" s="2"/>
    </row>
    <row r="93" spans="6:6" x14ac:dyDescent="0.3">
      <c r="F93" s="2"/>
    </row>
    <row r="94" spans="6:6" x14ac:dyDescent="0.3">
      <c r="F94" s="2"/>
    </row>
    <row r="95" spans="6:6" x14ac:dyDescent="0.3">
      <c r="F95" s="2"/>
    </row>
    <row r="96" spans="6:6" x14ac:dyDescent="0.3">
      <c r="F96" s="2"/>
    </row>
    <row r="97" spans="6:6" x14ac:dyDescent="0.3">
      <c r="F97" s="2"/>
    </row>
    <row r="98" spans="6:6" x14ac:dyDescent="0.3">
      <c r="F98" s="2"/>
    </row>
    <row r="99" spans="6:6" x14ac:dyDescent="0.3">
      <c r="F99" s="2"/>
    </row>
    <row r="100" spans="6:6" x14ac:dyDescent="0.3">
      <c r="F100" s="2"/>
    </row>
    <row r="101" spans="6:6" x14ac:dyDescent="0.3">
      <c r="F101" s="2"/>
    </row>
    <row r="102" spans="6:6" x14ac:dyDescent="0.3">
      <c r="F102" s="2"/>
    </row>
    <row r="103" spans="6:6" x14ac:dyDescent="0.3">
      <c r="F103" s="2"/>
    </row>
    <row r="104" spans="6:6" x14ac:dyDescent="0.3">
      <c r="F104" s="2"/>
    </row>
    <row r="105" spans="6:6" x14ac:dyDescent="0.3">
      <c r="F105" s="2"/>
    </row>
    <row r="106" spans="6:6" x14ac:dyDescent="0.3">
      <c r="F106" s="2"/>
    </row>
    <row r="107" spans="6:6" x14ac:dyDescent="0.3">
      <c r="F107" s="2"/>
    </row>
    <row r="108" spans="6:6" x14ac:dyDescent="0.3">
      <c r="F108" s="2"/>
    </row>
    <row r="109" spans="6:6" x14ac:dyDescent="0.3">
      <c r="F109" s="2"/>
    </row>
    <row r="110" spans="6:6" x14ac:dyDescent="0.3">
      <c r="F110" s="2"/>
    </row>
    <row r="111" spans="6:6" x14ac:dyDescent="0.3">
      <c r="F111" s="2"/>
    </row>
    <row r="112" spans="6:6" x14ac:dyDescent="0.3">
      <c r="F112" s="2"/>
    </row>
    <row r="113" spans="6:6" x14ac:dyDescent="0.3">
      <c r="F113" s="2"/>
    </row>
    <row r="114" spans="6:6" x14ac:dyDescent="0.3">
      <c r="F114" s="2"/>
    </row>
    <row r="115" spans="6:6" x14ac:dyDescent="0.3">
      <c r="F115" s="2"/>
    </row>
    <row r="116" spans="6:6" x14ac:dyDescent="0.3">
      <c r="F116" s="2"/>
    </row>
    <row r="117" spans="6:6" x14ac:dyDescent="0.3">
      <c r="F117" s="2"/>
    </row>
    <row r="118" spans="6:6" x14ac:dyDescent="0.3">
      <c r="F118" s="2"/>
    </row>
    <row r="119" spans="6:6" x14ac:dyDescent="0.3">
      <c r="F119" s="2"/>
    </row>
    <row r="120" spans="6:6" x14ac:dyDescent="0.3">
      <c r="F120" s="2"/>
    </row>
    <row r="121" spans="6:6" x14ac:dyDescent="0.3">
      <c r="F121" s="2"/>
    </row>
    <row r="122" spans="6:6" x14ac:dyDescent="0.3">
      <c r="F122" s="2"/>
    </row>
    <row r="123" spans="6:6" x14ac:dyDescent="0.3">
      <c r="F123" s="2"/>
    </row>
    <row r="124" spans="6:6" x14ac:dyDescent="0.3">
      <c r="F124" s="2"/>
    </row>
    <row r="125" spans="6:6" x14ac:dyDescent="0.3">
      <c r="F125" s="2"/>
    </row>
    <row r="126" spans="6:6" x14ac:dyDescent="0.3">
      <c r="F126" s="2"/>
    </row>
    <row r="127" spans="6:6" x14ac:dyDescent="0.3">
      <c r="F127" s="2"/>
    </row>
    <row r="128" spans="6:6" x14ac:dyDescent="0.3">
      <c r="F128" s="2"/>
    </row>
    <row r="129" spans="6:6" x14ac:dyDescent="0.3">
      <c r="F129" s="2"/>
    </row>
    <row r="130" spans="6:6" x14ac:dyDescent="0.3">
      <c r="F130" s="2"/>
    </row>
    <row r="131" spans="6:6" x14ac:dyDescent="0.3">
      <c r="F131" s="2"/>
    </row>
    <row r="132" spans="6:6" x14ac:dyDescent="0.3">
      <c r="F132" s="2"/>
    </row>
    <row r="133" spans="6:6" x14ac:dyDescent="0.3">
      <c r="F133" s="2"/>
    </row>
    <row r="134" spans="6:6" x14ac:dyDescent="0.3">
      <c r="F134" s="2"/>
    </row>
    <row r="135" spans="6:6" x14ac:dyDescent="0.3">
      <c r="F135" s="2"/>
    </row>
    <row r="136" spans="6:6" x14ac:dyDescent="0.3">
      <c r="F136" s="2"/>
    </row>
    <row r="137" spans="6:6" x14ac:dyDescent="0.3">
      <c r="F137" s="2"/>
    </row>
    <row r="138" spans="6:6" x14ac:dyDescent="0.3">
      <c r="F138" s="2"/>
    </row>
    <row r="139" spans="6:6" x14ac:dyDescent="0.3">
      <c r="F139" s="2"/>
    </row>
    <row r="140" spans="6:6" x14ac:dyDescent="0.3">
      <c r="F140" s="2"/>
    </row>
    <row r="141" spans="6:6" x14ac:dyDescent="0.3">
      <c r="F141" s="2"/>
    </row>
    <row r="142" spans="6:6" x14ac:dyDescent="0.3">
      <c r="F142" s="2"/>
    </row>
    <row r="143" spans="6:6" x14ac:dyDescent="0.3">
      <c r="F143" s="2"/>
    </row>
    <row r="144" spans="6:6" x14ac:dyDescent="0.3">
      <c r="F144" s="2"/>
    </row>
    <row r="145" spans="6:6" x14ac:dyDescent="0.3">
      <c r="F145" s="2"/>
    </row>
    <row r="146" spans="6:6" x14ac:dyDescent="0.3">
      <c r="F146" s="2"/>
    </row>
    <row r="147" spans="6:6" x14ac:dyDescent="0.3">
      <c r="F147" s="2"/>
    </row>
    <row r="148" spans="6:6" x14ac:dyDescent="0.3">
      <c r="F148" s="2"/>
    </row>
    <row r="149" spans="6:6" x14ac:dyDescent="0.3">
      <c r="F149" s="2"/>
    </row>
    <row r="150" spans="6:6" x14ac:dyDescent="0.3">
      <c r="F150" s="2"/>
    </row>
    <row r="151" spans="6:6" x14ac:dyDescent="0.3">
      <c r="F151" s="2"/>
    </row>
    <row r="152" spans="6:6" x14ac:dyDescent="0.3">
      <c r="F152" s="2"/>
    </row>
    <row r="153" spans="6:6" x14ac:dyDescent="0.3">
      <c r="F153" s="2"/>
    </row>
    <row r="154" spans="6:6" x14ac:dyDescent="0.3">
      <c r="F154" s="2"/>
    </row>
    <row r="155" spans="6:6" x14ac:dyDescent="0.3">
      <c r="F155" s="2"/>
    </row>
    <row r="156" spans="6:6" x14ac:dyDescent="0.3">
      <c r="F156" s="2"/>
    </row>
    <row r="157" spans="6:6" x14ac:dyDescent="0.3">
      <c r="F157" s="2"/>
    </row>
    <row r="158" spans="6:6" x14ac:dyDescent="0.3">
      <c r="F158" s="2"/>
    </row>
    <row r="159" spans="6:6" x14ac:dyDescent="0.3">
      <c r="F159" s="2"/>
    </row>
    <row r="160" spans="6:6" x14ac:dyDescent="0.3">
      <c r="F160" s="2"/>
    </row>
    <row r="161" spans="6:6" x14ac:dyDescent="0.3">
      <c r="F161" s="2"/>
    </row>
    <row r="162" spans="6:6" x14ac:dyDescent="0.3">
      <c r="F162" s="2"/>
    </row>
    <row r="163" spans="6:6" x14ac:dyDescent="0.3">
      <c r="F163" s="2"/>
    </row>
    <row r="164" spans="6:6" x14ac:dyDescent="0.3">
      <c r="F164" s="2"/>
    </row>
    <row r="165" spans="6:6" x14ac:dyDescent="0.3">
      <c r="F165" s="2"/>
    </row>
    <row r="166" spans="6:6" x14ac:dyDescent="0.3">
      <c r="F166" s="2"/>
    </row>
    <row r="167" spans="6:6" x14ac:dyDescent="0.3">
      <c r="F167" s="2"/>
    </row>
    <row r="168" spans="6:6" x14ac:dyDescent="0.3">
      <c r="F168" s="2"/>
    </row>
    <row r="169" spans="6:6" x14ac:dyDescent="0.3">
      <c r="F169" s="2"/>
    </row>
    <row r="170" spans="6:6" x14ac:dyDescent="0.3">
      <c r="F170" s="2"/>
    </row>
    <row r="171" spans="6:6" x14ac:dyDescent="0.3">
      <c r="F171" s="2"/>
    </row>
    <row r="172" spans="6:6" x14ac:dyDescent="0.3">
      <c r="F172" s="2"/>
    </row>
    <row r="173" spans="6:6" x14ac:dyDescent="0.3">
      <c r="F173" s="2"/>
    </row>
    <row r="174" spans="6:6" x14ac:dyDescent="0.3">
      <c r="F174" s="2"/>
    </row>
    <row r="175" spans="6:6" x14ac:dyDescent="0.3">
      <c r="F175" s="2"/>
    </row>
    <row r="176" spans="6:6" x14ac:dyDescent="0.3">
      <c r="F176" s="2"/>
    </row>
    <row r="177" spans="6:6" x14ac:dyDescent="0.3">
      <c r="F177" s="2"/>
    </row>
    <row r="178" spans="6:6" x14ac:dyDescent="0.3">
      <c r="F178" s="2"/>
    </row>
    <row r="179" spans="6:6" x14ac:dyDescent="0.3">
      <c r="F179" s="2"/>
    </row>
    <row r="180" spans="6:6" x14ac:dyDescent="0.3">
      <c r="F180" s="2"/>
    </row>
    <row r="181" spans="6:6" x14ac:dyDescent="0.3">
      <c r="F181" s="2"/>
    </row>
    <row r="182" spans="6:6" x14ac:dyDescent="0.3">
      <c r="F182" s="2"/>
    </row>
    <row r="183" spans="6:6" x14ac:dyDescent="0.3">
      <c r="F183" s="2"/>
    </row>
    <row r="184" spans="6:6" x14ac:dyDescent="0.3">
      <c r="F184" s="2"/>
    </row>
    <row r="185" spans="6:6" x14ac:dyDescent="0.3">
      <c r="F185" s="2"/>
    </row>
    <row r="186" spans="6:6" x14ac:dyDescent="0.3">
      <c r="F186" s="2"/>
    </row>
    <row r="187" spans="6:6" x14ac:dyDescent="0.3">
      <c r="F187" s="2"/>
    </row>
    <row r="188" spans="6:6" x14ac:dyDescent="0.3">
      <c r="F188" s="2"/>
    </row>
    <row r="189" spans="6:6" x14ac:dyDescent="0.3">
      <c r="F189" s="2"/>
    </row>
    <row r="190" spans="6:6" x14ac:dyDescent="0.3">
      <c r="F190" s="2"/>
    </row>
    <row r="191" spans="6:6" x14ac:dyDescent="0.3">
      <c r="F191" s="2"/>
    </row>
    <row r="192" spans="6:6" x14ac:dyDescent="0.3">
      <c r="F192" s="2"/>
    </row>
    <row r="193" spans="6:6" x14ac:dyDescent="0.3">
      <c r="F193" s="2"/>
    </row>
    <row r="194" spans="6:6" x14ac:dyDescent="0.3">
      <c r="F194" s="2"/>
    </row>
    <row r="195" spans="6:6" x14ac:dyDescent="0.3">
      <c r="F195" s="2"/>
    </row>
    <row r="196" spans="6:6" x14ac:dyDescent="0.3">
      <c r="F196" s="2"/>
    </row>
    <row r="197" spans="6:6" x14ac:dyDescent="0.3">
      <c r="F197" s="2"/>
    </row>
    <row r="198" spans="6:6" x14ac:dyDescent="0.3">
      <c r="F198" s="2"/>
    </row>
    <row r="199" spans="6:6" x14ac:dyDescent="0.3">
      <c r="F199" s="2"/>
    </row>
    <row r="200" spans="6:6" x14ac:dyDescent="0.3">
      <c r="F200" s="2"/>
    </row>
    <row r="201" spans="6:6" x14ac:dyDescent="0.3">
      <c r="F201" s="2"/>
    </row>
    <row r="202" spans="6:6" x14ac:dyDescent="0.3">
      <c r="F202" s="2"/>
    </row>
    <row r="203" spans="6:6" x14ac:dyDescent="0.3">
      <c r="F203" s="2"/>
    </row>
    <row r="204" spans="6:6" x14ac:dyDescent="0.3">
      <c r="F204" s="2"/>
    </row>
    <row r="205" spans="6:6" x14ac:dyDescent="0.3">
      <c r="F205" s="2"/>
    </row>
    <row r="206" spans="6:6" x14ac:dyDescent="0.3">
      <c r="F206" s="2"/>
    </row>
    <row r="207" spans="6:6" x14ac:dyDescent="0.3">
      <c r="F207" s="2"/>
    </row>
    <row r="208" spans="6:6" x14ac:dyDescent="0.3">
      <c r="F208" s="2"/>
    </row>
    <row r="209" spans="6:6" x14ac:dyDescent="0.3">
      <c r="F209" s="2"/>
    </row>
    <row r="210" spans="6:6" x14ac:dyDescent="0.3">
      <c r="F210" s="2"/>
    </row>
  </sheetData>
  <sortState xmlns:xlrd2="http://schemas.microsoft.com/office/spreadsheetml/2017/richdata2" ref="E2:H212">
    <sortCondition descending="1" ref="F2:F21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8078C-8068-4F26-9AA3-8D4ED3003936}">
  <dimension ref="A1:T29"/>
  <sheetViews>
    <sheetView workbookViewId="0">
      <selection activeCell="E9" sqref="E9"/>
    </sheetView>
  </sheetViews>
  <sheetFormatPr defaultColWidth="9.140625" defaultRowHeight="18.75" x14ac:dyDescent="0.3"/>
  <cols>
    <col min="1" max="1" width="154.5703125" style="3" bestFit="1" customWidth="1"/>
    <col min="2" max="2" width="9.140625" style="2"/>
    <col min="3" max="3" width="9.28515625" style="2" bestFit="1" customWidth="1"/>
    <col min="4" max="4" width="209.7109375" style="1" bestFit="1" customWidth="1"/>
    <col min="5" max="5" width="255.5703125" style="3" customWidth="1"/>
    <col min="6" max="6" width="9.140625" style="2"/>
    <col min="7" max="7" width="9.28515625" style="2" bestFit="1" customWidth="1"/>
    <col min="8" max="8" width="255.5703125" style="1" customWidth="1"/>
    <col min="9" max="9" width="92.5703125" style="3" bestFit="1" customWidth="1"/>
    <col min="10" max="10" width="9.140625" style="2"/>
    <col min="11" max="11" width="9.28515625" style="2" bestFit="1" customWidth="1"/>
    <col min="12" max="12" width="147.7109375" style="1" bestFit="1" customWidth="1"/>
    <col min="13" max="13" width="97" style="3" bestFit="1" customWidth="1"/>
    <col min="14" max="14" width="9.140625" style="2"/>
    <col min="15" max="15" width="9.28515625" style="2" bestFit="1" customWidth="1"/>
    <col min="16" max="16" width="152.140625" style="1" bestFit="1" customWidth="1"/>
    <col min="17" max="17" width="98.42578125" style="3" bestFit="1" customWidth="1"/>
    <col min="18" max="18" width="9.140625" style="2"/>
    <col min="19" max="19" width="9.28515625" style="2" bestFit="1" customWidth="1"/>
    <col min="20" max="20" width="155.140625" style="1" bestFit="1" customWidth="1"/>
    <col min="21" max="16384" width="9.140625" style="3"/>
  </cols>
  <sheetData>
    <row r="1" spans="1:20" x14ac:dyDescent="0.3">
      <c r="A1" s="7" t="s">
        <v>450</v>
      </c>
      <c r="B1" s="5" t="s">
        <v>18</v>
      </c>
      <c r="C1" s="5" t="str">
        <f>"d" &amp; SUM(B:B)</f>
        <v>d100</v>
      </c>
      <c r="D1" s="4" t="str">
        <f>"!import-table --" &amp; A1 &amp; " --hide"</f>
        <v>!import-table --Treasure-Hoard-Tier-0 --hide</v>
      </c>
      <c r="E1" s="7" t="s">
        <v>449</v>
      </c>
      <c r="F1" s="5" t="s">
        <v>18</v>
      </c>
      <c r="G1" s="5" t="str">
        <f>"d" &amp; SUM(F:F)</f>
        <v>d100</v>
      </c>
      <c r="H1" s="4" t="str">
        <f>"!import-table --" &amp; E1 &amp; " --hide"</f>
        <v>!import-table --Treasure-Hoard-Tier-1 --hide</v>
      </c>
      <c r="I1" s="7" t="s">
        <v>448</v>
      </c>
      <c r="J1" s="5" t="s">
        <v>18</v>
      </c>
      <c r="K1" s="5" t="str">
        <f>"d" &amp; SUM(J:J)</f>
        <v>d100</v>
      </c>
      <c r="L1" s="4" t="str">
        <f>"!import-table --" &amp; I1 &amp; " --hide"</f>
        <v>!import-table --Treasure-Hoard-Tier-2 --hide</v>
      </c>
      <c r="M1" s="7" t="s">
        <v>447</v>
      </c>
      <c r="N1" s="5" t="s">
        <v>18</v>
      </c>
      <c r="O1" s="5" t="str">
        <f>"d" &amp; SUM(N:N)</f>
        <v>d100</v>
      </c>
      <c r="P1" s="4" t="str">
        <f>"!import-table --" &amp; M1 &amp; " --hide"</f>
        <v>!import-table --Treasure-Hoard-Tier-3 --hide</v>
      </c>
      <c r="Q1" s="7" t="s">
        <v>446</v>
      </c>
      <c r="R1" s="5" t="s">
        <v>18</v>
      </c>
      <c r="S1" s="5" t="str">
        <f>"d" &amp; SUM(R:R)</f>
        <v>d100</v>
      </c>
      <c r="T1" s="4" t="str">
        <f>"!import-table --" &amp; Q1 &amp; " --hide"</f>
        <v>!import-table --Treasure-Hoard-Tier-4 --hide</v>
      </c>
    </row>
    <row r="2" spans="1:20" x14ac:dyDescent="0.3">
      <c r="A2" s="3" t="s">
        <v>466</v>
      </c>
      <c r="B2" s="2">
        <v>5</v>
      </c>
      <c r="C2" s="2" t="str">
        <f>IF(B2=0,"-",IF(B2=1,SUM(B$1:B1)+1,SUM(B$1:B1)+1 &amp; "-" &amp; SUM(B$1:B2)))</f>
        <v>1-5</v>
      </c>
      <c r="D2" s="1" t="str">
        <f t="shared" ref="D2:D8" si="0">"!import-table-item --" &amp; A$1 &amp; " --" &amp; A2 &amp; " --" &amp; B2</f>
        <v>!import-table-item --Treasure-Hoard-Tier-0 --[[1d6]] pp &amp; [[4d6]] gp &amp; [[6d8]] sp &amp; [[10d10]] cp --5</v>
      </c>
      <c r="E2" s="3" t="s">
        <v>473</v>
      </c>
      <c r="F2" s="2">
        <v>5</v>
      </c>
      <c r="G2" s="2" t="str">
        <f>IF(F2=0,"-",IF(F2=1,SUM(F$1:F1)+1,SUM(F$1:F1)+1 &amp; "-" &amp; SUM(F$1:F2)))</f>
        <v>1-5</v>
      </c>
      <c r="H2" s="1" t="str">
        <f t="shared" ref="H2:H8" si="1">"!import-table-item --" &amp; E$1 &amp; " --" &amp; E2 &amp; " --" &amp; F2</f>
        <v>!import-table-item --Treasure-Hoard-Tier-1 --[[1d6*10+1d10]] pp &amp; [[4d6*10+1d10]] gp &amp; [[6d8*10+1d10]] sp &amp; [[10d10*10+1d10]] cp &amp; [[ [[3d6]]t[Gems-1-25-gp] ]]  --5</v>
      </c>
      <c r="I2" s="3" t="s">
        <v>445</v>
      </c>
      <c r="J2" s="2">
        <v>5</v>
      </c>
      <c r="K2" s="2" t="str">
        <f>IF(J2=0,"-",IF(J2=1,SUM(J$1:J1)+1,SUM(J$1:J1)+1 &amp; "-" &amp; SUM(J$1:J2)))</f>
        <v>1-5</v>
      </c>
      <c r="L2" s="1" t="str">
        <f t="shared" ref="L2:L8" si="2">"!import-table-item --" &amp; I$1 &amp; " --" &amp; I2 &amp; " --" &amp; J2</f>
        <v>!import-table-item --Treasure-Hoard-Tier-2 --[[4d6*100]] pp &amp; [[ [[1d6]]t[Gems-4-500-gp] ]] --5</v>
      </c>
      <c r="M2" s="3" t="s">
        <v>444</v>
      </c>
      <c r="N2" s="2">
        <v>5</v>
      </c>
      <c r="O2" s="2" t="str">
        <f>IF(N2=0,"-",IF(N2=1,SUM(N$1:N1)+1,SUM(N$1:N1)+1 &amp; "-" &amp; SUM(N$1:N2)))</f>
        <v>1-5</v>
      </c>
      <c r="P2" s="1" t="str">
        <f t="shared" ref="P2:P8" si="3">"!import-table-item --" &amp; M$1 &amp; " --" &amp; M2 &amp; " --" &amp; N2</f>
        <v>!import-table-item --Treasure-Hoard-Tier-3 --[[4d6*1000]] pp &amp; [[ [[1d6]]t[Gems-6-5000-gp] ]] --5</v>
      </c>
      <c r="Q2" s="3" t="s">
        <v>443</v>
      </c>
      <c r="R2" s="2">
        <v>20</v>
      </c>
      <c r="S2" s="2" t="str">
        <f>IF(R2=0,"-",IF(R2=1,SUM(R$1:R1)+1,SUM(R$1:R1)+1 &amp; "-" &amp; SUM(R$1:R2)))</f>
        <v>1-20</v>
      </c>
      <c r="T2" s="1" t="str">
        <f>"!import-table-item --" &amp; Q$1 &amp; " --" &amp; Q2 &amp; " --" &amp; R2</f>
        <v>!import-table-item --Treasure-Hoard-Tier-4 --[[4d6*10000]] pp &amp; [[ [[1d6]]t[Gems-8-50000-gp] ]] --20</v>
      </c>
    </row>
    <row r="3" spans="1:20" x14ac:dyDescent="0.3">
      <c r="A3" s="3" t="s">
        <v>467</v>
      </c>
      <c r="B3" s="2">
        <v>15</v>
      </c>
      <c r="C3" s="2" t="str">
        <f>IF(B3=0,"-",IF(B3=1,SUM(B$1:B2)+1,SUM(B$1:B2)+1 &amp; "-" &amp; SUM(B$1:B3)))</f>
        <v>6-20</v>
      </c>
      <c r="D3" s="1" t="str">
        <f t="shared" si="0"/>
        <v>!import-table-item --Treasure-Hoard-Tier-0 --[[1d6]] pp &amp; [[4d6]] gp &amp; [[6d8]] sp &amp; [[10d10]] cp &amp; [[ 1t[Gems-1-25-gp] ]] --15</v>
      </c>
      <c r="E3" s="3" t="s">
        <v>472</v>
      </c>
      <c r="F3" s="2">
        <v>15</v>
      </c>
      <c r="G3" s="2" t="str">
        <f>IF(F3=0,"-",IF(F3=1,SUM(F$1:F2)+1,SUM(F$1:F2)+1 &amp; "-" &amp; SUM(F$1:F3)))</f>
        <v>6-20</v>
      </c>
      <c r="H3" s="1" t="str">
        <f t="shared" si="1"/>
        <v>!import-table-item --Treasure-Hoard-Tier-1 --[[1d6*10+1d10]] pp &amp; [[4d6*10+1d10]] gp &amp; [[6d8*10+1d10]] sp &amp; [[10d10*10+1d10]] cp &amp; [[ [[3d6]]t[Gems-1-25-gp] ]] &amp; [[ [[1d4]]t[Gems-2-50-gp] ]] --15</v>
      </c>
      <c r="I3" s="3" t="s">
        <v>442</v>
      </c>
      <c r="J3" s="2">
        <v>15</v>
      </c>
      <c r="K3" s="2" t="str">
        <f>IF(J3=0,"-",IF(J3=1,SUM(J$1:J2)+1,SUM(J$1:J2)+1 &amp; "-" &amp; SUM(J$1:J3)))</f>
        <v>6-20</v>
      </c>
      <c r="L3" s="1" t="str">
        <f t="shared" si="2"/>
        <v>!import-table-item --Treasure-Hoard-Tier-2 --[[4d6*100]] pp &amp; [[ [[1d6]]t[Gems-4-500-gp] ]] &amp; [[ 1t[Art-4-5000-gp] ]] --15</v>
      </c>
      <c r="M3" s="3" t="s">
        <v>441</v>
      </c>
      <c r="N3" s="2">
        <v>15</v>
      </c>
      <c r="O3" s="2" t="str">
        <f>IF(N3=0,"-",IF(N3=1,SUM(N$1:N2)+1,SUM(N$1:N2)+1 &amp; "-" &amp; SUM(N$1:N3)))</f>
        <v>6-20</v>
      </c>
      <c r="P3" s="1" t="str">
        <f t="shared" si="3"/>
        <v>!import-table-item --Treasure-Hoard-Tier-3 --[[4d6*1000]] pp &amp; [[ [[1d6]]t[Gems-6-5000-gp] ]] &amp; [[ 1t[Art-6-50000-gp] ]] --15</v>
      </c>
      <c r="Q3" s="3" t="s">
        <v>440</v>
      </c>
      <c r="R3" s="2">
        <v>60</v>
      </c>
      <c r="S3" s="2" t="str">
        <f>IF(R3=0,"-",IF(R3=1,SUM(R$1:R2)+1,SUM(R$1:R2)+1 &amp; "-" &amp; SUM(R$1:R3)))</f>
        <v>21-80</v>
      </c>
      <c r="T3" s="1" t="str">
        <f>"!import-table-item --" &amp; Q$1 &amp; " --" &amp; Q3 &amp; " --" &amp; R3</f>
        <v>!import-table-item --Treasure-Hoard-Tier-4 --[[4d6*10000]] pp &amp; [[ [[1d6]]t[Gems-8-50000-gp] ]] &amp; [[ 1t[Art-8-500000-gp] ]] --60</v>
      </c>
    </row>
    <row r="4" spans="1:20" x14ac:dyDescent="0.3">
      <c r="A4" s="3" t="s">
        <v>468</v>
      </c>
      <c r="B4" s="2">
        <v>20</v>
      </c>
      <c r="C4" s="2" t="str">
        <f>IF(B4=0,"-",IF(B4=1,SUM(B$1:B3)+1,SUM(B$1:B3)+1 &amp; "-" &amp; SUM(B$1:B4)))</f>
        <v>21-40</v>
      </c>
      <c r="D4" s="1" t="str">
        <f t="shared" si="0"/>
        <v>!import-table-item --Treasure-Hoard-Tier-0 --[[1d6]] pp &amp; [[4d6]] gp &amp; [[6d8]] sp &amp; [[10d10]] cp &amp; [[ [[1d4]]t[Gems-1-25-gp] ]] --20</v>
      </c>
      <c r="E4" s="3" t="s">
        <v>474</v>
      </c>
      <c r="F4" s="2">
        <v>20</v>
      </c>
      <c r="G4" s="2" t="str">
        <f>IF(F4=0,"-",IF(F4=1,SUM(F$1:F3)+1,SUM(F$1:F3)+1 &amp; "-" &amp; SUM(F$1:F4)))</f>
        <v>21-40</v>
      </c>
      <c r="H4" s="1" t="str">
        <f t="shared" si="1"/>
        <v>!import-table-item --Treasure-Hoard-Tier-1 --[[1d6*10+1d10]] pp &amp; [[4d6*10+1d10]] gp &amp; [[6d8*10+1d10]] sp &amp; [[10d10*10+1d10]] cp &amp; [[ [[3d6]]t[Gems-1-25-gp] ]] &amp; [[ [[2d4]]t[Gems-2-50-gp] ]] &amp; [[ [[1d4]]t[Art-1-100-gp] ]] --20</v>
      </c>
      <c r="I4" s="3" t="s">
        <v>439</v>
      </c>
      <c r="J4" s="2">
        <v>20</v>
      </c>
      <c r="K4" s="2" t="str">
        <f>IF(J4=0,"-",IF(J4=1,SUM(J$1:J3)+1,SUM(J$1:J3)+1 &amp; "-" &amp; SUM(J$1:J4)))</f>
        <v>21-40</v>
      </c>
      <c r="L4" s="1" t="str">
        <f t="shared" si="2"/>
        <v>!import-table-item --Treasure-Hoard-Tier-2 --[[4d6*100]] pp &amp; [[ [[1d6]]t[Gems-4-500-gp] ]] &amp; [[ [[1d4]]t[Art-4-5000-gp] ]] --20</v>
      </c>
      <c r="M4" s="3" t="s">
        <v>438</v>
      </c>
      <c r="N4" s="2">
        <v>20</v>
      </c>
      <c r="O4" s="2" t="str">
        <f>IF(N4=0,"-",IF(N4=1,SUM(N$1:N3)+1,SUM(N$1:N3)+1 &amp; "-" &amp; SUM(N$1:N4)))</f>
        <v>21-40</v>
      </c>
      <c r="P4" s="1" t="str">
        <f t="shared" si="3"/>
        <v>!import-table-item --Treasure-Hoard-Tier-3 --[[4d6*1000]] pp &amp; [[ [[1d6]]t[Gems-6-5000-gp] ]] &amp; [[ [[1d4]]t[Art-6-50000-gp] ]] --20</v>
      </c>
      <c r="Q4" s="3" t="s">
        <v>437</v>
      </c>
      <c r="R4" s="2">
        <v>20</v>
      </c>
      <c r="S4" s="2" t="str">
        <f>IF(R4=0,"-",IF(R4=1,SUM(R$1:R3)+1,SUM(R$1:R3)+1 &amp; "-" &amp; SUM(R$1:R4)))</f>
        <v>81-100</v>
      </c>
      <c r="T4" s="1" t="str">
        <f>"!import-table-item --" &amp; Q$1 &amp; " --" &amp; Q4 &amp; " --" &amp; R4</f>
        <v>!import-table-item --Treasure-Hoard-Tier-4 --[[4d6*10000]] pp &amp; [[ [[1d6]]t[Gems-8-50000-gp] ]] &amp; [[ [[1d4]]t[Art-8-500000-gp] ]] --20</v>
      </c>
    </row>
    <row r="5" spans="1:20" x14ac:dyDescent="0.3">
      <c r="A5" s="3" t="s">
        <v>469</v>
      </c>
      <c r="B5" s="2">
        <v>20</v>
      </c>
      <c r="C5" s="2" t="str">
        <f>IF(B5=0,"-",IF(B5=1,SUM(B$1:B4)+1,SUM(B$1:B4)+1 &amp; "-" &amp; SUM(B$1:B5)))</f>
        <v>41-60</v>
      </c>
      <c r="D5" s="1" t="str">
        <f t="shared" si="0"/>
        <v>!import-table-item --Treasure-Hoard-Tier-0 --[[1d6]] pp &amp; [[4d6]] gp &amp; [[6d8]] sp &amp; [[10d10]] cp &amp; [[ [[2d4]]t[Gems-1-25-gp] ]] --20</v>
      </c>
      <c r="E5" s="3" t="s">
        <v>476</v>
      </c>
      <c r="F5" s="2">
        <v>20</v>
      </c>
      <c r="G5" s="2" t="str">
        <f>IF(F5=0,"-",IF(F5=1,SUM(F$1:F4)+1,SUM(F$1:F4)+1 &amp; "-" &amp; SUM(F$1:F5)))</f>
        <v>41-60</v>
      </c>
      <c r="H5" s="1" t="str">
        <f t="shared" si="1"/>
        <v>!import-table-item --Treasure-Hoard-Tier-1 --[[1d6*10+1d10]] pp &amp; [[4d6*10+1d10]] gp &amp; [[6d8*10+1d10]] sp &amp; [[10d10*10+1d10]] cp &amp; [[ [[3d6]]t[Gems-1-25-gp] ]] &amp; [[ [[2d4]]t[Gems-2-50-gp] ]] &amp; [[ [[1d4]]t[Art-1-100-gp] ]] &amp; [[ [[1d4]]t[Gems-3-125-gp] ]] --20</v>
      </c>
      <c r="I5" s="3" t="s">
        <v>436</v>
      </c>
      <c r="J5" s="2">
        <v>20</v>
      </c>
      <c r="K5" s="2" t="str">
        <f>IF(J5=0,"-",IF(J5=1,SUM(J$1:J4)+1,SUM(J$1:J4)+1 &amp; "-" &amp; SUM(J$1:J5)))</f>
        <v>41-60</v>
      </c>
      <c r="L5" s="1" t="str">
        <f t="shared" si="2"/>
        <v>!import-table-item --Treasure-Hoard-Tier-2 --[[4d6*100]] pp &amp; [[ [[1d6]]t[Gems-5-1250-gp] ]] &amp; [[ 1t[Art-4-5000-gp] ]] --20</v>
      </c>
      <c r="M5" s="3" t="s">
        <v>435</v>
      </c>
      <c r="N5" s="2">
        <v>20</v>
      </c>
      <c r="O5" s="2" t="str">
        <f>IF(N5=0,"-",IF(N5=1,SUM(N$1:N4)+1,SUM(N$1:N4)+1 &amp; "-" &amp; SUM(N$1:N5)))</f>
        <v>41-60</v>
      </c>
      <c r="P5" s="1" t="str">
        <f t="shared" si="3"/>
        <v>!import-table-item --Treasure-Hoard-Tier-3 --[[4d6*1000]] pp &amp; [[ [[1d6]]t[Gems-7-12500-gp] ]] &amp; [[ 1t[Art-6-50000-gp] ]] --20</v>
      </c>
    </row>
    <row r="6" spans="1:20" x14ac:dyDescent="0.3">
      <c r="A6" s="3" t="s">
        <v>470</v>
      </c>
      <c r="B6" s="2">
        <v>20</v>
      </c>
      <c r="C6" s="2" t="str">
        <f>IF(B6=0,"-",IF(B6=1,SUM(B$1:B5)+1,SUM(B$1:B5)+1 &amp; "-" &amp; SUM(B$1:B6)))</f>
        <v>61-80</v>
      </c>
      <c r="D6" s="1" t="str">
        <f t="shared" si="0"/>
        <v>!import-table-item --Treasure-Hoard-Tier-0 --[[1d6]] pp &amp; [[4d6]] gp &amp; [[6d8]] sp &amp; [[10d10]] cp &amp; [[ [[2d4]]t[Gems-1-25-gp] ]] &amp; [[ 1t[Gems-2-50-gp] ]] --20</v>
      </c>
      <c r="E6" s="3" t="s">
        <v>477</v>
      </c>
      <c r="F6" s="2">
        <v>20</v>
      </c>
      <c r="G6" s="2" t="str">
        <f>IF(F6=0,"-",IF(F6=1,SUM(F$1:F5)+1,SUM(F$1:F5)+1 &amp; "-" &amp; SUM(F$1:F6)))</f>
        <v>61-80</v>
      </c>
      <c r="H6" s="1" t="str">
        <f t="shared" si="1"/>
        <v>!import-table-item --Treasure-Hoard-Tier-1 --[[1d6*10+1d10]] pp &amp; [[4d6*10+1d10]] gp &amp; [[6d8*10+1d10]] sp &amp; [[10d10*10+1d10]] cp &amp; [[ [[3d6]]t[Gems-1-25-gp] ]] &amp; [[ [[2d4]]t[Gems-2-50-gp] ]] &amp; [[ [[1d4]]t[Art-1-100-gp] ]] &amp; [[ [[2d4]]t[Gems-3-125-gp] ]] &amp; [[ 1t[Art-2-500-gp] ]] --20</v>
      </c>
      <c r="I6" s="3" t="s">
        <v>434</v>
      </c>
      <c r="J6" s="2">
        <v>20</v>
      </c>
      <c r="K6" s="2" t="str">
        <f>IF(J6=0,"-",IF(J6=1,SUM(J$1:J5)+1,SUM(J$1:J5)+1 &amp; "-" &amp; SUM(J$1:J6)))</f>
        <v>61-80</v>
      </c>
      <c r="L6" s="1" t="str">
        <f t="shared" si="2"/>
        <v>!import-table-item --Treasure-Hoard-Tier-2 --[[4d6*100]] pp &amp; [[ [[1d6]]t[Gems-5-1250-gp] ]] &amp; [[ [[1d4]]t[Art-4-5000-gp] ]] --20</v>
      </c>
      <c r="M6" s="3" t="s">
        <v>433</v>
      </c>
      <c r="N6" s="2">
        <v>20</v>
      </c>
      <c r="O6" s="2" t="str">
        <f>IF(N6=0,"-",IF(N6=1,SUM(N$1:N5)+1,SUM(N$1:N5)+1 &amp; "-" &amp; SUM(N$1:N6)))</f>
        <v>61-80</v>
      </c>
      <c r="P6" s="1" t="str">
        <f t="shared" si="3"/>
        <v>!import-table-item --Treasure-Hoard-Tier-3 --[[4d6*1000]] pp &amp; [[ [[1d6]]t[Gems-7-12500-gp] ]] &amp; [[ [[1d4]]t[Art-6-50000-gp] ]] --20</v>
      </c>
    </row>
    <row r="7" spans="1:20" x14ac:dyDescent="0.3">
      <c r="A7" s="3" t="s">
        <v>471</v>
      </c>
      <c r="B7" s="2">
        <v>15</v>
      </c>
      <c r="C7" s="2" t="str">
        <f>IF(B7=0,"-",IF(B7=1,SUM(B$1:B6)+1,SUM(B$1:B6)+1 &amp; "-" &amp; SUM(B$1:B7)))</f>
        <v>81-95</v>
      </c>
      <c r="D7" s="1" t="str">
        <f t="shared" si="0"/>
        <v>!import-table-item --Treasure-Hoard-Tier-0 --[[1d6]] pp &amp; [[4d6]] gp &amp; [[6d8]] sp &amp; [[10d10]] cp &amp; [[ [[2d4]]t[Gems-1-25-gp] ]] &amp; [[ 1t[Gems-2-50-gp] ]] &amp; [[ 1t[Art-1-100-gp] ]] --15</v>
      </c>
      <c r="E7" s="3" t="s">
        <v>478</v>
      </c>
      <c r="F7" s="2">
        <v>15</v>
      </c>
      <c r="G7" s="2" t="str">
        <f>IF(F7=0,"-",IF(F7=1,SUM(F$1:F6)+1,SUM(F$1:F6)+1 &amp; "-" &amp; SUM(F$1:F7)))</f>
        <v>81-95</v>
      </c>
      <c r="H7" s="1" t="str">
        <f t="shared" si="1"/>
        <v>!import-table-item --Treasure-Hoard-Tier-1 --[[1d6*10+1d10]] pp &amp; [[4d6*10+1d10]] gp &amp; [[6d8*10+1d10]] sp &amp; [[10d10*10+1d10]] cp &amp; [[ [[3d6]]t[Gems-1-25-gp] ]] &amp; [[ [[2d4]]t[Gems-2-50-gp] ]] &amp; [[ [[1d4]]t[Art-1-100-gp] ]] &amp; [[ [[2d4]]t[Gems-3-125-gp] ]] &amp; [[ 1t[Art-2-500-gp] ]] &amp; [[ 1t[Gems-4-500-gp] ]] --15</v>
      </c>
      <c r="I7" s="3" t="s">
        <v>432</v>
      </c>
      <c r="J7" s="2">
        <v>15</v>
      </c>
      <c r="K7" s="2" t="str">
        <f>IF(J7=0,"-",IF(J7=1,SUM(J$1:J6)+1,SUM(J$1:J6)+1 &amp; "-" &amp; SUM(J$1:J7)))</f>
        <v>81-95</v>
      </c>
      <c r="L7" s="1" t="str">
        <f t="shared" si="2"/>
        <v>!import-table-item --Treasure-Hoard-Tier-2 --[[4d6*100]] pp &amp; [[ [[1d6]]t[Gems-5-1250-gp] ]] &amp; [[ 1t[Art-5-12500-gp] ]] --15</v>
      </c>
      <c r="M7" s="3" t="s">
        <v>431</v>
      </c>
      <c r="N7" s="2">
        <v>15</v>
      </c>
      <c r="O7" s="2" t="str">
        <f>IF(N7=0,"-",IF(N7=1,SUM(N$1:N6)+1,SUM(N$1:N6)+1 &amp; "-" &amp; SUM(N$1:N7)))</f>
        <v>81-95</v>
      </c>
      <c r="P7" s="1" t="str">
        <f t="shared" si="3"/>
        <v>!import-table-item --Treasure-Hoard-Tier-3 --[[4d6*1000]] pp &amp; [[ [[1d6]]t[Gems-7-12500-gp] ]] &amp; [[ 1t[Art-7-125000-gp] ]] --15</v>
      </c>
    </row>
    <row r="8" spans="1:20" x14ac:dyDescent="0.3">
      <c r="A8" s="3" t="s">
        <v>475</v>
      </c>
      <c r="B8" s="2">
        <v>5</v>
      </c>
      <c r="C8" s="2" t="str">
        <f>IF(B8=0,"-",IF(B8=1,SUM(B$1:B7)+1,SUM(B$1:B7)+1 &amp; "-" &amp; SUM(B$1:B8)))</f>
        <v>96-100</v>
      </c>
      <c r="D8" s="1" t="str">
        <f t="shared" si="0"/>
        <v>!import-table-item --Treasure-Hoard-Tier-0 --[[1d6]] pp &amp; [[4d6]] gp &amp; [[6d8]] sp &amp; [[10d10]] cp &amp; [[ [[3d4]]t[Gems-1-25-gp] ]] &amp; [[ [[1d4]]t[Gems-2-50-gp] ]] &amp; [[ 1t[Art-1-100-gp] ]] --5</v>
      </c>
      <c r="E8" s="3" t="s">
        <v>479</v>
      </c>
      <c r="F8" s="2">
        <v>5</v>
      </c>
      <c r="G8" s="2" t="str">
        <f>IF(F8=0,"-",IF(F8=1,SUM(F$1:F7)+1,SUM(F$1:F7)+1 &amp; "-" &amp; SUM(F$1:F8)))</f>
        <v>96-100</v>
      </c>
      <c r="H8" s="1" t="str">
        <f t="shared" si="1"/>
        <v>!import-table-item --Treasure-Hoard-Tier-1 --[[1d6*10+1d10]] pp &amp; [[4d6*10+1d10]] gp &amp; [[6d8*10+1d10]] sp &amp; [[10d10*10+1d10]] cp &amp; [[ [[3d6]]t[Gems-1-25-gp] ]] &amp; [[ [[2d4]]t[Gems-2-50-gp] ]] &amp; [[ [[1d4]]t[Art-1-100-gp] ]] &amp; [[ [[2d4]]t[Gems-3-125-gp] ]] &amp; [[ 1t[Art-2-500-gp] ]] &amp; [[ 1t[Gems-4-500-gp] ]] &amp; [[ 1t[Art-3-1250-gp] ]] --5</v>
      </c>
      <c r="I8" s="3" t="s">
        <v>430</v>
      </c>
      <c r="J8" s="2">
        <v>5</v>
      </c>
      <c r="K8" s="2" t="str">
        <f>IF(J8=0,"-",IF(J8=1,SUM(J$1:J7)+1,SUM(J$1:J7)+1 &amp; "-" &amp; SUM(J$1:J8)))</f>
        <v>96-100</v>
      </c>
      <c r="L8" s="1" t="str">
        <f t="shared" si="2"/>
        <v>!import-table-item --Treasure-Hoard-Tier-2 --[[4d6*100]] pp &amp; [[ [[1d6]]t[Gems-5-1250-gp] ]] &amp; [[ [[1d4]]t[Art-5-12500-gp] ]] --5</v>
      </c>
      <c r="M8" s="3" t="s">
        <v>429</v>
      </c>
      <c r="N8" s="2">
        <v>5</v>
      </c>
      <c r="O8" s="2" t="str">
        <f>IF(N8=0,"-",IF(N8=1,SUM(N$1:N7)+1,SUM(N$1:N7)+1 &amp; "-" &amp; SUM(N$1:N8)))</f>
        <v>96-100</v>
      </c>
      <c r="P8" s="1" t="str">
        <f t="shared" si="3"/>
        <v>!import-table-item --Treasure-Hoard-Tier-3 --[[4d6*1000]] pp &amp; [[ [[1d6]]t[Gems-7-12500-gp] ]] &amp; [[ [[1d4]]t[Art-7-125000-gp] ]] --5</v>
      </c>
    </row>
    <row r="18" spans="1:17" x14ac:dyDescent="0.3">
      <c r="Q18" s="1"/>
    </row>
    <row r="19" spans="1:17" x14ac:dyDescent="0.3">
      <c r="Q19" s="1"/>
    </row>
    <row r="20" spans="1:17" x14ac:dyDescent="0.3">
      <c r="Q20" s="1"/>
    </row>
    <row r="21" spans="1:17" x14ac:dyDescent="0.3">
      <c r="Q21" s="1"/>
    </row>
    <row r="22" spans="1:17" x14ac:dyDescent="0.3">
      <c r="A22" s="1"/>
      <c r="E22" s="1"/>
      <c r="I22" s="1"/>
      <c r="M22" s="1"/>
      <c r="Q22" s="1"/>
    </row>
    <row r="23" spans="1:17" x14ac:dyDescent="0.3">
      <c r="A23" s="1"/>
      <c r="E23" s="1"/>
      <c r="I23" s="1"/>
      <c r="M23" s="1"/>
      <c r="Q23" s="1"/>
    </row>
    <row r="24" spans="1:17" x14ac:dyDescent="0.3">
      <c r="A24" s="1"/>
      <c r="E24" s="1"/>
      <c r="I24" s="1"/>
      <c r="M24" s="1"/>
      <c r="Q24" s="1"/>
    </row>
    <row r="25" spans="1:17" x14ac:dyDescent="0.3">
      <c r="A25" s="1"/>
      <c r="E25" s="1"/>
      <c r="I25" s="1"/>
      <c r="M25" s="1"/>
      <c r="Q25" s="1"/>
    </row>
    <row r="26" spans="1:17" x14ac:dyDescent="0.3">
      <c r="A26" s="1"/>
      <c r="E26" s="1"/>
      <c r="I26" s="1"/>
      <c r="M26" s="1"/>
    </row>
    <row r="27" spans="1:17" x14ac:dyDescent="0.3">
      <c r="A27" s="1"/>
      <c r="E27" s="1"/>
      <c r="I27" s="1"/>
      <c r="M27" s="1"/>
    </row>
    <row r="28" spans="1:17" x14ac:dyDescent="0.3">
      <c r="A28" s="1"/>
      <c r="E28" s="1"/>
      <c r="I28" s="1"/>
      <c r="M28" s="1"/>
    </row>
    <row r="29" spans="1:17" x14ac:dyDescent="0.3">
      <c r="A29" s="1"/>
      <c r="E29" s="1"/>
      <c r="I29" s="1"/>
      <c r="M29"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FA728-37BC-43B9-9EAF-EFAB9D3CBCED}">
  <dimension ref="A1:T69"/>
  <sheetViews>
    <sheetView workbookViewId="0">
      <selection activeCell="I23" sqref="I23"/>
    </sheetView>
  </sheetViews>
  <sheetFormatPr defaultColWidth="8.85546875" defaultRowHeight="18.75" x14ac:dyDescent="0.3"/>
  <cols>
    <col min="1" max="1" width="39.42578125" style="3" bestFit="1" customWidth="1"/>
    <col min="2" max="2" width="8.85546875" style="3" bestFit="1" customWidth="1"/>
    <col min="3" max="3" width="9.140625" style="2" bestFit="1" customWidth="1"/>
    <col min="4" max="4" width="9.28515625" style="2" bestFit="1" customWidth="1"/>
    <col min="5" max="5" width="82" style="1" bestFit="1" customWidth="1"/>
    <col min="6" max="6" width="41" style="3" bestFit="1" customWidth="1"/>
    <col min="7" max="7" width="8.85546875" style="3" bestFit="1" customWidth="1"/>
    <col min="8" max="8" width="9.140625" style="2" bestFit="1" customWidth="1"/>
    <col min="9" max="9" width="9.28515625" style="2" bestFit="1" customWidth="1"/>
    <col min="10" max="10" width="107.85546875" style="1" bestFit="1" customWidth="1"/>
    <col min="11" max="11" width="42.42578125" style="3" bestFit="1" customWidth="1"/>
    <col min="12" max="12" width="8.85546875" style="3" bestFit="1" customWidth="1"/>
    <col min="13" max="13" width="9.140625" style="2" bestFit="1" customWidth="1"/>
    <col min="14" max="14" width="9.28515625" style="2" bestFit="1" customWidth="1"/>
    <col min="15" max="15" width="111" style="1" bestFit="1" customWidth="1"/>
    <col min="16" max="16" width="40" style="3" bestFit="1" customWidth="1"/>
    <col min="17" max="17" width="8.85546875" style="3" bestFit="1" customWidth="1"/>
    <col min="18" max="18" width="9.140625" style="2" bestFit="1" customWidth="1"/>
    <col min="19" max="19" width="9.28515625" style="2" bestFit="1" customWidth="1"/>
    <col min="20" max="20" width="110.140625" style="1" bestFit="1" customWidth="1"/>
  </cols>
  <sheetData>
    <row r="1" spans="1:20" x14ac:dyDescent="0.3">
      <c r="A1" s="7" t="s">
        <v>23</v>
      </c>
      <c r="B1" s="6" t="s">
        <v>19</v>
      </c>
      <c r="C1" s="5" t="s">
        <v>18</v>
      </c>
      <c r="D1" s="5" t="str">
        <f>"d" &amp; SUM(C:C)</f>
        <v>d100</v>
      </c>
      <c r="E1" s="4" t="str">
        <f>"!import-table --" &amp; A1 &amp; " --hide"</f>
        <v>!import-table --Individual Treasure: Challenge 0-4 --hide</v>
      </c>
      <c r="F1" s="7" t="s">
        <v>22</v>
      </c>
      <c r="G1" s="6" t="s">
        <v>19</v>
      </c>
      <c r="H1" s="5" t="s">
        <v>18</v>
      </c>
      <c r="I1" s="5" t="str">
        <f>"d" &amp; SUM(H:H)</f>
        <v>d100</v>
      </c>
      <c r="J1" s="4" t="str">
        <f>"!import-table --" &amp; F1 &amp; " --hide"</f>
        <v>!import-table --Individual Treasure: Challenge 5-10 --hide</v>
      </c>
      <c r="K1" s="7" t="s">
        <v>21</v>
      </c>
      <c r="L1" s="6" t="s">
        <v>19</v>
      </c>
      <c r="M1" s="5" t="s">
        <v>18</v>
      </c>
      <c r="N1" s="5" t="str">
        <f>"d" &amp; SUM(M:M)</f>
        <v>d100</v>
      </c>
      <c r="O1" s="4" t="str">
        <f>"!import-table --" &amp; K1 &amp; " --hide"</f>
        <v>!import-table --Individual Treasure: Challenge 11-16 --hide</v>
      </c>
      <c r="P1" s="7" t="s">
        <v>20</v>
      </c>
      <c r="Q1" s="6" t="s">
        <v>19</v>
      </c>
      <c r="R1" s="5" t="s">
        <v>18</v>
      </c>
      <c r="S1" s="5" t="str">
        <f>"d" &amp; SUM(R:R)</f>
        <v>d100</v>
      </c>
      <c r="T1" s="4" t="str">
        <f>"!import-table --" &amp; P1 &amp; " --hide"</f>
        <v>!import-table --Individual Treasure: Challenge 17+ --hide</v>
      </c>
    </row>
    <row r="2" spans="1:20" x14ac:dyDescent="0.3">
      <c r="A2" s="3" t="s">
        <v>17</v>
      </c>
      <c r="B2" s="2" t="s">
        <v>0</v>
      </c>
      <c r="C2" s="2">
        <v>30</v>
      </c>
      <c r="D2" s="2" t="str">
        <f>IF(C2=0,"-",IF(C2=1,SUM(C$1:C1)+1,SUM(C$1:C1)+1 &amp; "-" &amp; SUM(C$1:C2)))</f>
        <v>1-30</v>
      </c>
      <c r="E2" s="1" t="str">
        <f>"!import-table-item --" &amp; A$1 &amp; " --" &amp; A2 &amp; " --" &amp; C2</f>
        <v>!import-table-item --Individual Treasure: Challenge 0-4 --[[5d6]] cp --30</v>
      </c>
      <c r="F2" s="3" t="s">
        <v>16</v>
      </c>
      <c r="G2" s="2" t="s">
        <v>0</v>
      </c>
      <c r="H2" s="2">
        <v>30</v>
      </c>
      <c r="I2" s="2" t="str">
        <f>IF(H2=0,"-",IF(H2=1,SUM(H$1:H1)+1,SUM(H$1:H1)+1 &amp; "-" &amp; SUM(H$1:H2)))</f>
        <v>1-30</v>
      </c>
      <c r="J2" s="1" t="str">
        <f>"!import-table-item --" &amp; F$1 &amp; " --" &amp; F2 &amp; " --" &amp; H2</f>
        <v>!import-table-item --Individual Treasure: Challenge 5-10 --[[4d6*100]] cp &amp; [[1d6*10]] gp --30</v>
      </c>
      <c r="K2" s="3" t="s">
        <v>15</v>
      </c>
      <c r="L2" s="2" t="s">
        <v>0</v>
      </c>
      <c r="M2" s="2">
        <v>20</v>
      </c>
      <c r="N2" s="2" t="str">
        <f>IF(M2=0,"-",IF(M2=1,SUM(M$1:M1)+1,SUM(M$1:M1)+1 &amp; "-" &amp; SUM(M$1:M2)))</f>
        <v>1-20</v>
      </c>
      <c r="O2" s="1" t="str">
        <f>"!import-table-item --" &amp; K$1 &amp; " --" &amp; K2 &amp; " --" &amp; M2</f>
        <v>!import-table-item --Individual Treasure: Challenge 11-16 --[[4d6*100]] sp &amp; [[1d6*100]] gp --20</v>
      </c>
      <c r="P2" s="3" t="s">
        <v>14</v>
      </c>
      <c r="Q2" s="2" t="s">
        <v>0</v>
      </c>
      <c r="R2" s="2">
        <v>15</v>
      </c>
      <c r="S2" s="2" t="str">
        <f>IF(R2=0,"-",IF(R2=1,SUM(R$1:R1)+1,SUM(R$1:R1)+1 &amp; "-" &amp; SUM(R$1:R2)))</f>
        <v>1-15</v>
      </c>
      <c r="T2" s="1" t="str">
        <f>"!import-table-item --" &amp; P$1 &amp; " --" &amp; P2 &amp; " --" &amp; R2</f>
        <v>!import-table-item --Individual Treasure: Challenge 17+ --[[2d6*1000]] ep &amp; [[8d6*100]] gp --15</v>
      </c>
    </row>
    <row r="3" spans="1:20" x14ac:dyDescent="0.3">
      <c r="A3" s="3" t="s">
        <v>13</v>
      </c>
      <c r="B3" s="2" t="s">
        <v>0</v>
      </c>
      <c r="C3" s="2">
        <v>30</v>
      </c>
      <c r="D3" s="2" t="str">
        <f>IF(C3=0,"-",IF(C3=1,SUM(C$1:C2)+1,SUM(C$1:C2)+1 &amp; "-" &amp; SUM(C$1:C3)))</f>
        <v>31-60</v>
      </c>
      <c r="E3" s="1" t="str">
        <f>"!import-table-item --" &amp; A$1 &amp; " --" &amp; A3 &amp; " --" &amp; C3</f>
        <v>!import-table-item --Individual Treasure: Challenge 0-4 --[[4d6]] sp --30</v>
      </c>
      <c r="F3" s="3" t="s">
        <v>12</v>
      </c>
      <c r="G3" s="2" t="s">
        <v>0</v>
      </c>
      <c r="H3" s="2">
        <v>30</v>
      </c>
      <c r="I3" s="2" t="str">
        <f>IF(H3=0,"-",IF(H3=1,SUM(H$1:H2)+1,SUM(H$1:H2)+1 &amp; "-" &amp; SUM(H$1:H3)))</f>
        <v>31-60</v>
      </c>
      <c r="J3" s="1" t="str">
        <f>"!import-table-item --" &amp; F$1 &amp; " --" &amp; F3 &amp; " --" &amp; H3</f>
        <v>!import-table-item --Individual Treasure: Challenge 5-10 --[[6d6*10]] sp &amp; [[2d6*10]] gp --30</v>
      </c>
      <c r="K3" s="3" t="s">
        <v>11</v>
      </c>
      <c r="L3" s="2" t="s">
        <v>0</v>
      </c>
      <c r="M3" s="2">
        <v>15</v>
      </c>
      <c r="N3" s="2" t="str">
        <f>IF(M3=0,"-",IF(M3=1,SUM(M$1:M2)+1,SUM(M$1:M2)+1 &amp; "-" &amp; SUM(M$1:M3)))</f>
        <v>21-35</v>
      </c>
      <c r="O3" s="1" t="str">
        <f>"!import-table-item --" &amp; K$1 &amp; " --" &amp; K3 &amp; " --" &amp; M3</f>
        <v>!import-table-item --Individual Treasure: Challenge 11-16 --[[1d6*100]] ep &amp; [[1d6*100]] gp --15</v>
      </c>
      <c r="P3" s="3" t="s">
        <v>10</v>
      </c>
      <c r="Q3" s="2" t="s">
        <v>0</v>
      </c>
      <c r="R3" s="2">
        <v>40</v>
      </c>
      <c r="S3" s="2" t="str">
        <f>IF(R3=0,"-",IF(R3=1,SUM(R$1:R2)+1,SUM(R$1:R2)+1 &amp; "-" &amp; SUM(R$1:R3)))</f>
        <v>16-55</v>
      </c>
      <c r="T3" s="1" t="str">
        <f>"!import-table-item --" &amp; P$1 &amp; " --" &amp; P3 &amp; " --" &amp; R3</f>
        <v>!import-table-item --Individual Treasure: Challenge 17+ --[[1d6*1000]] gp &amp; [[1d6*100]] pp --40</v>
      </c>
    </row>
    <row r="4" spans="1:20" x14ac:dyDescent="0.3">
      <c r="A4" s="3" t="s">
        <v>9</v>
      </c>
      <c r="B4" s="2" t="s">
        <v>0</v>
      </c>
      <c r="C4" s="2">
        <v>10</v>
      </c>
      <c r="D4" s="2" t="str">
        <f>IF(C4=0,"-",IF(C4=1,SUM(C$1:C3)+1,SUM(C$1:C3)+1 &amp; "-" &amp; SUM(C$1:C4)))</f>
        <v>61-70</v>
      </c>
      <c r="E4" s="1" t="str">
        <f>"!import-table-item --" &amp; A$1 &amp; " --" &amp; A4 &amp; " --" &amp; C4</f>
        <v>!import-table-item --Individual Treasure: Challenge 0-4 --[[3d6]] ep --10</v>
      </c>
      <c r="F4" s="3" t="s">
        <v>8</v>
      </c>
      <c r="G4" s="2" t="s">
        <v>0</v>
      </c>
      <c r="H4" s="2">
        <v>10</v>
      </c>
      <c r="I4" s="2" t="str">
        <f>IF(H4=0,"-",IF(H4=1,SUM(H$1:H3)+1,SUM(H$1:H3)+1 &amp; "-" &amp; SUM(H$1:H4)))</f>
        <v>61-70</v>
      </c>
      <c r="J4" s="1" t="str">
        <f>"!import-table-item --" &amp; F$1 &amp; " --" &amp; F4 &amp; " --" &amp; H4</f>
        <v>!import-table-item --Individual Treasure: Challenge 5-10 --[[3d6*10]] ep &amp; [[2d6*10]] gp --10</v>
      </c>
      <c r="K4" s="3" t="s">
        <v>7</v>
      </c>
      <c r="L4" s="2" t="s">
        <v>0</v>
      </c>
      <c r="M4" s="2">
        <v>40</v>
      </c>
      <c r="N4" s="2" t="str">
        <f>IF(M4=0,"-",IF(M4=1,SUM(M$1:M3)+1,SUM(M$1:M3)+1 &amp; "-" &amp; SUM(M$1:M4)))</f>
        <v>36-75</v>
      </c>
      <c r="O4" s="1" t="str">
        <f>"!import-table-item --" &amp; K$1 &amp; " --" &amp; K4 &amp; " --" &amp; M4</f>
        <v>!import-table-item --Individual Treasure: Challenge 11-16 --[[2d6*100]] gp &amp; [[1d6*10]] pp --40</v>
      </c>
      <c r="P4" s="3" t="s">
        <v>6</v>
      </c>
      <c r="Q4" s="2" t="s">
        <v>0</v>
      </c>
      <c r="R4" s="2">
        <v>45</v>
      </c>
      <c r="S4" s="2" t="str">
        <f>IF(R4=0,"-",IF(R4=1,SUM(R$1:R3)+1,SUM(R$1:R3)+1 &amp; "-" &amp; SUM(R$1:R4)))</f>
        <v>56-100</v>
      </c>
      <c r="T4" s="1" t="str">
        <f>"!import-table-item --" &amp; P$1 &amp; " --" &amp; P4 &amp; " --" &amp; R4</f>
        <v>!import-table-item --Individual Treasure: Challenge 17+ --[[1d6*1000]] gp &amp; [[2d6*100]] pp --45</v>
      </c>
    </row>
    <row r="5" spans="1:20" x14ac:dyDescent="0.3">
      <c r="A5" s="3" t="s">
        <v>5</v>
      </c>
      <c r="B5" s="2" t="s">
        <v>0</v>
      </c>
      <c r="C5" s="2">
        <v>25</v>
      </c>
      <c r="D5" s="2" t="str">
        <f>IF(C5=0,"-",IF(C5=1,SUM(C$1:C4)+1,SUM(C$1:C4)+1 &amp; "-" &amp; SUM(C$1:C5)))</f>
        <v>71-95</v>
      </c>
      <c r="E5" s="1" t="str">
        <f>"!import-table-item --" &amp; A$1 &amp; " --" &amp; A5 &amp; " --" &amp; C5</f>
        <v>!import-table-item --Individual Treasure: Challenge 0-4 --[[3d6]] gp --25</v>
      </c>
      <c r="F5" s="3" t="s">
        <v>4</v>
      </c>
      <c r="G5" s="2" t="s">
        <v>0</v>
      </c>
      <c r="H5" s="2">
        <v>25</v>
      </c>
      <c r="I5" s="2" t="str">
        <f>IF(H5=0,"-",IF(H5=1,SUM(H$1:H4)+1,SUM(H$1:H4)+1 &amp; "-" &amp; SUM(H$1:H5)))</f>
        <v>71-95</v>
      </c>
      <c r="J5" s="1" t="str">
        <f>"!import-table-item --" &amp; F$1 &amp; " --" &amp; F5 &amp; " --" &amp; H5</f>
        <v>!import-table-item --Individual Treasure: Challenge 5-10 --[[4d6*10]] gp --25</v>
      </c>
      <c r="K5" s="3" t="s">
        <v>3</v>
      </c>
      <c r="L5" s="2" t="s">
        <v>0</v>
      </c>
      <c r="M5" s="2">
        <v>25</v>
      </c>
      <c r="N5" s="2" t="str">
        <f>IF(M5=0,"-",IF(M5=1,SUM(M$1:M4)+1,SUM(M$1:M4)+1 &amp; "-" &amp; SUM(M$1:M5)))</f>
        <v>76-100</v>
      </c>
      <c r="O5" s="1" t="str">
        <f>"!import-table-item --" &amp; K$1 &amp; " --" &amp; K5 &amp; " --" &amp; M5</f>
        <v>!import-table-item --Individual Treasure: Challenge 11-16 --[[2d6*100]] gp &amp; [[2d6*10]] pp --25</v>
      </c>
      <c r="Q5" s="2"/>
    </row>
    <row r="6" spans="1:20" x14ac:dyDescent="0.3">
      <c r="A6" s="3" t="s">
        <v>2</v>
      </c>
      <c r="B6" s="2" t="s">
        <v>0</v>
      </c>
      <c r="C6" s="2">
        <v>5</v>
      </c>
      <c r="D6" s="2" t="str">
        <f>IF(C6=0,"-",IF(C6=1,SUM(C$1:C5)+1,SUM(C$1:C5)+1 &amp; "-" &amp; SUM(C$1:C6)))</f>
        <v>96-100</v>
      </c>
      <c r="E6" s="1" t="str">
        <f>"!import-table-item --" &amp; A$1 &amp; " --" &amp; A6 &amp; " --" &amp; C6</f>
        <v>!import-table-item --Individual Treasure: Challenge 0-4 --[[1d6]] pp --5</v>
      </c>
      <c r="F6" s="3" t="s">
        <v>1</v>
      </c>
      <c r="G6" s="2" t="s">
        <v>0</v>
      </c>
      <c r="H6" s="2">
        <v>5</v>
      </c>
      <c r="I6" s="2" t="str">
        <f>IF(H6=0,"-",IF(H6=1,SUM(H$1:H5)+1,SUM(H$1:H5)+1 &amp; "-" &amp; SUM(H$1:H6)))</f>
        <v>96-100</v>
      </c>
      <c r="J6" s="1" t="str">
        <f>"!import-table-item --" &amp; F$1 &amp; " --" &amp; F6 &amp; " --" &amp; H6</f>
        <v>!import-table-item --Individual Treasure: Challenge 5-10 --[[2d6*10]] gp * [[3d6]] pp --5</v>
      </c>
      <c r="L6" s="2"/>
      <c r="Q6" s="2"/>
    </row>
    <row r="7" spans="1:20" x14ac:dyDescent="0.3">
      <c r="B7" s="2"/>
      <c r="G7" s="2"/>
      <c r="L7" s="2"/>
      <c r="Q7" s="2"/>
    </row>
    <row r="8" spans="1:20" x14ac:dyDescent="0.3">
      <c r="B8" s="2"/>
      <c r="G8" s="2"/>
      <c r="L8" s="2"/>
      <c r="Q8" s="2"/>
    </row>
    <row r="9" spans="1:20" x14ac:dyDescent="0.3">
      <c r="B9" s="2"/>
      <c r="G9" s="2"/>
      <c r="L9" s="2"/>
      <c r="Q9" s="2"/>
    </row>
    <row r="10" spans="1:20" x14ac:dyDescent="0.3">
      <c r="B10" s="2"/>
      <c r="G10" s="2"/>
      <c r="L10" s="2"/>
      <c r="Q10" s="2"/>
    </row>
    <row r="11" spans="1:20" x14ac:dyDescent="0.3">
      <c r="B11" s="2"/>
      <c r="G11" s="2"/>
      <c r="L11" s="2"/>
      <c r="Q11" s="2"/>
    </row>
    <row r="12" spans="1:20" x14ac:dyDescent="0.3">
      <c r="B12" s="2"/>
      <c r="G12" s="2"/>
      <c r="L12" s="2"/>
      <c r="Q12" s="2"/>
    </row>
    <row r="13" spans="1:20" x14ac:dyDescent="0.3">
      <c r="B13" s="2"/>
      <c r="G13" s="2"/>
      <c r="L13" s="2"/>
      <c r="Q13" s="2"/>
    </row>
    <row r="14" spans="1:20" x14ac:dyDescent="0.3">
      <c r="B14" s="2"/>
      <c r="G14" s="2"/>
      <c r="L14" s="2"/>
      <c r="Q14" s="2"/>
    </row>
    <row r="15" spans="1:20" x14ac:dyDescent="0.3">
      <c r="B15" s="2"/>
      <c r="G15" s="2"/>
      <c r="L15" s="2"/>
      <c r="Q15" s="2"/>
    </row>
    <row r="16" spans="1:20" x14ac:dyDescent="0.3">
      <c r="B16" s="2"/>
      <c r="G16" s="2"/>
      <c r="L16" s="2"/>
      <c r="Q16" s="2"/>
    </row>
    <row r="17" spans="2:17" x14ac:dyDescent="0.3">
      <c r="B17" s="2"/>
      <c r="G17" s="2"/>
      <c r="L17" s="2"/>
      <c r="Q17" s="2"/>
    </row>
    <row r="18" spans="2:17" x14ac:dyDescent="0.3">
      <c r="B18" s="2"/>
      <c r="G18" s="2"/>
      <c r="L18" s="2"/>
      <c r="Q18" s="2"/>
    </row>
    <row r="19" spans="2:17" x14ac:dyDescent="0.3">
      <c r="B19" s="2"/>
      <c r="G19" s="2"/>
      <c r="L19" s="2"/>
      <c r="Q19" s="2"/>
    </row>
    <row r="20" spans="2:17" x14ac:dyDescent="0.3">
      <c r="B20" s="2"/>
      <c r="G20" s="2"/>
      <c r="L20" s="2"/>
      <c r="Q20" s="2"/>
    </row>
    <row r="21" spans="2:17" x14ac:dyDescent="0.3">
      <c r="B21" s="2"/>
      <c r="G21" s="2"/>
      <c r="L21" s="2"/>
      <c r="Q21" s="2"/>
    </row>
    <row r="22" spans="2:17" x14ac:dyDescent="0.3">
      <c r="B22" s="2"/>
      <c r="G22" s="2"/>
      <c r="L22" s="2"/>
      <c r="Q22" s="2"/>
    </row>
    <row r="23" spans="2:17" x14ac:dyDescent="0.3">
      <c r="B23" s="2"/>
      <c r="G23" s="2"/>
      <c r="L23" s="2"/>
      <c r="Q23" s="2"/>
    </row>
    <row r="24" spans="2:17" x14ac:dyDescent="0.3">
      <c r="B24" s="2"/>
      <c r="G24" s="2"/>
      <c r="L24" s="2"/>
      <c r="Q24" s="2"/>
    </row>
    <row r="25" spans="2:17" x14ac:dyDescent="0.3">
      <c r="B25" s="2"/>
      <c r="G25" s="2"/>
      <c r="L25" s="2"/>
      <c r="Q25" s="2"/>
    </row>
    <row r="26" spans="2:17" x14ac:dyDescent="0.3">
      <c r="B26" s="2"/>
      <c r="G26" s="2"/>
      <c r="L26" s="2"/>
      <c r="Q26" s="2"/>
    </row>
    <row r="27" spans="2:17" x14ac:dyDescent="0.3">
      <c r="B27" s="2"/>
      <c r="G27" s="2"/>
      <c r="L27" s="2"/>
      <c r="Q27" s="2"/>
    </row>
    <row r="28" spans="2:17" x14ac:dyDescent="0.3">
      <c r="B28" s="2"/>
      <c r="G28" s="2"/>
      <c r="L28" s="2"/>
      <c r="Q28" s="2"/>
    </row>
    <row r="29" spans="2:17" x14ac:dyDescent="0.3">
      <c r="B29" s="2"/>
      <c r="G29" s="2"/>
      <c r="L29" s="2"/>
      <c r="Q29" s="2"/>
    </row>
    <row r="30" spans="2:17" x14ac:dyDescent="0.3">
      <c r="B30" s="2"/>
      <c r="G30" s="2"/>
      <c r="L30" s="2"/>
      <c r="Q30" s="2"/>
    </row>
    <row r="31" spans="2:17" x14ac:dyDescent="0.3">
      <c r="B31" s="2"/>
      <c r="G31" s="2"/>
      <c r="L31" s="2"/>
      <c r="Q31" s="2"/>
    </row>
    <row r="32" spans="2:17" x14ac:dyDescent="0.3">
      <c r="B32" s="2"/>
      <c r="G32" s="2"/>
      <c r="L32" s="2"/>
      <c r="Q32" s="2"/>
    </row>
    <row r="33" spans="2:17" x14ac:dyDescent="0.3">
      <c r="B33" s="2"/>
      <c r="G33" s="2"/>
      <c r="L33" s="2"/>
      <c r="Q33" s="2"/>
    </row>
    <row r="34" spans="2:17" x14ac:dyDescent="0.3">
      <c r="B34" s="2"/>
      <c r="G34" s="2"/>
      <c r="L34" s="2"/>
      <c r="Q34" s="2"/>
    </row>
    <row r="35" spans="2:17" x14ac:dyDescent="0.3">
      <c r="B35" s="2"/>
      <c r="G35" s="2"/>
      <c r="L35" s="2"/>
      <c r="Q35" s="2"/>
    </row>
    <row r="36" spans="2:17" x14ac:dyDescent="0.3">
      <c r="B36" s="2"/>
      <c r="G36" s="2"/>
      <c r="L36" s="2"/>
      <c r="Q36" s="2"/>
    </row>
    <row r="37" spans="2:17" x14ac:dyDescent="0.3">
      <c r="B37" s="2"/>
      <c r="G37" s="2"/>
      <c r="L37" s="2"/>
      <c r="Q37" s="2"/>
    </row>
    <row r="38" spans="2:17" x14ac:dyDescent="0.3">
      <c r="B38" s="2"/>
      <c r="G38" s="2"/>
      <c r="L38" s="2"/>
      <c r="Q38" s="2"/>
    </row>
    <row r="39" spans="2:17" x14ac:dyDescent="0.3">
      <c r="B39" s="2"/>
      <c r="G39" s="2"/>
      <c r="L39" s="2"/>
      <c r="Q39" s="2"/>
    </row>
    <row r="40" spans="2:17" x14ac:dyDescent="0.3">
      <c r="B40" s="2"/>
      <c r="G40" s="2"/>
      <c r="L40" s="2"/>
      <c r="Q40" s="2"/>
    </row>
    <row r="41" spans="2:17" x14ac:dyDescent="0.3">
      <c r="B41" s="2"/>
      <c r="G41" s="2"/>
      <c r="L41" s="2"/>
      <c r="Q41" s="2"/>
    </row>
    <row r="42" spans="2:17" x14ac:dyDescent="0.3">
      <c r="B42" s="2"/>
      <c r="G42" s="2"/>
      <c r="L42" s="2"/>
      <c r="Q42" s="2"/>
    </row>
    <row r="43" spans="2:17" x14ac:dyDescent="0.3">
      <c r="B43" s="2"/>
      <c r="G43" s="2"/>
      <c r="L43" s="2"/>
      <c r="Q43" s="2"/>
    </row>
    <row r="44" spans="2:17" x14ac:dyDescent="0.3">
      <c r="B44" s="2"/>
      <c r="G44" s="2"/>
      <c r="L44" s="2"/>
      <c r="Q44" s="2"/>
    </row>
    <row r="45" spans="2:17" x14ac:dyDescent="0.3">
      <c r="B45" s="2"/>
      <c r="G45" s="2"/>
      <c r="L45" s="2"/>
      <c r="Q45" s="2"/>
    </row>
    <row r="46" spans="2:17" x14ac:dyDescent="0.3">
      <c r="B46" s="2"/>
      <c r="G46" s="2"/>
      <c r="L46" s="2"/>
      <c r="Q46" s="2"/>
    </row>
    <row r="47" spans="2:17" x14ac:dyDescent="0.3">
      <c r="B47" s="2"/>
      <c r="G47" s="2"/>
      <c r="L47" s="2"/>
      <c r="Q47" s="2"/>
    </row>
    <row r="48" spans="2:17" x14ac:dyDescent="0.3">
      <c r="B48" s="2"/>
      <c r="G48" s="2"/>
      <c r="L48" s="2"/>
      <c r="Q48" s="2"/>
    </row>
    <row r="49" spans="2:17" x14ac:dyDescent="0.3">
      <c r="B49" s="2"/>
      <c r="G49" s="2"/>
      <c r="L49" s="2"/>
      <c r="Q49" s="2"/>
    </row>
    <row r="50" spans="2:17" x14ac:dyDescent="0.3">
      <c r="B50" s="2"/>
      <c r="G50" s="2"/>
      <c r="L50" s="2"/>
      <c r="Q50" s="2"/>
    </row>
    <row r="51" spans="2:17" x14ac:dyDescent="0.3">
      <c r="B51" s="2"/>
      <c r="G51" s="2"/>
      <c r="L51" s="2"/>
      <c r="Q51" s="2"/>
    </row>
    <row r="52" spans="2:17" x14ac:dyDescent="0.3">
      <c r="B52" s="2"/>
      <c r="G52" s="2"/>
      <c r="L52" s="2"/>
      <c r="Q52" s="2"/>
    </row>
    <row r="53" spans="2:17" x14ac:dyDescent="0.3">
      <c r="B53" s="2"/>
      <c r="G53" s="2"/>
      <c r="L53" s="2"/>
      <c r="Q53" s="2"/>
    </row>
    <row r="54" spans="2:17" x14ac:dyDescent="0.3">
      <c r="B54" s="2"/>
      <c r="G54" s="2"/>
      <c r="L54" s="2"/>
      <c r="Q54" s="2"/>
    </row>
    <row r="55" spans="2:17" x14ac:dyDescent="0.3">
      <c r="B55" s="2"/>
      <c r="G55" s="2"/>
      <c r="L55" s="2"/>
      <c r="Q55" s="2"/>
    </row>
    <row r="56" spans="2:17" x14ac:dyDescent="0.3">
      <c r="B56" s="2"/>
      <c r="G56" s="2"/>
      <c r="L56" s="2"/>
      <c r="Q56" s="2"/>
    </row>
    <row r="57" spans="2:17" x14ac:dyDescent="0.3">
      <c r="B57" s="2"/>
      <c r="G57" s="2"/>
      <c r="L57" s="2"/>
      <c r="Q57" s="2"/>
    </row>
    <row r="58" spans="2:17" x14ac:dyDescent="0.3">
      <c r="B58" s="2"/>
      <c r="G58" s="2"/>
      <c r="L58" s="2"/>
      <c r="Q58" s="2"/>
    </row>
    <row r="59" spans="2:17" x14ac:dyDescent="0.3">
      <c r="B59" s="2"/>
      <c r="G59" s="2"/>
      <c r="L59" s="2"/>
      <c r="Q59" s="2"/>
    </row>
    <row r="60" spans="2:17" x14ac:dyDescent="0.3">
      <c r="B60" s="2"/>
      <c r="G60" s="2"/>
      <c r="L60" s="2"/>
      <c r="Q60" s="2"/>
    </row>
    <row r="61" spans="2:17" x14ac:dyDescent="0.3">
      <c r="B61" s="2"/>
      <c r="G61" s="2"/>
      <c r="L61" s="2"/>
      <c r="Q61" s="2"/>
    </row>
    <row r="62" spans="2:17" x14ac:dyDescent="0.3">
      <c r="B62" s="2"/>
      <c r="G62" s="2"/>
      <c r="L62" s="2"/>
      <c r="Q62" s="2"/>
    </row>
    <row r="63" spans="2:17" x14ac:dyDescent="0.3">
      <c r="B63" s="2"/>
      <c r="G63" s="2"/>
      <c r="L63" s="2"/>
      <c r="Q63" s="2"/>
    </row>
    <row r="64" spans="2:17" x14ac:dyDescent="0.3">
      <c r="B64" s="2"/>
      <c r="G64" s="2"/>
      <c r="L64" s="2"/>
      <c r="Q64" s="2"/>
    </row>
    <row r="65" spans="2:17" x14ac:dyDescent="0.3">
      <c r="B65" s="2"/>
      <c r="G65" s="2"/>
      <c r="L65" s="2"/>
      <c r="Q65" s="2"/>
    </row>
    <row r="66" spans="2:17" x14ac:dyDescent="0.3">
      <c r="B66" s="2"/>
      <c r="G66" s="2"/>
      <c r="L66" s="2"/>
      <c r="Q66" s="2"/>
    </row>
    <row r="67" spans="2:17" x14ac:dyDescent="0.3">
      <c r="B67" s="2"/>
      <c r="G67" s="2"/>
      <c r="L67" s="2"/>
      <c r="Q67" s="2"/>
    </row>
    <row r="68" spans="2:17" x14ac:dyDescent="0.3">
      <c r="B68" s="2"/>
      <c r="G68" s="2"/>
      <c r="L68" s="2"/>
    </row>
    <row r="69" spans="2:17" x14ac:dyDescent="0.3">
      <c r="B69" s="2"/>
      <c r="G69"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2E0FE-FB1E-45BE-A902-CC473082BBA9}">
  <dimension ref="A1:T70"/>
  <sheetViews>
    <sheetView topLeftCell="E1" workbookViewId="0">
      <selection activeCell="I23" sqref="I23"/>
    </sheetView>
  </sheetViews>
  <sheetFormatPr defaultColWidth="9.140625" defaultRowHeight="18.75" x14ac:dyDescent="0.3"/>
  <cols>
    <col min="1" max="1" width="61.85546875" style="3" bestFit="1" customWidth="1"/>
    <col min="2" max="2" width="8.85546875" style="3" bestFit="1" customWidth="1"/>
    <col min="3" max="3" width="9.140625" style="2"/>
    <col min="4" max="4" width="7.85546875" style="2" bestFit="1" customWidth="1"/>
    <col min="5" max="5" width="126" style="1" bestFit="1" customWidth="1"/>
    <col min="6" max="6" width="78.7109375" style="3" bestFit="1" customWidth="1"/>
    <col min="7" max="7" width="8.85546875" style="3" bestFit="1" customWidth="1"/>
    <col min="8" max="8" width="9.140625" style="2"/>
    <col min="9" max="9" width="7.85546875" style="2" bestFit="1" customWidth="1"/>
    <col min="10" max="10" width="129" style="1" bestFit="1" customWidth="1"/>
    <col min="11" max="11" width="96.42578125" style="3" bestFit="1" customWidth="1"/>
    <col min="12" max="12" width="8.85546875" style="3" bestFit="1" customWidth="1"/>
    <col min="13" max="13" width="9.140625" style="2"/>
    <col min="14" max="14" width="9.28515625" style="2" bestFit="1" customWidth="1"/>
    <col min="15" max="15" width="163.42578125" style="1" bestFit="1" customWidth="1"/>
    <col min="16" max="16" width="66.42578125" style="3" bestFit="1" customWidth="1"/>
    <col min="17" max="17" width="8.85546875" style="3" bestFit="1" customWidth="1"/>
    <col min="18" max="18" width="9.140625" style="2"/>
    <col min="19" max="19" width="9.28515625" style="2" bestFit="1" customWidth="1"/>
    <col min="20" max="20" width="133.42578125" style="1" bestFit="1" customWidth="1"/>
    <col min="21" max="16384" width="9.140625" style="3"/>
  </cols>
  <sheetData>
    <row r="1" spans="1:20" x14ac:dyDescent="0.3">
      <c r="A1" s="7" t="s">
        <v>123</v>
      </c>
      <c r="B1" s="6" t="s">
        <v>19</v>
      </c>
      <c r="C1" s="5" t="s">
        <v>18</v>
      </c>
      <c r="D1" s="5" t="str">
        <f>"d" &amp; SUM(C:C)</f>
        <v>d100</v>
      </c>
      <c r="E1" s="4" t="str">
        <f>"!import-table --" &amp; A1 &amp; " --hide"</f>
        <v>!import-table --Treasure Hoard: Challenge 0-4 --hide</v>
      </c>
      <c r="F1" s="7" t="s">
        <v>122</v>
      </c>
      <c r="G1" s="6" t="s">
        <v>19</v>
      </c>
      <c r="H1" s="5" t="s">
        <v>18</v>
      </c>
      <c r="I1" s="5" t="str">
        <f>"d" &amp; SUM(H:H)</f>
        <v>d100</v>
      </c>
      <c r="J1" s="4" t="str">
        <f>"!import-table --" &amp; F1 &amp; " --hide"</f>
        <v>!import-table --Treasure Hoard: Challenge 5-10 --hide</v>
      </c>
      <c r="K1" s="7" t="s">
        <v>121</v>
      </c>
      <c r="L1" s="6" t="s">
        <v>19</v>
      </c>
      <c r="M1" s="5" t="s">
        <v>18</v>
      </c>
      <c r="N1" s="5" t="str">
        <f>"d" &amp; SUM(M:M)</f>
        <v>d100</v>
      </c>
      <c r="O1" s="4" t="str">
        <f>"!import-table --" &amp; K1 &amp; " --hide"</f>
        <v>!import-table --Treasure Hoard: Challenge 11-16 --hide</v>
      </c>
      <c r="P1" s="7" t="s">
        <v>121</v>
      </c>
      <c r="Q1" s="6" t="s">
        <v>19</v>
      </c>
      <c r="R1" s="5" t="s">
        <v>18</v>
      </c>
      <c r="S1" s="5" t="str">
        <f>"d" &amp; SUM(R:R)</f>
        <v>d100</v>
      </c>
      <c r="T1" s="4" t="str">
        <f>"!import-table --" &amp; P1 &amp; " --hide"</f>
        <v>!import-table --Treasure Hoard: Challenge 11-16 --hide</v>
      </c>
    </row>
    <row r="2" spans="1:20" x14ac:dyDescent="0.3">
      <c r="A2" s="3" t="s">
        <v>120</v>
      </c>
      <c r="B2" s="8" t="s">
        <v>0</v>
      </c>
      <c r="D2" s="2" t="str">
        <f>IF(C2=0,"-",IF(C2=1,SUM(C$1:C1)+1,SUM(C$1:C1)+1 &amp; "-" &amp; SUM(C$1:C2)))</f>
        <v>-</v>
      </c>
      <c r="F2" s="3" t="s">
        <v>119</v>
      </c>
      <c r="G2" s="8" t="s">
        <v>0</v>
      </c>
      <c r="I2" s="2" t="str">
        <f>IF(H2=0,"-",IF(H2=1,SUM(H$1:H1)+1,SUM(H$1:H1)+1 &amp; "-" &amp; SUM(H$1:H2)))</f>
        <v>-</v>
      </c>
      <c r="K2" s="3" t="s">
        <v>118</v>
      </c>
      <c r="L2" s="8" t="s">
        <v>0</v>
      </c>
      <c r="N2" s="2" t="str">
        <f>IF(M2=0,"-",IF(M2=1,SUM(M$1:M1)+1,SUM(M$1:M1)+1 &amp; "-" &amp; SUM(M$1:M2)))</f>
        <v>-</v>
      </c>
      <c r="P2" s="3" t="s">
        <v>117</v>
      </c>
      <c r="Q2" s="8" t="s">
        <v>0</v>
      </c>
      <c r="S2" s="2" t="str">
        <f>IF(R2=0,"-",IF(R2=1,SUM(R$1:R1)+1,SUM(R$1:R1)+1 &amp; "-" &amp; SUM(R$1:R2)))</f>
        <v>-</v>
      </c>
    </row>
    <row r="3" spans="1:20" x14ac:dyDescent="0.3">
      <c r="A3" s="3" t="s">
        <v>116</v>
      </c>
      <c r="B3" s="2" t="s">
        <v>0</v>
      </c>
      <c r="C3" s="2">
        <v>6</v>
      </c>
      <c r="D3" s="2" t="str">
        <f>IF(C3=0,"-",IF(C3=1,SUM(C$1:C2)+1,SUM(C$1:C2)+1 &amp; "-" &amp; SUM(C$1:C3)))</f>
        <v>1-6</v>
      </c>
      <c r="E3" s="1" t="str">
        <f t="shared" ref="E3:E19" si="0">"!import-table-item --" &amp; A$1 &amp; " --" &amp; A3 &amp; " --" &amp; C3</f>
        <v>!import-table-item --Treasure Hoard: Challenge 0-4 --Nothing --6</v>
      </c>
      <c r="F3" s="3" t="s">
        <v>116</v>
      </c>
      <c r="G3" s="2" t="s">
        <v>0</v>
      </c>
      <c r="H3" s="2">
        <v>4</v>
      </c>
      <c r="I3" s="2" t="str">
        <f>IF(H3=0,"-",IF(H3=1,SUM(H$1:H2)+1,SUM(H$1:H2)+1 &amp; "-" &amp; SUM(H$1:H3)))</f>
        <v>1-4</v>
      </c>
      <c r="J3" s="1" t="str">
        <f t="shared" ref="J3:J31" si="1">"!import-table-item --" &amp; F$1 &amp; " --" &amp; F3 &amp; " --" &amp; H3</f>
        <v>!import-table-item --Treasure Hoard: Challenge 5-10 --Nothing --4</v>
      </c>
      <c r="K3" s="3" t="s">
        <v>116</v>
      </c>
      <c r="L3" s="2" t="s">
        <v>0</v>
      </c>
      <c r="M3" s="2">
        <v>3</v>
      </c>
      <c r="N3" s="2" t="str">
        <f>IF(M3=0,"-",IF(M3=1,SUM(M$1:M2)+1,SUM(M$1:M2)+1 &amp; "-" &amp; SUM(M$1:M3)))</f>
        <v>1-3</v>
      </c>
      <c r="O3" s="1" t="str">
        <f t="shared" ref="O3:O35" si="2">"!import-table-item --" &amp; K$1 &amp; " --" &amp; K3 &amp; " --" &amp; M3</f>
        <v>!import-table-item --Treasure Hoard: Challenge 11-16 --Nothing --3</v>
      </c>
      <c r="P3" s="3" t="s">
        <v>116</v>
      </c>
      <c r="Q3" s="2" t="s">
        <v>0</v>
      </c>
      <c r="R3" s="2">
        <v>2</v>
      </c>
      <c r="S3" s="2" t="str">
        <f>IF(R3=0,"-",IF(R3=1,SUM(R$1:R2)+1,SUM(R$1:R2)+1 &amp; "-" &amp; SUM(R$1:R3)))</f>
        <v>1-2</v>
      </c>
      <c r="T3" s="1" t="str">
        <f t="shared" ref="T3:T27" si="3">"!import-table-item --" &amp; P$1 &amp; " --" &amp; P3 &amp; " --" &amp; R3</f>
        <v>!import-table-item --Treasure Hoard: Challenge 11-16 --Nothing --2</v>
      </c>
    </row>
    <row r="4" spans="1:20" x14ac:dyDescent="0.3">
      <c r="A4" s="3" t="s">
        <v>115</v>
      </c>
      <c r="B4" s="2" t="s">
        <v>0</v>
      </c>
      <c r="C4" s="2">
        <v>10</v>
      </c>
      <c r="D4" s="2" t="str">
        <f>IF(C4=0,"-",IF(C4=1,SUM(C$1:C3)+1,SUM(C$1:C3)+1 &amp; "-" &amp; SUM(C$1:C4)))</f>
        <v>7-16</v>
      </c>
      <c r="E4" s="1" t="str">
        <f t="shared" si="0"/>
        <v>!import-table-item --Treasure Hoard: Challenge 0-4 --[[2d6]] 10 gp gems --10</v>
      </c>
      <c r="F4" s="3" t="s">
        <v>113</v>
      </c>
      <c r="G4" s="2" t="s">
        <v>0</v>
      </c>
      <c r="H4" s="2">
        <v>6</v>
      </c>
      <c r="I4" s="2" t="str">
        <f>IF(H4=0,"-",IF(H4=1,SUM(H$1:H3)+1,SUM(H$1:H3)+1 &amp; "-" &amp; SUM(H$1:H4)))</f>
        <v>5-10</v>
      </c>
      <c r="J4" s="1" t="str">
        <f t="shared" si="1"/>
        <v>!import-table-item --Treasure Hoard: Challenge 5-10 --[[2d4]] 25 gp art objects --6</v>
      </c>
      <c r="K4" s="3" t="s">
        <v>104</v>
      </c>
      <c r="L4" s="2" t="s">
        <v>0</v>
      </c>
      <c r="M4" s="2">
        <v>3</v>
      </c>
      <c r="N4" s="2" t="str">
        <f>IF(M4=0,"-",IF(M4=1,SUM(M$1:M3)+1,SUM(M$1:M3)+1 &amp; "-" &amp; SUM(M$1:M4)))</f>
        <v>4-6</v>
      </c>
      <c r="O4" s="1" t="str">
        <f t="shared" si="2"/>
        <v>!import-table-item --Treasure Hoard: Challenge 11-16 --[[2d4]] 250 gp art objects --3</v>
      </c>
      <c r="P4" s="3" t="s">
        <v>114</v>
      </c>
      <c r="Q4" s="2" t="s">
        <v>0</v>
      </c>
      <c r="R4" s="2">
        <v>3</v>
      </c>
      <c r="S4" s="2" t="str">
        <f>IF(R4=0,"-",IF(R4=1,SUM(R$1:R3)+1,SUM(R$1:R3)+1 &amp; "-" &amp; SUM(R$1:R4)))</f>
        <v>3-5</v>
      </c>
      <c r="T4" s="1" t="str">
        <f t="shared" si="3"/>
        <v>!import-table-item --Treasure Hoard: Challenge 11-16 --[[3d6]] 1000 gp gems &amp; [[1d8]] Magic Item Table C --3</v>
      </c>
    </row>
    <row r="5" spans="1:20" x14ac:dyDescent="0.3">
      <c r="A5" s="3" t="s">
        <v>113</v>
      </c>
      <c r="B5" s="2" t="s">
        <v>0</v>
      </c>
      <c r="C5" s="2">
        <v>10</v>
      </c>
      <c r="D5" s="2" t="str">
        <f>IF(C5=0,"-",IF(C5=1,SUM(C$1:C4)+1,SUM(C$1:C4)+1 &amp; "-" &amp; SUM(C$1:C5)))</f>
        <v>17-26</v>
      </c>
      <c r="E5" s="1" t="str">
        <f t="shared" si="0"/>
        <v>!import-table-item --Treasure Hoard: Challenge 0-4 --[[2d4]] 25 gp art objects --10</v>
      </c>
      <c r="F5" s="3" t="s">
        <v>112</v>
      </c>
      <c r="G5" s="2" t="s">
        <v>0</v>
      </c>
      <c r="H5" s="2">
        <v>6</v>
      </c>
      <c r="I5" s="2" t="str">
        <f>IF(H5=0,"-",IF(H5=1,SUM(H$1:H4)+1,SUM(H$1:H4)+1 &amp; "-" &amp; SUM(H$1:H5)))</f>
        <v>11-16</v>
      </c>
      <c r="J5" s="1" t="str">
        <f t="shared" si="1"/>
        <v>!import-table-item --Treasure Hoard: Challenge 5-10 --[[3d6]] 50 gp gems --6</v>
      </c>
      <c r="K5" s="3" t="s">
        <v>111</v>
      </c>
      <c r="L5" s="2" t="s">
        <v>0</v>
      </c>
      <c r="M5" s="2">
        <v>3</v>
      </c>
      <c r="N5" s="2" t="str">
        <f>IF(M5=0,"-",IF(M5=1,SUM(M$1:M4)+1,SUM(M$1:M4)+1 &amp; "-" &amp; SUM(M$1:M5)))</f>
        <v>7-9</v>
      </c>
      <c r="O5" s="1" t="str">
        <f t="shared" si="2"/>
        <v>!import-table-item --Treasure Hoard: Challenge 11-16 --[[2d4]] 750 gp art objects --3</v>
      </c>
      <c r="P5" s="3" t="s">
        <v>110</v>
      </c>
      <c r="Q5" s="2" t="s">
        <v>0</v>
      </c>
      <c r="R5" s="2">
        <v>3</v>
      </c>
      <c r="S5" s="2" t="str">
        <f>IF(R5=0,"-",IF(R5=1,SUM(R$1:R4)+1,SUM(R$1:R4)+1 &amp; "-" &amp; SUM(R$1:R5)))</f>
        <v>6-8</v>
      </c>
      <c r="T5" s="1" t="str">
        <f t="shared" si="3"/>
        <v>!import-table-item --Treasure Hoard: Challenge 11-16 --[[1d10]] 2500 gp art objects &amp; [[1d8]] Magic Item Table C --3</v>
      </c>
    </row>
    <row r="6" spans="1:20" x14ac:dyDescent="0.3">
      <c r="A6" s="3" t="s">
        <v>109</v>
      </c>
      <c r="B6" s="2" t="s">
        <v>0</v>
      </c>
      <c r="C6" s="2">
        <v>10</v>
      </c>
      <c r="D6" s="2" t="str">
        <f>IF(C6=0,"-",IF(C6=1,SUM(C$1:C5)+1,SUM(C$1:C5)+1 &amp; "-" &amp; SUM(C$1:C6)))</f>
        <v>27-36</v>
      </c>
      <c r="E6" s="1" t="str">
        <f t="shared" si="0"/>
        <v>!import-table-item --Treasure Hoard: Challenge 0-4 --[[2d6]] 50 gp gems --10</v>
      </c>
      <c r="F6" s="3" t="s">
        <v>108</v>
      </c>
      <c r="G6" s="2" t="s">
        <v>0</v>
      </c>
      <c r="H6" s="2">
        <v>6</v>
      </c>
      <c r="I6" s="2" t="str">
        <f>IF(H6=0,"-",IF(H6=1,SUM(H$1:H5)+1,SUM(H$1:H5)+1 &amp; "-" &amp; SUM(H$1:H6)))</f>
        <v>17-22</v>
      </c>
      <c r="J6" s="1" t="str">
        <f t="shared" si="1"/>
        <v>!import-table-item --Treasure Hoard: Challenge 5-10 --[[3d6]] 100 gp gems --6</v>
      </c>
      <c r="K6" s="3" t="s">
        <v>107</v>
      </c>
      <c r="L6" s="2" t="s">
        <v>0</v>
      </c>
      <c r="M6" s="2">
        <v>3</v>
      </c>
      <c r="N6" s="2" t="str">
        <f>IF(M6=0,"-",IF(M6=1,SUM(M$1:M5)+1,SUM(M$1:M5)+1 &amp; "-" &amp; SUM(M$1:M6)))</f>
        <v>10-12</v>
      </c>
      <c r="O6" s="1" t="str">
        <f t="shared" si="2"/>
        <v>!import-table-item --Treasure Hoard: Challenge 11-16 --[[3d6]] 500 gp gems --3</v>
      </c>
      <c r="P6" s="3" t="s">
        <v>106</v>
      </c>
      <c r="Q6" s="2" t="s">
        <v>0</v>
      </c>
      <c r="R6" s="2">
        <v>3</v>
      </c>
      <c r="S6" s="2" t="str">
        <f>IF(R6=0,"-",IF(R6=1,SUM(R$1:R5)+1,SUM(R$1:R5)+1 &amp; "-" &amp; SUM(R$1:R6)))</f>
        <v>9-11</v>
      </c>
      <c r="T6" s="1" t="str">
        <f t="shared" si="3"/>
        <v>!import-table-item --Treasure Hoard: Challenge 11-16 --[[1d4]] 7500 gp art objects &amp; [[1d8]] Magic Item Table C --3</v>
      </c>
    </row>
    <row r="7" spans="1:20" x14ac:dyDescent="0.3">
      <c r="A7" s="3" t="s">
        <v>105</v>
      </c>
      <c r="B7" s="2" t="s">
        <v>0</v>
      </c>
      <c r="C7" s="2">
        <v>8</v>
      </c>
      <c r="D7" s="2" t="str">
        <f>IF(C7=0,"-",IF(C7=1,SUM(C$1:C6)+1,SUM(C$1:C6)+1 &amp; "-" &amp; SUM(C$1:C7)))</f>
        <v>37-44</v>
      </c>
      <c r="E7" s="1" t="str">
        <f t="shared" si="0"/>
        <v>!import-table-item --Treasure Hoard: Challenge 0-4 --[[2d6]] 10 gp gems &amp; [[1d6]] Magic Item Table A --8</v>
      </c>
      <c r="F7" s="3" t="s">
        <v>104</v>
      </c>
      <c r="G7" s="2" t="s">
        <v>0</v>
      </c>
      <c r="H7" s="2">
        <v>6</v>
      </c>
      <c r="I7" s="2" t="str">
        <f>IF(H7=0,"-",IF(H7=1,SUM(H$1:H6)+1,SUM(H$1:H6)+1 &amp; "-" &amp; SUM(H$1:H7)))</f>
        <v>23-28</v>
      </c>
      <c r="J7" s="1" t="str">
        <f t="shared" si="1"/>
        <v>!import-table-item --Treasure Hoard: Challenge 5-10 --[[2d4]] 250 gp art objects --6</v>
      </c>
      <c r="K7" s="3" t="s">
        <v>103</v>
      </c>
      <c r="L7" s="2" t="s">
        <v>0</v>
      </c>
      <c r="M7" s="2">
        <v>3</v>
      </c>
      <c r="N7" s="2" t="str">
        <f>IF(M7=0,"-",IF(M7=1,SUM(M$1:M6)+1,SUM(M$1:M6)+1 &amp; "-" &amp; SUM(M$1:M7)))</f>
        <v>13-15</v>
      </c>
      <c r="O7" s="1" t="str">
        <f t="shared" si="2"/>
        <v>!import-table-item --Treasure Hoard: Challenge 11-16 --[[3d6]] 1000 gp gems --3</v>
      </c>
      <c r="P7" s="3" t="s">
        <v>102</v>
      </c>
      <c r="Q7" s="2" t="s">
        <v>0</v>
      </c>
      <c r="R7" s="2">
        <v>3</v>
      </c>
      <c r="S7" s="2" t="str">
        <f>IF(R7=0,"-",IF(R7=1,SUM(R$1:R6)+1,SUM(R$1:R6)+1 &amp; "-" &amp; SUM(R$1:R7)))</f>
        <v>12-14</v>
      </c>
      <c r="T7" s="1" t="str">
        <f t="shared" si="3"/>
        <v>!import-table-item --Treasure Hoard: Challenge 11-16 --[[1d8]] 5000 gp gems &amp; [[1d8]] Magic Item Table C --3</v>
      </c>
    </row>
    <row r="8" spans="1:20" x14ac:dyDescent="0.3">
      <c r="A8" s="3" t="s">
        <v>101</v>
      </c>
      <c r="B8" s="2" t="s">
        <v>0</v>
      </c>
      <c r="C8" s="2">
        <v>8</v>
      </c>
      <c r="D8" s="2" t="str">
        <f>IF(C8=0,"-",IF(C8=1,SUM(C$1:C7)+1,SUM(C$1:C7)+1 &amp; "-" &amp; SUM(C$1:C8)))</f>
        <v>45-52</v>
      </c>
      <c r="E8" s="1" t="str">
        <f t="shared" si="0"/>
        <v>!import-table-item --Treasure Hoard: Challenge 0-4 --[[2d4]] 25 gp art objects &amp; [[1d6]] Magic Item Table A --8</v>
      </c>
      <c r="F8" s="3" t="s">
        <v>101</v>
      </c>
      <c r="G8" s="2" t="s">
        <v>0</v>
      </c>
      <c r="H8" s="2">
        <v>4</v>
      </c>
      <c r="I8" s="2" t="str">
        <f>IF(H8=0,"-",IF(H8=1,SUM(H$1:H7)+1,SUM(H$1:H7)+1 &amp; "-" &amp; SUM(H$1:H8)))</f>
        <v>29-32</v>
      </c>
      <c r="J8" s="1" t="str">
        <f t="shared" si="1"/>
        <v>!import-table-item --Treasure Hoard: Challenge 5-10 --[[2d4]] 25 gp art objects &amp; [[1d6]] Magic Item Table A --4</v>
      </c>
      <c r="K8" s="3" t="s">
        <v>100</v>
      </c>
      <c r="L8" s="2" t="s">
        <v>0</v>
      </c>
      <c r="M8" s="2">
        <v>4</v>
      </c>
      <c r="N8" s="2" t="str">
        <f>IF(M8=0,"-",IF(M8=1,SUM(M$1:M7)+1,SUM(M$1:M7)+1 &amp; "-" &amp; SUM(M$1:M8)))</f>
        <v>16-19</v>
      </c>
      <c r="O8" s="1" t="str">
        <f t="shared" si="2"/>
        <v>!import-table-item --Treasure Hoard: Challenge 11-16 --[[2d4]] 250 gp art objects &amp; [[1d4]] Magic Item Table A &amp; [[1d6]] Magic Item Table B --4</v>
      </c>
      <c r="P8" s="3" t="s">
        <v>99</v>
      </c>
      <c r="Q8" s="2" t="s">
        <v>0</v>
      </c>
      <c r="R8" s="2">
        <v>8</v>
      </c>
      <c r="S8" s="2" t="str">
        <f>IF(R8=0,"-",IF(R8=1,SUM(R$1:R7)+1,SUM(R$1:R7)+1 &amp; "-" &amp; SUM(R$1:R8)))</f>
        <v>15-22</v>
      </c>
      <c r="T8" s="1" t="str">
        <f t="shared" si="3"/>
        <v>!import-table-item --Treasure Hoard: Challenge 11-16 --[[3d6]] 1000 gp gems &amp; [[1d6]] Magic Item Table D --8</v>
      </c>
    </row>
    <row r="9" spans="1:20" x14ac:dyDescent="0.3">
      <c r="A9" s="3" t="s">
        <v>98</v>
      </c>
      <c r="B9" s="2" t="s">
        <v>0</v>
      </c>
      <c r="C9" s="2">
        <v>8</v>
      </c>
      <c r="D9" s="2" t="str">
        <f>IF(C9=0,"-",IF(C9=1,SUM(C$1:C8)+1,SUM(C$1:C8)+1 &amp; "-" &amp; SUM(C$1:C9)))</f>
        <v>53-60</v>
      </c>
      <c r="E9" s="1" t="str">
        <f t="shared" si="0"/>
        <v>!import-table-item --Treasure Hoard: Challenge 0-4 --[[2d6]] 50 gp gems &amp; [[1d6]] Magic Item Table A --8</v>
      </c>
      <c r="F9" s="3" t="s">
        <v>97</v>
      </c>
      <c r="G9" s="2" t="s">
        <v>0</v>
      </c>
      <c r="H9" s="2">
        <v>4</v>
      </c>
      <c r="I9" s="2" t="str">
        <f>IF(H9=0,"-",IF(H9=1,SUM(H$1:H8)+1,SUM(H$1:H8)+1 &amp; "-" &amp; SUM(H$1:H9)))</f>
        <v>33-36</v>
      </c>
      <c r="J9" s="1" t="str">
        <f t="shared" si="1"/>
        <v>!import-table-item --Treasure Hoard: Challenge 5-10 --[[3d6]] 50 gp gems &amp; [[1d6]] Magic Item Table A --4</v>
      </c>
      <c r="K9" s="3" t="s">
        <v>96</v>
      </c>
      <c r="L9" s="2" t="s">
        <v>0</v>
      </c>
      <c r="M9" s="2">
        <v>4</v>
      </c>
      <c r="N9" s="2" t="str">
        <f>IF(M9=0,"-",IF(M9=1,SUM(M$1:M8)+1,SUM(M$1:M8)+1 &amp; "-" &amp; SUM(M$1:M9)))</f>
        <v>20-23</v>
      </c>
      <c r="O9" s="1" t="str">
        <f t="shared" si="2"/>
        <v>!import-table-item --Treasure Hoard: Challenge 11-16 --[[2d4]] 750 gp art objects &amp; [[1d4]] Magic Item Table A &amp; [[1d6]] Magic Item Table B --4</v>
      </c>
      <c r="P9" s="3" t="s">
        <v>95</v>
      </c>
      <c r="Q9" s="2" t="s">
        <v>0</v>
      </c>
      <c r="R9" s="2">
        <v>8</v>
      </c>
      <c r="S9" s="2" t="str">
        <f>IF(R9=0,"-",IF(R9=1,SUM(R$1:R8)+1,SUM(R$1:R8)+1 &amp; "-" &amp; SUM(R$1:R9)))</f>
        <v>23-30</v>
      </c>
      <c r="T9" s="1" t="str">
        <f t="shared" si="3"/>
        <v>!import-table-item --Treasure Hoard: Challenge 11-16 --[[1d10]] 2500 gp art objects &amp; [[1d6]] Magic Item Table D --8</v>
      </c>
    </row>
    <row r="10" spans="1:20" x14ac:dyDescent="0.3">
      <c r="A10" s="3" t="s">
        <v>94</v>
      </c>
      <c r="B10" s="2" t="s">
        <v>0</v>
      </c>
      <c r="C10" s="2">
        <v>5</v>
      </c>
      <c r="D10" s="2" t="str">
        <f>IF(C10=0,"-",IF(C10=1,SUM(C$1:C9)+1,SUM(C$1:C9)+1 &amp; "-" &amp; SUM(C$1:C10)))</f>
        <v>61-65</v>
      </c>
      <c r="E10" s="1" t="str">
        <f t="shared" si="0"/>
        <v>!import-table-item --Treasure Hoard: Challenge 0-4 --[[2d6]] 10 gp gems &amp; [[1d4]] Magic Item Table B --5</v>
      </c>
      <c r="F10" s="3" t="s">
        <v>93</v>
      </c>
      <c r="G10" s="2" t="s">
        <v>0</v>
      </c>
      <c r="H10" s="2">
        <v>4</v>
      </c>
      <c r="I10" s="2" t="str">
        <f>IF(H10=0,"-",IF(H10=1,SUM(H$1:H9)+1,SUM(H$1:H9)+1 &amp; "-" &amp; SUM(H$1:H10)))</f>
        <v>37-40</v>
      </c>
      <c r="J10" s="1" t="str">
        <f t="shared" si="1"/>
        <v>!import-table-item --Treasure Hoard: Challenge 5-10 --[[3d6]] 100 gp gems &amp; [[1d6]] Magic Item Table A --4</v>
      </c>
      <c r="K10" s="3" t="s">
        <v>92</v>
      </c>
      <c r="L10" s="2" t="s">
        <v>0</v>
      </c>
      <c r="M10" s="2">
        <v>3</v>
      </c>
      <c r="N10" s="2" t="str">
        <f>IF(M10=0,"-",IF(M10=1,SUM(M$1:M9)+1,SUM(M$1:M9)+1 &amp; "-" &amp; SUM(M$1:M10)))</f>
        <v>24-26</v>
      </c>
      <c r="O10" s="1" t="str">
        <f t="shared" si="2"/>
        <v>!import-table-item --Treasure Hoard: Challenge 11-16 --[[3d6]] 500 gp gems &amp; [[1d4]] Magic Item Table A &amp; [[1d6]] Magic Item Table B --3</v>
      </c>
      <c r="P10" s="3" t="s">
        <v>91</v>
      </c>
      <c r="Q10" s="2" t="s">
        <v>0</v>
      </c>
      <c r="R10" s="2">
        <v>8</v>
      </c>
      <c r="S10" s="2" t="str">
        <f>IF(R10=0,"-",IF(R10=1,SUM(R$1:R9)+1,SUM(R$1:R9)+1 &amp; "-" &amp; SUM(R$1:R10)))</f>
        <v>31-38</v>
      </c>
      <c r="T10" s="1" t="str">
        <f t="shared" si="3"/>
        <v>!import-table-item --Treasure Hoard: Challenge 11-16 --[[1d4]] 7500 gp art objects &amp; [[1d6]] Magic Item Table D --8</v>
      </c>
    </row>
    <row r="11" spans="1:20" x14ac:dyDescent="0.3">
      <c r="A11" s="3" t="s">
        <v>86</v>
      </c>
      <c r="B11" s="2" t="s">
        <v>0</v>
      </c>
      <c r="C11" s="2">
        <v>5</v>
      </c>
      <c r="D11" s="2" t="str">
        <f>IF(C11=0,"-",IF(C11=1,SUM(C$1:C10)+1,SUM(C$1:C10)+1 &amp; "-" &amp; SUM(C$1:C11)))</f>
        <v>66-70</v>
      </c>
      <c r="E11" s="1" t="str">
        <f t="shared" si="0"/>
        <v>!import-table-item --Treasure Hoard: Challenge 0-4 --[[2d4]] 25 gp art objects &amp; [[1d4]] Magic Item Table B --5</v>
      </c>
      <c r="F11" s="3" t="s">
        <v>90</v>
      </c>
      <c r="G11" s="2" t="s">
        <v>0</v>
      </c>
      <c r="H11" s="2">
        <v>4</v>
      </c>
      <c r="I11" s="2" t="str">
        <f>IF(H11=0,"-",IF(H11=1,SUM(H$1:H10)+1,SUM(H$1:H10)+1 &amp; "-" &amp; SUM(H$1:H11)))</f>
        <v>41-44</v>
      </c>
      <c r="J11" s="1" t="str">
        <f t="shared" si="1"/>
        <v>!import-table-item --Treasure Hoard: Challenge 5-10 --[[2d4]] 250 gp art objects &amp; [[1d6]] Magic Item Table A --4</v>
      </c>
      <c r="K11" s="3" t="s">
        <v>89</v>
      </c>
      <c r="L11" s="2" t="s">
        <v>0</v>
      </c>
      <c r="M11" s="2">
        <v>3</v>
      </c>
      <c r="N11" s="2" t="str">
        <f>IF(M11=0,"-",IF(M11=1,SUM(M$1:M10)+1,SUM(M$1:M10)+1 &amp; "-" &amp; SUM(M$1:M11)))</f>
        <v>27-29</v>
      </c>
      <c r="O11" s="1" t="str">
        <f t="shared" si="2"/>
        <v>!import-table-item --Treasure Hoard: Challenge 11-16 --[[3d6]] 1000 gp gems &amp; [[1d4]] Magic Item Table A &amp; [[1d6]] Magic Item Table B --3</v>
      </c>
      <c r="P11" s="3" t="s">
        <v>88</v>
      </c>
      <c r="Q11" s="2" t="s">
        <v>0</v>
      </c>
      <c r="R11" s="2">
        <v>8</v>
      </c>
      <c r="S11" s="2" t="str">
        <f>IF(R11=0,"-",IF(R11=1,SUM(R$1:R10)+1,SUM(R$1:R10)+1 &amp; "-" &amp; SUM(R$1:R11)))</f>
        <v>39-46</v>
      </c>
      <c r="T11" s="1" t="str">
        <f t="shared" si="3"/>
        <v>!import-table-item --Treasure Hoard: Challenge 11-16 --[[1d8]] 5000 gp gems &amp; [[1d6]] Magic Item Table D --8</v>
      </c>
    </row>
    <row r="12" spans="1:20" x14ac:dyDescent="0.3">
      <c r="A12" s="3" t="s">
        <v>87</v>
      </c>
      <c r="B12" s="2" t="s">
        <v>0</v>
      </c>
      <c r="C12" s="2">
        <v>5</v>
      </c>
      <c r="D12" s="2" t="str">
        <f>IF(C12=0,"-",IF(C12=1,SUM(C$1:C11)+1,SUM(C$1:C11)+1 &amp; "-" &amp; SUM(C$1:C12)))</f>
        <v>71-75</v>
      </c>
      <c r="E12" s="1" t="str">
        <f t="shared" si="0"/>
        <v>!import-table-item --Treasure Hoard: Challenge 0-4 --[[2d6]] 50 gp gems &amp; [[1d4]] Magic Item Table B --5</v>
      </c>
      <c r="F12" s="3" t="s">
        <v>86</v>
      </c>
      <c r="G12" s="2" t="s">
        <v>0</v>
      </c>
      <c r="H12" s="2">
        <v>5</v>
      </c>
      <c r="I12" s="2" t="str">
        <f>IF(H12=0,"-",IF(H12=1,SUM(H$1:H11)+1,SUM(H$1:H11)+1 &amp; "-" &amp; SUM(H$1:H12)))</f>
        <v>45-49</v>
      </c>
      <c r="J12" s="1" t="str">
        <f t="shared" si="1"/>
        <v>!import-table-item --Treasure Hoard: Challenge 5-10 --[[2d4]] 25 gp art objects &amp; [[1d4]] Magic Item Table B --5</v>
      </c>
      <c r="K12" s="3" t="s">
        <v>85</v>
      </c>
      <c r="L12" s="2" t="s">
        <v>0</v>
      </c>
      <c r="M12" s="2">
        <v>6</v>
      </c>
      <c r="N12" s="2" t="str">
        <f>IF(M12=0,"-",IF(M12=1,SUM(M$1:M11)+1,SUM(M$1:M11)+1 &amp; "-" &amp; SUM(M$1:M12)))</f>
        <v>30-35</v>
      </c>
      <c r="O12" s="1" t="str">
        <f t="shared" si="2"/>
        <v>!import-table-item --Treasure Hoard: Challenge 11-16 --[[2d4]] 250 gp art objects &amp; [[1d6]] Magic Item Table C --6</v>
      </c>
      <c r="P12" s="3" t="s">
        <v>84</v>
      </c>
      <c r="Q12" s="2" t="s">
        <v>0</v>
      </c>
      <c r="R12" s="2">
        <v>6</v>
      </c>
      <c r="S12" s="2" t="str">
        <f>IF(R12=0,"-",IF(R12=1,SUM(R$1:R11)+1,SUM(R$1:R11)+1 &amp; "-" &amp; SUM(R$1:R12)))</f>
        <v>47-52</v>
      </c>
      <c r="T12" s="1" t="str">
        <f t="shared" si="3"/>
        <v>!import-table-item --Treasure Hoard: Challenge 11-16 --[[3d6]] 1000 gp gems &amp; [[1d6]] Magic Item Table E --6</v>
      </c>
    </row>
    <row r="13" spans="1:20" x14ac:dyDescent="0.3">
      <c r="A13" s="3" t="s">
        <v>83</v>
      </c>
      <c r="B13" s="2" t="s">
        <v>0</v>
      </c>
      <c r="C13" s="2">
        <v>3</v>
      </c>
      <c r="D13" s="2" t="str">
        <f>IF(C13=0,"-",IF(C13=1,SUM(C$1:C12)+1,SUM(C$1:C12)+1 &amp; "-" &amp; SUM(C$1:C13)))</f>
        <v>76-78</v>
      </c>
      <c r="E13" s="1" t="str">
        <f t="shared" si="0"/>
        <v>!import-table-item --Treasure Hoard: Challenge 0-4 --[[2d6]] 10 gp gems &amp; [[1d4]] Magic Item Table C --3</v>
      </c>
      <c r="F13" s="3" t="s">
        <v>82</v>
      </c>
      <c r="G13" s="2" t="s">
        <v>0</v>
      </c>
      <c r="H13" s="2">
        <v>5</v>
      </c>
      <c r="I13" s="2" t="str">
        <f>IF(H13=0,"-",IF(H13=1,SUM(H$1:H12)+1,SUM(H$1:H12)+1 &amp; "-" &amp; SUM(H$1:H13)))</f>
        <v>50-54</v>
      </c>
      <c r="J13" s="1" t="str">
        <f t="shared" si="1"/>
        <v>!import-table-item --Treasure Hoard: Challenge 5-10 --[[3d6]] 50 gp gems &amp; [[1d4]] Magic Item Table B --5</v>
      </c>
      <c r="K13" s="3" t="s">
        <v>81</v>
      </c>
      <c r="L13" s="2" t="s">
        <v>0</v>
      </c>
      <c r="M13" s="2">
        <v>5</v>
      </c>
      <c r="N13" s="2" t="str">
        <f>IF(M13=0,"-",IF(M13=1,SUM(M$1:M12)+1,SUM(M$1:M12)+1 &amp; "-" &amp; SUM(M$1:M13)))</f>
        <v>36-40</v>
      </c>
      <c r="O13" s="1" t="str">
        <f t="shared" si="2"/>
        <v>!import-table-item --Treasure Hoard: Challenge 11-16 --[[2d4]] 750 gp art objects &amp; [[1d6]] Magic Item Table C --5</v>
      </c>
      <c r="P13" s="3" t="s">
        <v>80</v>
      </c>
      <c r="Q13" s="2" t="s">
        <v>0</v>
      </c>
      <c r="R13" s="2">
        <v>6</v>
      </c>
      <c r="S13" s="2" t="str">
        <f>IF(R13=0,"-",IF(R13=1,SUM(R$1:R12)+1,SUM(R$1:R12)+1 &amp; "-" &amp; SUM(R$1:R13)))</f>
        <v>53-58</v>
      </c>
      <c r="T13" s="1" t="str">
        <f t="shared" si="3"/>
        <v>!import-table-item --Treasure Hoard: Challenge 11-16 --[[1d10]] 2500 gp art objects &amp; [[1d6]] Magic Item Table E --6</v>
      </c>
    </row>
    <row r="14" spans="1:20" x14ac:dyDescent="0.3">
      <c r="A14" s="3" t="s">
        <v>72</v>
      </c>
      <c r="B14" s="2" t="s">
        <v>0</v>
      </c>
      <c r="C14" s="2">
        <v>2</v>
      </c>
      <c r="D14" s="2" t="str">
        <f>IF(C14=0,"-",IF(C14=1,SUM(C$1:C13)+1,SUM(C$1:C13)+1 &amp; "-" &amp; SUM(C$1:C14)))</f>
        <v>79-80</v>
      </c>
      <c r="E14" s="1" t="str">
        <f t="shared" si="0"/>
        <v>!import-table-item --Treasure Hoard: Challenge 0-4 --[[2d4]] 25 gp art objects &amp; [[1d4]] Magic Item Table C --2</v>
      </c>
      <c r="F14" s="3" t="s">
        <v>79</v>
      </c>
      <c r="G14" s="2" t="s">
        <v>0</v>
      </c>
      <c r="H14" s="2">
        <v>5</v>
      </c>
      <c r="I14" s="2" t="str">
        <f>IF(H14=0,"-",IF(H14=1,SUM(H$1:H13)+1,SUM(H$1:H13)+1 &amp; "-" &amp; SUM(H$1:H14)))</f>
        <v>55-59</v>
      </c>
      <c r="J14" s="1" t="str">
        <f t="shared" si="1"/>
        <v>!import-table-item --Treasure Hoard: Challenge 5-10 --[[3d6]] 100 gp gems &amp; [[1d4]] Magic Item Table B --5</v>
      </c>
      <c r="K14" s="3" t="s">
        <v>78</v>
      </c>
      <c r="L14" s="2" t="s">
        <v>0</v>
      </c>
      <c r="M14" s="2">
        <v>5</v>
      </c>
      <c r="N14" s="2" t="str">
        <f>IF(M14=0,"-",IF(M14=1,SUM(M$1:M13)+1,SUM(M$1:M13)+1 &amp; "-" &amp; SUM(M$1:M14)))</f>
        <v>41-45</v>
      </c>
      <c r="O14" s="1" t="str">
        <f t="shared" si="2"/>
        <v>!import-table-item --Treasure Hoard: Challenge 11-16 --[[3d6]] 500 gp gems &amp; [[1d6]] Magic Item Table C --5</v>
      </c>
      <c r="P14" s="3" t="s">
        <v>77</v>
      </c>
      <c r="Q14" s="2" t="s">
        <v>0</v>
      </c>
      <c r="R14" s="2">
        <v>5</v>
      </c>
      <c r="S14" s="2" t="str">
        <f>IF(R14=0,"-",IF(R14=1,SUM(R$1:R13)+1,SUM(R$1:R13)+1 &amp; "-" &amp; SUM(R$1:R14)))</f>
        <v>59-63</v>
      </c>
      <c r="T14" s="1" t="str">
        <f t="shared" si="3"/>
        <v>!import-table-item --Treasure Hoard: Challenge 11-16 --[[1d4]] 7500 gp art objects &amp; [[1d6]] Magic Item Table E --5</v>
      </c>
    </row>
    <row r="15" spans="1:20" x14ac:dyDescent="0.3">
      <c r="A15" s="3" t="s">
        <v>76</v>
      </c>
      <c r="B15" s="2" t="s">
        <v>0</v>
      </c>
      <c r="C15" s="2">
        <v>5</v>
      </c>
      <c r="D15" s="2" t="str">
        <f>IF(C15=0,"-",IF(C15=1,SUM(C$1:C14)+1,SUM(C$1:C14)+1 &amp; "-" &amp; SUM(C$1:C15)))</f>
        <v>81-85</v>
      </c>
      <c r="E15" s="1" t="str">
        <f t="shared" si="0"/>
        <v>!import-table-item --Treasure Hoard: Challenge 0-4 --[[2d6]] 50 gp gems &amp; [[1d4]] Magic Item Table C --5</v>
      </c>
      <c r="F15" s="3" t="s">
        <v>75</v>
      </c>
      <c r="G15" s="2" t="s">
        <v>0</v>
      </c>
      <c r="H15" s="2">
        <v>4</v>
      </c>
      <c r="I15" s="2" t="str">
        <f>IF(H15=0,"-",IF(H15=1,SUM(H$1:H14)+1,SUM(H$1:H14)+1 &amp; "-" &amp; SUM(H$1:H15)))</f>
        <v>60-63</v>
      </c>
      <c r="J15" s="1" t="str">
        <f t="shared" si="1"/>
        <v>!import-table-item --Treasure Hoard: Challenge 5-10 --[[2d4]] 250 gp art objects &amp; [[1d4]] Magic Item Table B --4</v>
      </c>
      <c r="K15" s="3" t="s">
        <v>74</v>
      </c>
      <c r="L15" s="2" t="s">
        <v>0</v>
      </c>
      <c r="M15" s="2">
        <v>5</v>
      </c>
      <c r="N15" s="2" t="str">
        <f>IF(M15=0,"-",IF(M15=1,SUM(M$1:M14)+1,SUM(M$1:M14)+1 &amp; "-" &amp; SUM(M$1:M15)))</f>
        <v>46-50</v>
      </c>
      <c r="O15" s="1" t="str">
        <f t="shared" si="2"/>
        <v>!import-table-item --Treasure Hoard: Challenge 11-16 --[[3d6]] 1000 gp gems &amp; [[1d6]] Magic Item Table C --5</v>
      </c>
      <c r="P15" s="3" t="s">
        <v>73</v>
      </c>
      <c r="Q15" s="2" t="s">
        <v>0</v>
      </c>
      <c r="R15" s="2">
        <v>5</v>
      </c>
      <c r="S15" s="2" t="str">
        <f>IF(R15=0,"-",IF(R15=1,SUM(R$1:R14)+1,SUM(R$1:R14)+1 &amp; "-" &amp; SUM(R$1:R15)))</f>
        <v>64-68</v>
      </c>
      <c r="T15" s="1" t="str">
        <f t="shared" si="3"/>
        <v>!import-table-item --Treasure Hoard: Challenge 11-16 --[[1d8]] 5000 gp gems &amp; [[1d6]] Magic Item Table E --5</v>
      </c>
    </row>
    <row r="16" spans="1:20" x14ac:dyDescent="0.3">
      <c r="A16" s="3" t="s">
        <v>47</v>
      </c>
      <c r="B16" s="2" t="s">
        <v>0</v>
      </c>
      <c r="C16" s="2">
        <v>7</v>
      </c>
      <c r="D16" s="2" t="str">
        <f>IF(C16=0,"-",IF(C16=1,SUM(C$1:C15)+1,SUM(C$1:C15)+1 &amp; "-" &amp; SUM(C$1:C16)))</f>
        <v>86-92</v>
      </c>
      <c r="E16" s="1" t="str">
        <f t="shared" si="0"/>
        <v>!import-table-item --Treasure Hoard: Challenge 0-4 --[[2d4]] 25 gp art objects &amp; [[1d4]] Magic Item Table F --7</v>
      </c>
      <c r="F16" s="3" t="s">
        <v>72</v>
      </c>
      <c r="G16" s="2" t="s">
        <v>0</v>
      </c>
      <c r="H16" s="2">
        <v>3</v>
      </c>
      <c r="I16" s="2" t="str">
        <f>IF(H16=0,"-",IF(H16=1,SUM(H$1:H15)+1,SUM(H$1:H15)+1 &amp; "-" &amp; SUM(H$1:H16)))</f>
        <v>64-66</v>
      </c>
      <c r="J16" s="1" t="str">
        <f t="shared" si="1"/>
        <v>!import-table-item --Treasure Hoard: Challenge 5-10 --[[2d4]] 25 gp art objects &amp; [[1d4]] Magic Item Table C --3</v>
      </c>
      <c r="K16" s="3" t="s">
        <v>71</v>
      </c>
      <c r="L16" s="2" t="s">
        <v>0</v>
      </c>
      <c r="M16" s="2">
        <v>4</v>
      </c>
      <c r="N16" s="2" t="str">
        <f>IF(M16=0,"-",IF(M16=1,SUM(M$1:M15)+1,SUM(M$1:M15)+1 &amp; "-" &amp; SUM(M$1:M16)))</f>
        <v>51-54</v>
      </c>
      <c r="O16" s="1" t="str">
        <f t="shared" si="2"/>
        <v>!import-table-item --Treasure Hoard: Challenge 11-16 --[[2d4]] 250 gp art objects &amp; [[1d4]] Magic Item Table D --4</v>
      </c>
      <c r="P16" s="3" t="s">
        <v>70</v>
      </c>
      <c r="Q16" s="2" t="s">
        <v>0</v>
      </c>
      <c r="R16" s="2">
        <v>1</v>
      </c>
      <c r="S16" s="2">
        <f>IF(R16=0,"-",IF(R16=1,SUM(R$1:R15)+1,SUM(R$1:R15)+1 &amp; "-" &amp; SUM(R$1:R16)))</f>
        <v>69</v>
      </c>
      <c r="T16" s="1" t="str">
        <f t="shared" si="3"/>
        <v>!import-table-item --Treasure Hoard: Challenge 11-16 --[[3d6]] 1000 gp gems &amp; [[1d4]] Magic Item Table G --1</v>
      </c>
    </row>
    <row r="17" spans="1:20" x14ac:dyDescent="0.3">
      <c r="A17" s="3" t="s">
        <v>69</v>
      </c>
      <c r="B17" s="2" t="s">
        <v>0</v>
      </c>
      <c r="C17" s="2">
        <v>5</v>
      </c>
      <c r="D17" s="2" t="str">
        <f>IF(C17=0,"-",IF(C17=1,SUM(C$1:C16)+1,SUM(C$1:C16)+1 &amp; "-" &amp; SUM(C$1:C17)))</f>
        <v>93-97</v>
      </c>
      <c r="E17" s="1" t="str">
        <f t="shared" si="0"/>
        <v>!import-table-item --Treasure Hoard: Challenge 0-4 --[[2d6]] 50 gp gems &amp; [[1d4]] Magic Item Table F --5</v>
      </c>
      <c r="F17" s="3" t="s">
        <v>68</v>
      </c>
      <c r="G17" s="2" t="s">
        <v>0</v>
      </c>
      <c r="H17" s="2">
        <v>3</v>
      </c>
      <c r="I17" s="2" t="str">
        <f>IF(H17=0,"-",IF(H17=1,SUM(H$1:H16)+1,SUM(H$1:H16)+1 &amp; "-" &amp; SUM(H$1:H17)))</f>
        <v>67-69</v>
      </c>
      <c r="J17" s="1" t="str">
        <f t="shared" si="1"/>
        <v>!import-table-item --Treasure Hoard: Challenge 5-10 --[[3d6]] 50 gp gems &amp; [[1d4]] Magic Item Table C --3</v>
      </c>
      <c r="K17" s="3" t="s">
        <v>67</v>
      </c>
      <c r="L17" s="2" t="s">
        <v>0</v>
      </c>
      <c r="M17" s="2">
        <v>4</v>
      </c>
      <c r="N17" s="2" t="str">
        <f>IF(M17=0,"-",IF(M17=1,SUM(M$1:M16)+1,SUM(M$1:M16)+1 &amp; "-" &amp; SUM(M$1:M17)))</f>
        <v>55-58</v>
      </c>
      <c r="O17" s="1" t="str">
        <f t="shared" si="2"/>
        <v>!import-table-item --Treasure Hoard: Challenge 11-16 --[[2d4]] 750 gp art objects &amp; [[1d4]] Magic Item Table D --4</v>
      </c>
      <c r="P17" s="3" t="s">
        <v>66</v>
      </c>
      <c r="Q17" s="2" t="s">
        <v>0</v>
      </c>
      <c r="R17" s="2">
        <v>1</v>
      </c>
      <c r="S17" s="2">
        <f>IF(R17=0,"-",IF(R17=1,SUM(R$1:R16)+1,SUM(R$1:R16)+1 &amp; "-" &amp; SUM(R$1:R17)))</f>
        <v>70</v>
      </c>
      <c r="T17" s="1" t="str">
        <f t="shared" si="3"/>
        <v>!import-table-item --Treasure Hoard: Challenge 11-16 --[[1d10]] 2500 gp art objects &amp; [[1d4]] Magic Item Table G --1</v>
      </c>
    </row>
    <row r="18" spans="1:20" x14ac:dyDescent="0.3">
      <c r="A18" s="3" t="s">
        <v>65</v>
      </c>
      <c r="B18" s="2" t="s">
        <v>0</v>
      </c>
      <c r="C18" s="2">
        <v>2</v>
      </c>
      <c r="D18" s="2" t="str">
        <f>IF(C18=0,"-",IF(C18=1,SUM(C$1:C17)+1,SUM(C$1:C17)+1 &amp; "-" &amp; SUM(C$1:C18)))</f>
        <v>98-99</v>
      </c>
      <c r="E18" s="1" t="str">
        <f t="shared" si="0"/>
        <v>!import-table-item --Treasure Hoard: Challenge 0-4 --[[2d4]] 25 gp art objects &amp; 1 Magic Item Table G --2</v>
      </c>
      <c r="F18" s="3" t="s">
        <v>64</v>
      </c>
      <c r="G18" s="2" t="s">
        <v>0</v>
      </c>
      <c r="H18" s="2">
        <v>3</v>
      </c>
      <c r="I18" s="2" t="str">
        <f>IF(H18=0,"-",IF(H18=1,SUM(H$1:H17)+1,SUM(H$1:H17)+1 &amp; "-" &amp; SUM(H$1:H18)))</f>
        <v>70-72</v>
      </c>
      <c r="J18" s="1" t="str">
        <f t="shared" si="1"/>
        <v>!import-table-item --Treasure Hoard: Challenge 5-10 --[[3d6]] 100 gp gems &amp; [[1d4]] Magic Item Table C --3</v>
      </c>
      <c r="K18" s="3" t="s">
        <v>63</v>
      </c>
      <c r="L18" s="2" t="s">
        <v>0</v>
      </c>
      <c r="M18" s="2">
        <v>4</v>
      </c>
      <c r="N18" s="2" t="str">
        <f>IF(M18=0,"-",IF(M18=1,SUM(M$1:M17)+1,SUM(M$1:M17)+1 &amp; "-" &amp; SUM(M$1:M18)))</f>
        <v>59-62</v>
      </c>
      <c r="O18" s="1" t="str">
        <f t="shared" si="2"/>
        <v>!import-table-item --Treasure Hoard: Challenge 11-16 --[[3d6]] 500 gp gems &amp; [[1d4]] Magic Item Table D --4</v>
      </c>
      <c r="P18" s="3" t="s">
        <v>62</v>
      </c>
      <c r="Q18" s="2" t="s">
        <v>0</v>
      </c>
      <c r="R18" s="2">
        <v>1</v>
      </c>
      <c r="S18" s="2">
        <f>IF(R18=0,"-",IF(R18=1,SUM(R$1:R17)+1,SUM(R$1:R17)+1 &amp; "-" &amp; SUM(R$1:R18)))</f>
        <v>71</v>
      </c>
      <c r="T18" s="1" t="str">
        <f t="shared" si="3"/>
        <v>!import-table-item --Treasure Hoard: Challenge 11-16 --[[1d4]] 7500 gp art objects &amp; [[1d4]] Magic Item Table G --1</v>
      </c>
    </row>
    <row r="19" spans="1:20" x14ac:dyDescent="0.3">
      <c r="A19" s="3" t="s">
        <v>61</v>
      </c>
      <c r="B19" s="2" t="s">
        <v>0</v>
      </c>
      <c r="C19" s="2">
        <v>1</v>
      </c>
      <c r="D19" s="2">
        <f>IF(C19=0,"-",IF(C19=1,SUM(C$1:C18)+1,SUM(C$1:C18)+1 &amp; "-" &amp; SUM(C$1:C19)))</f>
        <v>100</v>
      </c>
      <c r="E19" s="1" t="str">
        <f t="shared" si="0"/>
        <v>!import-table-item --Treasure Hoard: Challenge 0-4 --[[2d6]] 50 gp gems &amp; 1 Magic Item Table G --1</v>
      </c>
      <c r="F19" s="3" t="s">
        <v>60</v>
      </c>
      <c r="G19" s="2" t="s">
        <v>0</v>
      </c>
      <c r="H19" s="2">
        <v>2</v>
      </c>
      <c r="I19" s="2" t="str">
        <f>IF(H19=0,"-",IF(H19=1,SUM(H$1:H18)+1,SUM(H$1:H18)+1 &amp; "-" &amp; SUM(H$1:H19)))</f>
        <v>73-74</v>
      </c>
      <c r="J19" s="1" t="str">
        <f t="shared" si="1"/>
        <v>!import-table-item --Treasure Hoard: Challenge 5-10 --[[2d4]] 250 gp art objects &amp; [[1d4]] Magic Item Table C --2</v>
      </c>
      <c r="K19" s="3" t="s">
        <v>59</v>
      </c>
      <c r="L19" s="2" t="s">
        <v>0</v>
      </c>
      <c r="M19" s="2">
        <v>4</v>
      </c>
      <c r="N19" s="2" t="str">
        <f>IF(M19=0,"-",IF(M19=1,SUM(M$1:M18)+1,SUM(M$1:M18)+1 &amp; "-" &amp; SUM(M$1:M19)))</f>
        <v>63-66</v>
      </c>
      <c r="O19" s="1" t="str">
        <f t="shared" si="2"/>
        <v>!import-table-item --Treasure Hoard: Challenge 11-16 --[[3d6]] 1000 gp gems &amp; [[1d4]] Magic Item Table D --4</v>
      </c>
      <c r="P19" s="3" t="s">
        <v>48</v>
      </c>
      <c r="Q19" s="2" t="s">
        <v>0</v>
      </c>
      <c r="R19" s="2">
        <v>1</v>
      </c>
      <c r="S19" s="2">
        <f>IF(R19=0,"-",IF(R19=1,SUM(R$1:R18)+1,SUM(R$1:R18)+1 &amp; "-" &amp; SUM(R$1:R19)))</f>
        <v>72</v>
      </c>
      <c r="T19" s="1" t="str">
        <f t="shared" si="3"/>
        <v>!import-table-item --Treasure Hoard: Challenge 11-16 --[[1d8]] 5000 gp gems &amp; [[1d4]] Magic Item Table H --1</v>
      </c>
    </row>
    <row r="20" spans="1:20" x14ac:dyDescent="0.3">
      <c r="B20" s="2"/>
      <c r="F20" s="3" t="s">
        <v>58</v>
      </c>
      <c r="G20" s="2" t="s">
        <v>0</v>
      </c>
      <c r="H20" s="2">
        <v>2</v>
      </c>
      <c r="I20" s="2" t="str">
        <f>IF(H20=0,"-",IF(H20=1,SUM(H$1:H19)+1,SUM(H$1:H19)+1 &amp; "-" &amp; SUM(H$1:H20)))</f>
        <v>75-76</v>
      </c>
      <c r="J20" s="1" t="str">
        <f t="shared" si="1"/>
        <v>!import-table-item --Treasure Hoard: Challenge 5-10 --[[2d4]] 25 gp art objects &amp; 1 Magic Item Table D --2</v>
      </c>
      <c r="K20" s="3" t="s">
        <v>57</v>
      </c>
      <c r="L20" s="2" t="s">
        <v>0</v>
      </c>
      <c r="M20" s="2">
        <v>2</v>
      </c>
      <c r="N20" s="2" t="str">
        <f>IF(M20=0,"-",IF(M20=1,SUM(M$1:M19)+1,SUM(M$1:M19)+1 &amp; "-" &amp; SUM(M$1:M20)))</f>
        <v>67-68</v>
      </c>
      <c r="O20" s="1" t="str">
        <f t="shared" si="2"/>
        <v>!import-table-item --Treasure Hoard: Challenge 11-16 --[[2d4]] 250 gp art objects &amp; 1 Magic Item Table E --2</v>
      </c>
      <c r="P20" s="3" t="s">
        <v>28</v>
      </c>
      <c r="Q20" s="2" t="s">
        <v>0</v>
      </c>
      <c r="R20" s="2">
        <v>2</v>
      </c>
      <c r="S20" s="2" t="str">
        <f>IF(R20=0,"-",IF(R20=1,SUM(R$1:R19)+1,SUM(R$1:R19)+1 &amp; "-" &amp; SUM(R$1:R20)))</f>
        <v>73-74</v>
      </c>
      <c r="T20" s="1" t="str">
        <f t="shared" si="3"/>
        <v>!import-table-item --Treasure Hoard: Challenge 11-16 --[[3d6]] 1000 gp gems &amp; [[1d4]] Magic Item Table H --2</v>
      </c>
    </row>
    <row r="21" spans="1:20" x14ac:dyDescent="0.3">
      <c r="B21" s="2"/>
      <c r="F21" s="3" t="s">
        <v>56</v>
      </c>
      <c r="G21" s="2" t="s">
        <v>0</v>
      </c>
      <c r="H21" s="2">
        <v>2</v>
      </c>
      <c r="I21" s="2" t="str">
        <f>IF(H21=0,"-",IF(H21=1,SUM(H$1:H20)+1,SUM(H$1:H20)+1 &amp; "-" &amp; SUM(H$1:H21)))</f>
        <v>77-78</v>
      </c>
      <c r="J21" s="1" t="str">
        <f t="shared" si="1"/>
        <v>!import-table-item --Treasure Hoard: Challenge 5-10 --[[3d6]] 50 gp gems &amp; 1 Magic Item Table D --2</v>
      </c>
      <c r="K21" s="3" t="s">
        <v>55</v>
      </c>
      <c r="L21" s="2" t="s">
        <v>0</v>
      </c>
      <c r="M21" s="2">
        <v>2</v>
      </c>
      <c r="N21" s="2" t="str">
        <f>IF(M21=0,"-",IF(M21=1,SUM(M$1:M20)+1,SUM(M$1:M20)+1 &amp; "-" &amp; SUM(M$1:M21)))</f>
        <v>69-70</v>
      </c>
      <c r="O21" s="1" t="str">
        <f t="shared" si="2"/>
        <v>!import-table-item --Treasure Hoard: Challenge 11-16 --[[2d4]] 750 gp art objects &amp; 1 Magic Item Table E --2</v>
      </c>
      <c r="P21" s="3" t="s">
        <v>54</v>
      </c>
      <c r="Q21" s="2" t="s">
        <v>0</v>
      </c>
      <c r="R21" s="2">
        <v>2</v>
      </c>
      <c r="S21" s="2" t="str">
        <f>IF(R21=0,"-",IF(R21=1,SUM(R$1:R20)+1,SUM(R$1:R20)+1 &amp; "-" &amp; SUM(R$1:R21)))</f>
        <v>75-76</v>
      </c>
      <c r="T21" s="1" t="str">
        <f t="shared" si="3"/>
        <v>!import-table-item --Treasure Hoard: Challenge 11-16 --[[1d10]] 2500 gp art objects &amp; [[1d4]] Magic Item Table H --2</v>
      </c>
    </row>
    <row r="22" spans="1:20" x14ac:dyDescent="0.3">
      <c r="B22" s="2"/>
      <c r="F22" s="3" t="s">
        <v>53</v>
      </c>
      <c r="G22" s="2" t="s">
        <v>0</v>
      </c>
      <c r="H22" s="2">
        <v>1</v>
      </c>
      <c r="I22" s="2">
        <f>IF(H22=0,"-",IF(H22=1,SUM(H$1:H21)+1,SUM(H$1:H21)+1 &amp; "-" &amp; SUM(H$1:H22)))</f>
        <v>79</v>
      </c>
      <c r="J22" s="1" t="str">
        <f t="shared" si="1"/>
        <v>!import-table-item --Treasure Hoard: Challenge 5-10 --[[3d6]] 100 gp gems &amp; 1 Magic Item Table D --1</v>
      </c>
      <c r="K22" s="3" t="s">
        <v>52</v>
      </c>
      <c r="L22" s="2" t="s">
        <v>0</v>
      </c>
      <c r="M22" s="2">
        <v>2</v>
      </c>
      <c r="N22" s="2" t="str">
        <f>IF(M22=0,"-",IF(M22=1,SUM(M$1:M21)+1,SUM(M$1:M21)+1 &amp; "-" &amp; SUM(M$1:M22)))</f>
        <v>71-72</v>
      </c>
      <c r="O22" s="1" t="str">
        <f t="shared" si="2"/>
        <v>!import-table-item --Treasure Hoard: Challenge 11-16 --[[3d6]] 500 gp gems &amp; 1 Magic Item Table E --2</v>
      </c>
      <c r="P22" s="3" t="s">
        <v>51</v>
      </c>
      <c r="Q22" s="2" t="s">
        <v>0</v>
      </c>
      <c r="R22" s="2">
        <v>2</v>
      </c>
      <c r="S22" s="2" t="str">
        <f>IF(R22=0,"-",IF(R22=1,SUM(R$1:R21)+1,SUM(R$1:R21)+1 &amp; "-" &amp; SUM(R$1:R22)))</f>
        <v>77-78</v>
      </c>
      <c r="T22" s="1" t="str">
        <f t="shared" si="3"/>
        <v>!import-table-item --Treasure Hoard: Challenge 11-16 --[[1d4]] 7500 gp art objects &amp; [[1d4]] Magic Item Table H --2</v>
      </c>
    </row>
    <row r="23" spans="1:20" x14ac:dyDescent="0.3">
      <c r="B23" s="2"/>
      <c r="F23" s="3" t="s">
        <v>50</v>
      </c>
      <c r="G23" s="2" t="s">
        <v>0</v>
      </c>
      <c r="H23" s="2">
        <v>1</v>
      </c>
      <c r="I23" s="2">
        <f>IF(H23=0,"-",IF(H23=1,SUM(H$1:H22)+1,SUM(H$1:H22)+1 &amp; "-" &amp; SUM(H$1:H23)))</f>
        <v>80</v>
      </c>
      <c r="J23" s="1" t="str">
        <f t="shared" si="1"/>
        <v>!import-table-item --Treasure Hoard: Challenge 5-10 --[[2d4]] 250 gp art objects &amp; 1 Magic Item Table D --1</v>
      </c>
      <c r="K23" s="3" t="s">
        <v>49</v>
      </c>
      <c r="L23" s="2" t="s">
        <v>0</v>
      </c>
      <c r="M23" s="2">
        <v>2</v>
      </c>
      <c r="N23" s="2" t="str">
        <f>IF(M23=0,"-",IF(M23=1,SUM(M$1:M22)+1,SUM(M$1:M22)+1 &amp; "-" &amp; SUM(M$1:M23)))</f>
        <v>73-74</v>
      </c>
      <c r="O23" s="1" t="str">
        <f t="shared" si="2"/>
        <v>!import-table-item --Treasure Hoard: Challenge 11-16 --[[3d6]] 1000 gp gems &amp; 1 Magic Item Table E --2</v>
      </c>
      <c r="P23" s="3" t="s">
        <v>48</v>
      </c>
      <c r="Q23" s="2" t="s">
        <v>0</v>
      </c>
      <c r="R23" s="2">
        <v>2</v>
      </c>
      <c r="S23" s="2" t="str">
        <f>IF(R23=0,"-",IF(R23=1,SUM(R$1:R22)+1,SUM(R$1:R22)+1 &amp; "-" &amp; SUM(R$1:R23)))</f>
        <v>79-80</v>
      </c>
      <c r="T23" s="1" t="str">
        <f t="shared" si="3"/>
        <v>!import-table-item --Treasure Hoard: Challenge 11-16 --[[1d8]] 5000 gp gems &amp; [[1d4]] Magic Item Table H --2</v>
      </c>
    </row>
    <row r="24" spans="1:20" x14ac:dyDescent="0.3">
      <c r="B24" s="2"/>
      <c r="F24" s="3" t="s">
        <v>47</v>
      </c>
      <c r="G24" s="2" t="s">
        <v>0</v>
      </c>
      <c r="H24" s="2">
        <v>4</v>
      </c>
      <c r="I24" s="2" t="str">
        <f>IF(H24=0,"-",IF(H24=1,SUM(H$1:H23)+1,SUM(H$1:H23)+1 &amp; "-" &amp; SUM(H$1:H24)))</f>
        <v>81-84</v>
      </c>
      <c r="J24" s="1" t="str">
        <f t="shared" si="1"/>
        <v>!import-table-item --Treasure Hoard: Challenge 5-10 --[[2d4]] 25 gp art objects &amp; [[1d4]] Magic Item Table F --4</v>
      </c>
      <c r="K24" s="3" t="s">
        <v>46</v>
      </c>
      <c r="L24" s="2" t="s">
        <v>0</v>
      </c>
      <c r="M24" s="2">
        <v>2</v>
      </c>
      <c r="N24" s="2" t="str">
        <f>IF(M24=0,"-",IF(M24=1,SUM(M$1:M23)+1,SUM(M$1:M23)+1 &amp; "-" &amp; SUM(M$1:M24)))</f>
        <v>75-76</v>
      </c>
      <c r="O24" s="1" t="str">
        <f t="shared" si="2"/>
        <v>!import-table-item --Treasure Hoard: Challenge 11-16 --[[2d4]] 250 gp art objects &amp; 1 Magic Item Table F &amp; [[1d4]] Magic Item Table G --2</v>
      </c>
      <c r="P24" s="3" t="s">
        <v>45</v>
      </c>
      <c r="Q24" s="2" t="s">
        <v>0</v>
      </c>
      <c r="R24" s="2">
        <v>5</v>
      </c>
      <c r="S24" s="2" t="str">
        <f>IF(R24=0,"-",IF(R24=1,SUM(R$1:R23)+1,SUM(R$1:R23)+1 &amp; "-" &amp; SUM(R$1:R24)))</f>
        <v>81-85</v>
      </c>
      <c r="T24" s="1" t="str">
        <f t="shared" si="3"/>
        <v>!import-table-item --Treasure Hoard: Challenge 11-16 --[[3d6]] 1000 gp gems &amp; [[1d4]] Magic Item Table I --5</v>
      </c>
    </row>
    <row r="25" spans="1:20" x14ac:dyDescent="0.3">
      <c r="B25" s="2"/>
      <c r="F25" s="3" t="s">
        <v>44</v>
      </c>
      <c r="G25" s="2" t="s">
        <v>0</v>
      </c>
      <c r="H25" s="2">
        <v>4</v>
      </c>
      <c r="I25" s="2" t="str">
        <f>IF(H25=0,"-",IF(H25=1,SUM(H$1:H24)+1,SUM(H$1:H24)+1 &amp; "-" &amp; SUM(H$1:H25)))</f>
        <v>85-88</v>
      </c>
      <c r="J25" s="1" t="str">
        <f t="shared" si="1"/>
        <v>!import-table-item --Treasure Hoard: Challenge 5-10 --[[3d6]] 50 gp gems &amp; [[1d4]] Magic Item Table F --4</v>
      </c>
      <c r="K25" s="3" t="s">
        <v>43</v>
      </c>
      <c r="L25" s="2" t="s">
        <v>0</v>
      </c>
      <c r="M25" s="2">
        <v>2</v>
      </c>
      <c r="N25" s="2" t="str">
        <f>IF(M25=0,"-",IF(M25=1,SUM(M$1:M24)+1,SUM(M$1:M24)+1 &amp; "-" &amp; SUM(M$1:M25)))</f>
        <v>77-78</v>
      </c>
      <c r="O25" s="1" t="str">
        <f t="shared" si="2"/>
        <v>!import-table-item --Treasure Hoard: Challenge 11-16 --[[2d4]] 750 gp art objects &amp; 1 Magic Item Table F &amp; [[1d4]] Magic Item Table G --2</v>
      </c>
      <c r="P25" s="3" t="s">
        <v>42</v>
      </c>
      <c r="Q25" s="2" t="s">
        <v>0</v>
      </c>
      <c r="R25" s="2">
        <v>5</v>
      </c>
      <c r="S25" s="2" t="str">
        <f>IF(R25=0,"-",IF(R25=1,SUM(R$1:R24)+1,SUM(R$1:R24)+1 &amp; "-" &amp; SUM(R$1:R25)))</f>
        <v>86-90</v>
      </c>
      <c r="T25" s="1" t="str">
        <f t="shared" si="3"/>
        <v>!import-table-item --Treasure Hoard: Challenge 11-16 --[[1d10]] 2500 gp art objects &amp; [[1d4]] Magic Item Table I --5</v>
      </c>
    </row>
    <row r="26" spans="1:20" x14ac:dyDescent="0.3">
      <c r="B26" s="2"/>
      <c r="F26" s="3" t="s">
        <v>41</v>
      </c>
      <c r="G26" s="2" t="s">
        <v>0</v>
      </c>
      <c r="H26" s="2">
        <v>3</v>
      </c>
      <c r="I26" s="2" t="str">
        <f>IF(H26=0,"-",IF(H26=1,SUM(H$1:H25)+1,SUM(H$1:H25)+1 &amp; "-" &amp; SUM(H$1:H26)))</f>
        <v>89-91</v>
      </c>
      <c r="J26" s="1" t="str">
        <f t="shared" si="1"/>
        <v>!import-table-item --Treasure Hoard: Challenge 5-10 --[[3d6]] 100 gp gems &amp; [[1d4]] Magic Item Table F --3</v>
      </c>
      <c r="K26" s="3" t="s">
        <v>40</v>
      </c>
      <c r="L26" s="2" t="s">
        <v>0</v>
      </c>
      <c r="M26" s="2">
        <v>2</v>
      </c>
      <c r="N26" s="2" t="str">
        <f>IF(M26=0,"-",IF(M26=1,SUM(M$1:M25)+1,SUM(M$1:M25)+1 &amp; "-" &amp; SUM(M$1:M26)))</f>
        <v>79-80</v>
      </c>
      <c r="O26" s="1" t="str">
        <f t="shared" si="2"/>
        <v>!import-table-item --Treasure Hoard: Challenge 11-16 --[[3d6]] 500 gp gems &amp; 1 Magic Item Table F &amp; [[1d4]] Magic Item Table G --2</v>
      </c>
      <c r="P26" s="3" t="s">
        <v>39</v>
      </c>
      <c r="Q26" s="2" t="s">
        <v>0</v>
      </c>
      <c r="R26" s="2">
        <v>5</v>
      </c>
      <c r="S26" s="2" t="str">
        <f>IF(R26=0,"-",IF(R26=1,SUM(R$1:R25)+1,SUM(R$1:R25)+1 &amp; "-" &amp; SUM(R$1:R26)))</f>
        <v>91-95</v>
      </c>
      <c r="T26" s="1" t="str">
        <f t="shared" si="3"/>
        <v>!import-table-item --Treasure Hoard: Challenge 11-16 --[[1d4]] 7500 gp art objects &amp; [[1d4]] Magic Item Table I --5</v>
      </c>
    </row>
    <row r="27" spans="1:20" x14ac:dyDescent="0.3">
      <c r="B27" s="2"/>
      <c r="F27" s="3" t="s">
        <v>38</v>
      </c>
      <c r="G27" s="2" t="s">
        <v>0</v>
      </c>
      <c r="H27" s="2">
        <v>3</v>
      </c>
      <c r="I27" s="2" t="str">
        <f>IF(H27=0,"-",IF(H27=1,SUM(H$1:H26)+1,SUM(H$1:H26)+1 &amp; "-" &amp; SUM(H$1:H27)))</f>
        <v>92-94</v>
      </c>
      <c r="J27" s="1" t="str">
        <f t="shared" si="1"/>
        <v>!import-table-item --Treasure Hoard: Challenge 5-10 --[[2d4]] 250 gp art objects &amp; [[1d4]] Magic Item Table F --3</v>
      </c>
      <c r="K27" s="3" t="s">
        <v>37</v>
      </c>
      <c r="L27" s="2" t="s">
        <v>0</v>
      </c>
      <c r="M27" s="2">
        <v>2</v>
      </c>
      <c r="N27" s="2" t="str">
        <f>IF(M27=0,"-",IF(M27=1,SUM(M$1:M26)+1,SUM(M$1:M26)+1 &amp; "-" &amp; SUM(M$1:M27)))</f>
        <v>81-82</v>
      </c>
      <c r="O27" s="1" t="str">
        <f t="shared" si="2"/>
        <v>!import-table-item --Treasure Hoard: Challenge 11-16 --[[3d6]] 1000 gp gems &amp; 1 Magic Item Table F &amp; [[1d4]] Magic Item Table G --2</v>
      </c>
      <c r="P27" s="3" t="s">
        <v>36</v>
      </c>
      <c r="Q27" s="2" t="s">
        <v>0</v>
      </c>
      <c r="R27" s="2">
        <v>5</v>
      </c>
      <c r="S27" s="2" t="str">
        <f>IF(R27=0,"-",IF(R27=1,SUM(R$1:R26)+1,SUM(R$1:R26)+1 &amp; "-" &amp; SUM(R$1:R27)))</f>
        <v>96-100</v>
      </c>
      <c r="T27" s="1" t="str">
        <f t="shared" si="3"/>
        <v>!import-table-item --Treasure Hoard: Challenge 11-16 --[[1d8]] 5000 gp gems &amp; [[1d4]] Magic Item Table I --5</v>
      </c>
    </row>
    <row r="28" spans="1:20" x14ac:dyDescent="0.3">
      <c r="B28" s="2"/>
      <c r="F28" s="3" t="s">
        <v>35</v>
      </c>
      <c r="G28" s="2" t="s">
        <v>0</v>
      </c>
      <c r="H28" s="2">
        <v>2</v>
      </c>
      <c r="I28" s="2" t="str">
        <f>IF(H28=0,"-",IF(H28=1,SUM(H$1:H27)+1,SUM(H$1:H27)+1 &amp; "-" &amp; SUM(H$1:H28)))</f>
        <v>95-96</v>
      </c>
      <c r="J28" s="1" t="str">
        <f t="shared" si="1"/>
        <v>!import-table-item --Treasure Hoard: Challenge 5-10 --[[3d6]] 100 gp gems &amp; [[1d4]] Magic Item Table G --2</v>
      </c>
      <c r="K28" s="3" t="s">
        <v>34</v>
      </c>
      <c r="L28" s="2" t="s">
        <v>0</v>
      </c>
      <c r="M28" s="2">
        <v>3</v>
      </c>
      <c r="N28" s="2" t="str">
        <f>IF(M28=0,"-",IF(M28=1,SUM(M$1:M27)+1,SUM(M$1:M27)+1 &amp; "-" &amp; SUM(M$1:M28)))</f>
        <v>83-85</v>
      </c>
      <c r="O28" s="1" t="str">
        <f t="shared" si="2"/>
        <v>!import-table-item --Treasure Hoard: Challenge 11-16 --[[2d4]] 250 gp art objects &amp; [[1d4]] Magic Item Table H --3</v>
      </c>
      <c r="Q28" s="2"/>
    </row>
    <row r="29" spans="1:20" x14ac:dyDescent="0.3">
      <c r="B29" s="2"/>
      <c r="F29" s="3" t="s">
        <v>33</v>
      </c>
      <c r="G29" s="2" t="s">
        <v>0</v>
      </c>
      <c r="H29" s="2">
        <v>2</v>
      </c>
      <c r="I29" s="2" t="str">
        <f>IF(H29=0,"-",IF(H29=1,SUM(H$1:H28)+1,SUM(H$1:H28)+1 &amp; "-" &amp; SUM(H$1:H29)))</f>
        <v>97-98</v>
      </c>
      <c r="J29" s="1" t="str">
        <f t="shared" si="1"/>
        <v>!import-table-item --Treasure Hoard: Challenge 5-10 --[[2d4]] 250 gp art objects &amp; [[1d4]] Magic Item Table G --2</v>
      </c>
      <c r="K29" s="3" t="s">
        <v>32</v>
      </c>
      <c r="L29" s="2" t="s">
        <v>0</v>
      </c>
      <c r="M29" s="2">
        <v>3</v>
      </c>
      <c r="N29" s="2" t="str">
        <f>IF(M29=0,"-",IF(M29=1,SUM(M$1:M28)+1,SUM(M$1:M28)+1 &amp; "-" &amp; SUM(M$1:M29)))</f>
        <v>86-88</v>
      </c>
      <c r="O29" s="1" t="str">
        <f t="shared" si="2"/>
        <v>!import-table-item --Treasure Hoard: Challenge 11-16 --[[2d4]] 750 gp art objects &amp; [[1d4]] Magic Item Table H --3</v>
      </c>
      <c r="Q29" s="2"/>
    </row>
    <row r="30" spans="1:20" x14ac:dyDescent="0.3">
      <c r="B30" s="2"/>
      <c r="F30" s="3" t="s">
        <v>31</v>
      </c>
      <c r="G30" s="2" t="s">
        <v>0</v>
      </c>
      <c r="H30" s="2">
        <v>1</v>
      </c>
      <c r="I30" s="2">
        <f>IF(H30=0,"-",IF(H30=1,SUM(H$1:H29)+1,SUM(H$1:H29)+1 &amp; "-" &amp; SUM(H$1:H30)))</f>
        <v>99</v>
      </c>
      <c r="J30" s="1" t="str">
        <f t="shared" si="1"/>
        <v>!import-table-item --Treasure Hoard: Challenge 5-10 --[[3d6]] 100 gp gems &amp; 1 Magic Item Table H --1</v>
      </c>
      <c r="K30" s="3" t="s">
        <v>30</v>
      </c>
      <c r="L30" s="2" t="s">
        <v>0</v>
      </c>
      <c r="M30" s="2">
        <v>2</v>
      </c>
      <c r="N30" s="2" t="str">
        <f>IF(M30=0,"-",IF(M30=1,SUM(M$1:M29)+1,SUM(M$1:M29)+1 &amp; "-" &amp; SUM(M$1:M30)))</f>
        <v>89-90</v>
      </c>
      <c r="O30" s="1" t="str">
        <f t="shared" si="2"/>
        <v>!import-table-item --Treasure Hoard: Challenge 11-16 --[[3d6]] 500 gp gems &amp; [[1d4]] Magic Item Table H --2</v>
      </c>
      <c r="Q30" s="2"/>
    </row>
    <row r="31" spans="1:20" x14ac:dyDescent="0.3">
      <c r="B31" s="2"/>
      <c r="F31" s="3" t="s">
        <v>29</v>
      </c>
      <c r="G31" s="2" t="s">
        <v>0</v>
      </c>
      <c r="H31" s="2">
        <v>1</v>
      </c>
      <c r="I31" s="2">
        <f>IF(H31=0,"-",IF(H31=1,SUM(H$1:H30)+1,SUM(H$1:H30)+1 &amp; "-" &amp; SUM(H$1:H31)))</f>
        <v>100</v>
      </c>
      <c r="J31" s="1" t="str">
        <f t="shared" si="1"/>
        <v>!import-table-item --Treasure Hoard: Challenge 5-10 --[[2d4]] 250 gp art objects &amp; 1 Magic Item Table H --1</v>
      </c>
      <c r="K31" s="3" t="s">
        <v>28</v>
      </c>
      <c r="L31" s="2" t="s">
        <v>0</v>
      </c>
      <c r="M31" s="2">
        <v>2</v>
      </c>
      <c r="N31" s="2" t="str">
        <f>IF(M31=0,"-",IF(M31=1,SUM(M$1:M30)+1,SUM(M$1:M30)+1 &amp; "-" &amp; SUM(M$1:M31)))</f>
        <v>91-92</v>
      </c>
      <c r="O31" s="1" t="str">
        <f t="shared" si="2"/>
        <v>!import-table-item --Treasure Hoard: Challenge 11-16 --[[3d6]] 1000 gp gems &amp; [[1d4]] Magic Item Table H --2</v>
      </c>
      <c r="Q31" s="2"/>
    </row>
    <row r="32" spans="1:20" x14ac:dyDescent="0.3">
      <c r="B32" s="2"/>
      <c r="G32" s="2"/>
      <c r="K32" s="3" t="s">
        <v>27</v>
      </c>
      <c r="L32" s="2" t="s">
        <v>0</v>
      </c>
      <c r="M32" s="2">
        <v>2</v>
      </c>
      <c r="N32" s="2" t="str">
        <f>IF(M32=0,"-",IF(M32=1,SUM(M$1:M31)+1,SUM(M$1:M31)+1 &amp; "-" &amp; SUM(M$1:M32)))</f>
        <v>93-94</v>
      </c>
      <c r="O32" s="1" t="str">
        <f t="shared" si="2"/>
        <v>!import-table-item --Treasure Hoard: Challenge 11-16 --[[2d4]] 250 gp art objects &amp; 1 Magic Item Table I --2</v>
      </c>
      <c r="Q32" s="2"/>
    </row>
    <row r="33" spans="2:17" x14ac:dyDescent="0.3">
      <c r="B33" s="2"/>
      <c r="G33" s="2"/>
      <c r="K33" s="3" t="s">
        <v>26</v>
      </c>
      <c r="L33" s="2" t="s">
        <v>0</v>
      </c>
      <c r="M33" s="2">
        <v>2</v>
      </c>
      <c r="N33" s="2" t="str">
        <f>IF(M33=0,"-",IF(M33=1,SUM(M$1:M32)+1,SUM(M$1:M32)+1 &amp; "-" &amp; SUM(M$1:M33)))</f>
        <v>95-96</v>
      </c>
      <c r="O33" s="1" t="str">
        <f t="shared" si="2"/>
        <v>!import-table-item --Treasure Hoard: Challenge 11-16 --[[2d4]] 750 gp art objects &amp; 1 Magic Item Table I --2</v>
      </c>
      <c r="Q33" s="2"/>
    </row>
    <row r="34" spans="2:17" x14ac:dyDescent="0.3">
      <c r="B34" s="2"/>
      <c r="G34" s="2"/>
      <c r="K34" s="3" t="s">
        <v>25</v>
      </c>
      <c r="L34" s="2" t="s">
        <v>0</v>
      </c>
      <c r="M34" s="2">
        <v>2</v>
      </c>
      <c r="N34" s="2" t="str">
        <f>IF(M34=0,"-",IF(M34=1,SUM(M$1:M33)+1,SUM(M$1:M33)+1 &amp; "-" &amp; SUM(M$1:M34)))</f>
        <v>97-98</v>
      </c>
      <c r="O34" s="1" t="str">
        <f t="shared" si="2"/>
        <v>!import-table-item --Treasure Hoard: Challenge 11-16 --[[3d6]] 500 gp gems &amp; 1 Magic Item Table I --2</v>
      </c>
      <c r="Q34" s="2"/>
    </row>
    <row r="35" spans="2:17" x14ac:dyDescent="0.3">
      <c r="B35" s="2"/>
      <c r="G35" s="2"/>
      <c r="K35" s="3" t="s">
        <v>24</v>
      </c>
      <c r="L35" s="2" t="s">
        <v>0</v>
      </c>
      <c r="M35" s="2">
        <v>2</v>
      </c>
      <c r="N35" s="2" t="str">
        <f>IF(M35=0,"-",IF(M35=1,SUM(M$1:M34)+1,SUM(M$1:M34)+1 &amp; "-" &amp; SUM(M$1:M35)))</f>
        <v>99-100</v>
      </c>
      <c r="O35" s="1" t="str">
        <f t="shared" si="2"/>
        <v>!import-table-item --Treasure Hoard: Challenge 11-16 --[[3d6]] 1000 gp gems &amp; 1 Magic Item Table I --2</v>
      </c>
      <c r="Q35" s="2"/>
    </row>
    <row r="36" spans="2:17" x14ac:dyDescent="0.3">
      <c r="B36" s="2"/>
      <c r="G36" s="2"/>
      <c r="L36" s="2"/>
      <c r="Q36" s="2"/>
    </row>
    <row r="37" spans="2:17" x14ac:dyDescent="0.3">
      <c r="B37" s="2"/>
      <c r="G37" s="2"/>
      <c r="L37" s="2"/>
      <c r="Q37" s="2"/>
    </row>
    <row r="38" spans="2:17" x14ac:dyDescent="0.3">
      <c r="B38" s="2"/>
      <c r="G38" s="2"/>
      <c r="L38" s="2"/>
      <c r="Q38" s="2"/>
    </row>
    <row r="39" spans="2:17" x14ac:dyDescent="0.3">
      <c r="B39" s="2"/>
      <c r="G39" s="2"/>
      <c r="L39" s="2"/>
      <c r="Q39" s="2"/>
    </row>
    <row r="40" spans="2:17" x14ac:dyDescent="0.3">
      <c r="B40" s="2"/>
      <c r="G40" s="2"/>
      <c r="L40" s="2"/>
      <c r="Q40" s="2"/>
    </row>
    <row r="41" spans="2:17" x14ac:dyDescent="0.3">
      <c r="B41" s="2"/>
      <c r="G41" s="2"/>
      <c r="L41" s="2"/>
      <c r="Q41" s="2"/>
    </row>
    <row r="42" spans="2:17" x14ac:dyDescent="0.3">
      <c r="B42" s="2"/>
      <c r="G42" s="2"/>
      <c r="L42" s="2"/>
      <c r="Q42" s="2"/>
    </row>
    <row r="43" spans="2:17" x14ac:dyDescent="0.3">
      <c r="B43" s="2"/>
      <c r="G43" s="2"/>
      <c r="L43" s="2"/>
      <c r="Q43" s="2"/>
    </row>
    <row r="44" spans="2:17" x14ac:dyDescent="0.3">
      <c r="B44" s="2"/>
      <c r="G44" s="2"/>
      <c r="L44" s="2"/>
      <c r="Q44" s="2"/>
    </row>
    <row r="45" spans="2:17" x14ac:dyDescent="0.3">
      <c r="B45" s="2"/>
      <c r="G45" s="2"/>
      <c r="L45" s="2"/>
      <c r="Q45" s="2"/>
    </row>
    <row r="46" spans="2:17" x14ac:dyDescent="0.3">
      <c r="B46" s="2"/>
      <c r="G46" s="2"/>
      <c r="L46" s="2"/>
      <c r="Q46" s="2"/>
    </row>
    <row r="47" spans="2:17" x14ac:dyDescent="0.3">
      <c r="B47" s="2"/>
      <c r="G47" s="2"/>
      <c r="L47" s="2"/>
      <c r="Q47" s="2"/>
    </row>
    <row r="48" spans="2:17" x14ac:dyDescent="0.3">
      <c r="B48" s="2"/>
      <c r="G48" s="2"/>
      <c r="L48" s="2"/>
      <c r="Q48" s="2"/>
    </row>
    <row r="49" spans="2:17" x14ac:dyDescent="0.3">
      <c r="B49" s="2"/>
      <c r="G49" s="2"/>
      <c r="L49" s="2"/>
      <c r="Q49" s="2"/>
    </row>
    <row r="50" spans="2:17" x14ac:dyDescent="0.3">
      <c r="B50" s="2"/>
      <c r="G50" s="2"/>
      <c r="L50" s="2"/>
      <c r="Q50" s="2"/>
    </row>
    <row r="51" spans="2:17" x14ac:dyDescent="0.3">
      <c r="B51" s="2"/>
      <c r="G51" s="2"/>
      <c r="L51" s="2"/>
      <c r="Q51" s="2"/>
    </row>
    <row r="52" spans="2:17" x14ac:dyDescent="0.3">
      <c r="B52" s="2"/>
      <c r="G52" s="2"/>
      <c r="L52" s="2"/>
      <c r="Q52" s="2"/>
    </row>
    <row r="53" spans="2:17" x14ac:dyDescent="0.3">
      <c r="B53" s="2"/>
      <c r="G53" s="2"/>
      <c r="L53" s="2"/>
      <c r="Q53" s="2"/>
    </row>
    <row r="54" spans="2:17" x14ac:dyDescent="0.3">
      <c r="B54" s="2"/>
      <c r="G54" s="2"/>
      <c r="L54" s="2"/>
      <c r="Q54" s="2"/>
    </row>
    <row r="55" spans="2:17" x14ac:dyDescent="0.3">
      <c r="B55" s="2"/>
      <c r="G55" s="2"/>
      <c r="L55" s="2"/>
      <c r="Q55" s="2"/>
    </row>
    <row r="56" spans="2:17" x14ac:dyDescent="0.3">
      <c r="B56" s="2"/>
      <c r="G56" s="2"/>
      <c r="L56" s="2"/>
      <c r="Q56" s="2"/>
    </row>
    <row r="57" spans="2:17" x14ac:dyDescent="0.3">
      <c r="B57" s="2"/>
      <c r="G57" s="2"/>
      <c r="L57" s="2"/>
      <c r="Q57" s="2"/>
    </row>
    <row r="58" spans="2:17" x14ac:dyDescent="0.3">
      <c r="B58" s="2"/>
      <c r="G58" s="2"/>
      <c r="L58" s="2"/>
      <c r="Q58" s="2"/>
    </row>
    <row r="59" spans="2:17" x14ac:dyDescent="0.3">
      <c r="B59" s="2"/>
      <c r="G59" s="2"/>
      <c r="L59" s="2"/>
      <c r="Q59" s="2"/>
    </row>
    <row r="60" spans="2:17" x14ac:dyDescent="0.3">
      <c r="B60" s="2"/>
      <c r="G60" s="2"/>
      <c r="L60" s="2"/>
      <c r="Q60" s="2"/>
    </row>
    <row r="61" spans="2:17" x14ac:dyDescent="0.3">
      <c r="B61" s="2"/>
      <c r="G61" s="2"/>
      <c r="L61" s="2"/>
      <c r="Q61" s="2"/>
    </row>
    <row r="62" spans="2:17" x14ac:dyDescent="0.3">
      <c r="B62" s="2"/>
      <c r="G62" s="2"/>
      <c r="L62" s="2"/>
      <c r="Q62" s="2"/>
    </row>
    <row r="63" spans="2:17" x14ac:dyDescent="0.3">
      <c r="B63" s="2"/>
      <c r="G63" s="2"/>
      <c r="L63" s="2"/>
      <c r="Q63" s="2"/>
    </row>
    <row r="64" spans="2:17" x14ac:dyDescent="0.3">
      <c r="B64" s="2"/>
      <c r="G64" s="2"/>
      <c r="L64" s="2"/>
      <c r="Q64" s="2"/>
    </row>
    <row r="65" spans="2:17" x14ac:dyDescent="0.3">
      <c r="B65" s="2"/>
      <c r="G65" s="2"/>
      <c r="L65" s="2"/>
      <c r="Q65" s="2"/>
    </row>
    <row r="66" spans="2:17" x14ac:dyDescent="0.3">
      <c r="B66" s="2"/>
      <c r="G66" s="2"/>
      <c r="L66" s="2"/>
      <c r="Q66" s="2"/>
    </row>
    <row r="67" spans="2:17" x14ac:dyDescent="0.3">
      <c r="B67" s="2"/>
      <c r="G67" s="2"/>
      <c r="L67" s="2"/>
      <c r="Q67" s="2"/>
    </row>
    <row r="68" spans="2:17" x14ac:dyDescent="0.3">
      <c r="B68" s="2"/>
      <c r="G68" s="2"/>
      <c r="L68" s="2"/>
      <c r="Q68" s="2"/>
    </row>
    <row r="69" spans="2:17" x14ac:dyDescent="0.3">
      <c r="B69" s="2"/>
      <c r="G69" s="2"/>
      <c r="L69" s="2"/>
      <c r="Q69" s="2"/>
    </row>
    <row r="70" spans="2:17" x14ac:dyDescent="0.3">
      <c r="B70" s="2"/>
      <c r="G70" s="2"/>
      <c r="L70" s="2"/>
      <c r="Q7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C81A-1B14-4D0F-9412-7C61880CEA71}">
  <dimension ref="A1:AD76"/>
  <sheetViews>
    <sheetView workbookViewId="0">
      <selection activeCell="E16" sqref="E16"/>
    </sheetView>
  </sheetViews>
  <sheetFormatPr defaultColWidth="9.140625" defaultRowHeight="18.75" x14ac:dyDescent="0.3"/>
  <cols>
    <col min="1" max="1" width="93.5703125" style="3" bestFit="1" customWidth="1"/>
    <col min="2" max="2" width="8.85546875" style="3" bestFit="1" customWidth="1"/>
    <col min="3" max="3" width="9.140625" style="2" bestFit="1" customWidth="1"/>
    <col min="4" max="4" width="5.5703125" style="2" bestFit="1" customWidth="1"/>
    <col min="5" max="5" width="136.28515625" style="1" bestFit="1" customWidth="1"/>
    <col min="6" max="6" width="81.5703125" style="3" bestFit="1" customWidth="1"/>
    <col min="7" max="7" width="8.85546875" style="3" bestFit="1" customWidth="1"/>
    <col min="8" max="8" width="9.140625" style="2" bestFit="1" customWidth="1"/>
    <col min="9" max="9" width="5.5703125" style="2" bestFit="1" customWidth="1"/>
    <col min="10" max="10" width="124.28515625" style="1" bestFit="1" customWidth="1"/>
    <col min="11" max="11" width="65.42578125" style="3" bestFit="1" customWidth="1"/>
    <col min="12" max="12" width="8.85546875" style="3" bestFit="1" customWidth="1"/>
    <col min="13" max="13" width="9.140625" style="2" bestFit="1" customWidth="1"/>
    <col min="14" max="14" width="5.5703125" style="2" bestFit="1" customWidth="1"/>
    <col min="15" max="15" width="109.7109375" style="1" bestFit="1" customWidth="1"/>
    <col min="16" max="16" width="48.85546875" style="3" bestFit="1" customWidth="1"/>
    <col min="17" max="17" width="8.85546875" style="3" bestFit="1" customWidth="1"/>
    <col min="18" max="18" width="9.140625" style="2" bestFit="1" customWidth="1"/>
    <col min="19" max="19" width="4.140625" style="2" bestFit="1" customWidth="1"/>
    <col min="20" max="20" width="93.140625" style="1" bestFit="1" customWidth="1"/>
    <col min="21" max="21" width="82.85546875" style="3" bestFit="1" customWidth="1"/>
    <col min="22" max="22" width="8.85546875" style="3" bestFit="1" customWidth="1"/>
    <col min="23" max="23" width="9.140625" style="2" bestFit="1" customWidth="1"/>
    <col min="24" max="24" width="4.140625" style="2" bestFit="1" customWidth="1"/>
    <col min="25" max="25" width="128.5703125" style="1" bestFit="1" customWidth="1"/>
    <col min="26" max="26" width="75.7109375" style="3" bestFit="1" customWidth="1"/>
    <col min="27" max="27" width="8.85546875" style="3" bestFit="1" customWidth="1"/>
    <col min="28" max="28" width="9.140625" style="3" bestFit="1" customWidth="1"/>
    <col min="29" max="29" width="4.140625" style="3" bestFit="1" customWidth="1"/>
    <col min="30" max="30" width="121.42578125" style="9" bestFit="1" customWidth="1"/>
    <col min="31" max="16384" width="9.140625" style="3"/>
  </cols>
  <sheetData>
    <row r="1" spans="1:30" s="7" customFormat="1" x14ac:dyDescent="0.3">
      <c r="A1" s="7" t="s">
        <v>181</v>
      </c>
      <c r="B1" s="6" t="s">
        <v>19</v>
      </c>
      <c r="C1" s="5" t="s">
        <v>18</v>
      </c>
      <c r="D1" s="5" t="str">
        <f>"d" &amp; SUM(C:C)</f>
        <v>d12</v>
      </c>
      <c r="E1" s="4" t="str">
        <f>"!import-table --" &amp; A1 &amp; " --hide"</f>
        <v>!import-table --Gems-10gp --hide</v>
      </c>
      <c r="F1" s="7" t="s">
        <v>180</v>
      </c>
      <c r="G1" s="5" t="s">
        <v>19</v>
      </c>
      <c r="H1" s="5" t="s">
        <v>18</v>
      </c>
      <c r="I1" s="5" t="str">
        <f>"d" &amp; SUM(H:H)</f>
        <v>d12</v>
      </c>
      <c r="J1" s="4" t="str">
        <f>"!import-table --" &amp; F1 &amp; " --hide"</f>
        <v>!import-table --Gems-50gp --hide</v>
      </c>
      <c r="K1" s="7" t="s">
        <v>179</v>
      </c>
      <c r="L1" s="5" t="s">
        <v>19</v>
      </c>
      <c r="M1" s="5" t="s">
        <v>18</v>
      </c>
      <c r="N1" s="5" t="str">
        <f>"d" &amp; SUM(M:M)</f>
        <v>d10</v>
      </c>
      <c r="O1" s="4" t="str">
        <f>"!import-table --" &amp; K1 &amp; " --hide"</f>
        <v>!import-table --Gems-100gp --hide</v>
      </c>
      <c r="P1" s="7" t="s">
        <v>178</v>
      </c>
      <c r="Q1" s="5" t="s">
        <v>19</v>
      </c>
      <c r="R1" s="5" t="s">
        <v>18</v>
      </c>
      <c r="S1" s="5" t="str">
        <f>"d" &amp; SUM(R:R)</f>
        <v>d6</v>
      </c>
      <c r="T1" s="4" t="str">
        <f>"!import-table --" &amp; P1 &amp; " --hide"</f>
        <v>!import-table --Gems-500gp --hide</v>
      </c>
      <c r="U1" s="7" t="s">
        <v>177</v>
      </c>
      <c r="V1" s="5" t="s">
        <v>19</v>
      </c>
      <c r="W1" s="5" t="s">
        <v>18</v>
      </c>
      <c r="X1" s="5" t="str">
        <f>"d" &amp; SUM(W:W)</f>
        <v>d8</v>
      </c>
      <c r="Y1" s="4" t="str">
        <f>"!import-table --" &amp; U1 &amp; " --hide"</f>
        <v>!import-table --Gems-1000gp --hide</v>
      </c>
      <c r="Z1" s="7" t="s">
        <v>176</v>
      </c>
      <c r="AA1" s="5" t="s">
        <v>19</v>
      </c>
      <c r="AB1" s="5" t="s">
        <v>18</v>
      </c>
      <c r="AC1" s="5" t="str">
        <f>"d" &amp; SUM(AB:AB)</f>
        <v>d4</v>
      </c>
      <c r="AD1" s="4" t="str">
        <f>"!import-table --" &amp; Z1 &amp; " --hide"</f>
        <v>!import-table --Gems-5000gp --hide</v>
      </c>
    </row>
    <row r="2" spans="1:30" x14ac:dyDescent="0.3">
      <c r="A2" s="3" t="s">
        <v>175</v>
      </c>
      <c r="B2" s="2" t="s">
        <v>0</v>
      </c>
      <c r="C2" s="2">
        <v>1</v>
      </c>
      <c r="D2" s="2">
        <f>IF(C2=0,"-",IF(C2=1,SUM(C$1:C1)+1,SUM(C$1:C1)+1 &amp; "-" &amp; SUM(C$1:C2)))</f>
        <v>1</v>
      </c>
      <c r="E2" s="1" t="str">
        <f t="shared" ref="E2:E13" si="0">"!import-table-item --" &amp; A$1 &amp; " --" &amp; A2 &amp; " --" &amp; C2</f>
        <v>!import-table-item --Gems-10gp --Azurite (opaque mottled deep blue) --1</v>
      </c>
      <c r="F2" s="3" t="s">
        <v>174</v>
      </c>
      <c r="G2" s="2" t="s">
        <v>0</v>
      </c>
      <c r="H2" s="2">
        <v>1</v>
      </c>
      <c r="I2" s="2">
        <f>IF(H2=0,"-",IF(H2=1,SUM(H$1:H1)+1,SUM(H$1:H1)+1 &amp; "-" &amp; SUM(H$1:H2)))</f>
        <v>1</v>
      </c>
      <c r="J2" s="1" t="str">
        <f t="shared" ref="J2:J13" si="1">"!import-table-item --" &amp; F$1 &amp; " --" &amp; F2 &amp; " --" &amp; H2</f>
        <v>!import-table-item --Gems-50gp --Bloodstone (opaque dark gray with red flecks) --1</v>
      </c>
      <c r="K2" s="3" t="s">
        <v>173</v>
      </c>
      <c r="L2" s="2" t="s">
        <v>0</v>
      </c>
      <c r="M2" s="2">
        <v>1</v>
      </c>
      <c r="N2" s="2">
        <f>IF(M2=0,"-",IF(M2=1,SUM(M$1:M1)+1,SUM(M$1:M1)+1 &amp; "-" &amp; SUM(M$1:M2)))</f>
        <v>1</v>
      </c>
      <c r="O2" s="1" t="str">
        <f t="shared" ref="O2:O11" si="2">"!import-table-item --" &amp; K$1 &amp; " --" &amp; K2 &amp; " --" &amp; M2</f>
        <v>!import-table-item --Gems-100gp --Amber (transparent watery gold to rich gold) --1</v>
      </c>
      <c r="P2" s="3" t="s">
        <v>172</v>
      </c>
      <c r="Q2" s="2" t="s">
        <v>0</v>
      </c>
      <c r="R2" s="2">
        <v>1</v>
      </c>
      <c r="S2" s="2">
        <f>IF(R2=0,"-",IF(R2=1,SUM(R$1:R1)+1,SUM(R$1:R1)+1 &amp; "-" &amp; SUM(R$1:R2)))</f>
        <v>1</v>
      </c>
      <c r="T2" s="1" t="str">
        <f t="shared" ref="T2:T7" si="3">"!import-table-item --" &amp; P$1 &amp; " --" &amp; P2 &amp; " --" &amp; R2</f>
        <v>!import-table-item --Gems-500gp --Alexandrite (transparent dark green) --1</v>
      </c>
      <c r="U2" s="3" t="s">
        <v>171</v>
      </c>
      <c r="V2" s="2" t="s">
        <v>0</v>
      </c>
      <c r="W2" s="2">
        <v>1</v>
      </c>
      <c r="X2" s="2">
        <f>IF(W2=0,"-",IF(W2=1,SUM(W$1:W1)+1,SUM(W$1:W1)+1 &amp; "-" &amp; SUM(W$1:W2)))</f>
        <v>1</v>
      </c>
      <c r="Y2" s="1" t="str">
        <f t="shared" ref="Y2:Y9" si="4">"!import-table-item --" &amp; U$1 &amp; " --" &amp; U2 &amp; " --" &amp; W2</f>
        <v>!import-table-item --Gems-1000gp --Black opal (translucent dark green with black mottling and golden flecks) --1</v>
      </c>
      <c r="Z2" s="3" t="s">
        <v>170</v>
      </c>
      <c r="AA2" s="2" t="s">
        <v>0</v>
      </c>
      <c r="AB2" s="2">
        <v>1</v>
      </c>
      <c r="AC2" s="2">
        <f>IF(AB2=0,"-",IF(AB2=1,SUM(AB$1:AB1)+1,SUM(AB$1:AB1)+1 &amp; "-" &amp; SUM(AB$1:AB2)))</f>
        <v>1</v>
      </c>
      <c r="AD2" s="1" t="str">
        <f>"!import-table-item --" &amp; Z$1 &amp; " --" &amp; Z2 &amp; " --" &amp; AB2</f>
        <v>!import-table-item --Gems-5000gp --Black sapphire (translucent lustrous black with glowing highlights) --1</v>
      </c>
    </row>
    <row r="3" spans="1:30" x14ac:dyDescent="0.3">
      <c r="A3" s="3" t="s">
        <v>169</v>
      </c>
      <c r="B3" s="2" t="s">
        <v>0</v>
      </c>
      <c r="C3" s="2">
        <v>1</v>
      </c>
      <c r="D3" s="2">
        <f>IF(C3=0,"-",IF(C3=1,SUM(C$1:C2)+1,SUM(C$1:C2)+1 &amp; "-" &amp; SUM(C$1:C3)))</f>
        <v>2</v>
      </c>
      <c r="E3" s="1" t="str">
        <f t="shared" si="0"/>
        <v>!import-table-item --Gems-10gp --Banded agate (translucent striped brown, blue, white, or red) --1</v>
      </c>
      <c r="F3" s="3" t="s">
        <v>168</v>
      </c>
      <c r="G3" s="2" t="s">
        <v>0</v>
      </c>
      <c r="H3" s="2">
        <v>1</v>
      </c>
      <c r="I3" s="2">
        <f>IF(H3=0,"-",IF(H3=1,SUM(H$1:H2)+1,SUM(H$1:H2)+1 &amp; "-" &amp; SUM(H$1:H3)))</f>
        <v>2</v>
      </c>
      <c r="J3" s="1" t="str">
        <f t="shared" si="1"/>
        <v>!import-table-item --Gems-50gp --Carnelian (opaque orange to red-brown) --1</v>
      </c>
      <c r="K3" s="3" t="s">
        <v>167</v>
      </c>
      <c r="L3" s="2" t="s">
        <v>0</v>
      </c>
      <c r="M3" s="2">
        <v>1</v>
      </c>
      <c r="N3" s="2">
        <f>IF(M3=0,"-",IF(M3=1,SUM(M$1:M2)+1,SUM(M$1:M2)+1 &amp; "-" &amp; SUM(M$1:M3)))</f>
        <v>2</v>
      </c>
      <c r="O3" s="1" t="str">
        <f t="shared" si="2"/>
        <v>!import-table-item --Gems-100gp --Amethyst (transparent deep purple) --1</v>
      </c>
      <c r="P3" s="3" t="s">
        <v>166</v>
      </c>
      <c r="Q3" s="2" t="s">
        <v>0</v>
      </c>
      <c r="R3" s="2">
        <v>1</v>
      </c>
      <c r="S3" s="2">
        <f>IF(R3=0,"-",IF(R3=1,SUM(R$1:R2)+1,SUM(R$1:R2)+1 &amp; "-" &amp; SUM(R$1:R3)))</f>
        <v>2</v>
      </c>
      <c r="T3" s="1" t="str">
        <f t="shared" si="3"/>
        <v>!import-table-item --Gems-500gp --Aquamarine (transparent pale blue-green) --1</v>
      </c>
      <c r="U3" s="3" t="s">
        <v>165</v>
      </c>
      <c r="V3" s="2" t="s">
        <v>0</v>
      </c>
      <c r="W3" s="2">
        <v>1</v>
      </c>
      <c r="X3" s="2">
        <f>IF(W3=0,"-",IF(W3=1,SUM(W$1:W2)+1,SUM(W$1:W2)+1 &amp; "-" &amp; SUM(W$1:W3)))</f>
        <v>2</v>
      </c>
      <c r="Y3" s="1" t="str">
        <f t="shared" si="4"/>
        <v>!import-table-item --Gems-1000gp --Blue sapphire (transparent blue-white to medium blue) --1</v>
      </c>
      <c r="Z3" s="3" t="s">
        <v>164</v>
      </c>
      <c r="AA3" s="2" t="s">
        <v>0</v>
      </c>
      <c r="AB3" s="2">
        <v>1</v>
      </c>
      <c r="AC3" s="2">
        <f>IF(AB3=0,"-",IF(AB3=1,SUM(AB$1:AB2)+1,SUM(AB$1:AB2)+1 &amp; "-" &amp; SUM(AB$1:AB3)))</f>
        <v>2</v>
      </c>
      <c r="AD3" s="1" t="str">
        <f>"!import-table-item --" &amp; Z$1 &amp; " --" &amp; Z3 &amp; " --" &amp; AB3</f>
        <v>!import-table-item --Gems-5000gp --Diamond (transparent blue-white, canary, pink, brown, or blue) --1</v>
      </c>
    </row>
    <row r="4" spans="1:30" x14ac:dyDescent="0.3">
      <c r="A4" s="3" t="s">
        <v>163</v>
      </c>
      <c r="B4" s="2" t="s">
        <v>0</v>
      </c>
      <c r="C4" s="2">
        <v>1</v>
      </c>
      <c r="D4" s="2">
        <f>IF(C4=0,"-",IF(C4=1,SUM(C$1:C3)+1,SUM(C$1:C3)+1 &amp; "-" &amp; SUM(C$1:C4)))</f>
        <v>3</v>
      </c>
      <c r="E4" s="1" t="str">
        <f t="shared" si="0"/>
        <v>!import-table-item --Gems-10gp --Blue quartz (transparent pale blue) --1</v>
      </c>
      <c r="F4" s="3" t="s">
        <v>162</v>
      </c>
      <c r="G4" s="2" t="s">
        <v>0</v>
      </c>
      <c r="H4" s="2">
        <v>1</v>
      </c>
      <c r="I4" s="2">
        <f>IF(H4=0,"-",IF(H4=1,SUM(H$1:H3)+1,SUM(H$1:H3)+1 &amp; "-" &amp; SUM(H$1:H4)))</f>
        <v>3</v>
      </c>
      <c r="J4" s="1" t="str">
        <f t="shared" si="1"/>
        <v>!import-table-item --Gems-50gp --Chalcedony (opaque white) --1</v>
      </c>
      <c r="K4" s="3" t="s">
        <v>161</v>
      </c>
      <c r="L4" s="2" t="s">
        <v>0</v>
      </c>
      <c r="M4" s="2">
        <v>1</v>
      </c>
      <c r="N4" s="2">
        <f>IF(M4=0,"-",IF(M4=1,SUM(M$1:M3)+1,SUM(M$1:M3)+1 &amp; "-" &amp; SUM(M$1:M4)))</f>
        <v>3</v>
      </c>
      <c r="O4" s="1" t="str">
        <f t="shared" si="2"/>
        <v>!import-table-item --Gems-100gp --Chrysoberyl (transparent yellow-green to pale green) --1</v>
      </c>
      <c r="P4" s="3" t="s">
        <v>160</v>
      </c>
      <c r="Q4" s="2" t="s">
        <v>0</v>
      </c>
      <c r="R4" s="2">
        <v>1</v>
      </c>
      <c r="S4" s="2">
        <f>IF(R4=0,"-",IF(R4=1,SUM(R$1:R3)+1,SUM(R$1:R3)+1 &amp; "-" &amp; SUM(R$1:R4)))</f>
        <v>3</v>
      </c>
      <c r="T4" s="1" t="str">
        <f t="shared" si="3"/>
        <v>!import-table-item --Gems-500gp --Black pearl (opaque pure black) --1</v>
      </c>
      <c r="U4" s="3" t="s">
        <v>159</v>
      </c>
      <c r="V4" s="2" t="s">
        <v>0</v>
      </c>
      <c r="W4" s="2">
        <v>1</v>
      </c>
      <c r="X4" s="2">
        <f>IF(W4=0,"-",IF(W4=1,SUM(W$1:W3)+1,SUM(W$1:W3)+1 &amp; "-" &amp; SUM(W$1:W4)))</f>
        <v>3</v>
      </c>
      <c r="Y4" s="1" t="str">
        <f t="shared" si="4"/>
        <v>!import-table-item --Gems-1000gp --Emerald (transparent deep bright green) --1</v>
      </c>
      <c r="Z4" s="3" t="s">
        <v>158</v>
      </c>
      <c r="AA4" s="2" t="s">
        <v>0</v>
      </c>
      <c r="AB4" s="2">
        <v>1</v>
      </c>
      <c r="AC4" s="2">
        <f>IF(AB4=0,"-",IF(AB4=1,SUM(AB$1:AB3)+1,SUM(AB$1:AB3)+1 &amp; "-" &amp; SUM(AB$1:AB4)))</f>
        <v>3</v>
      </c>
      <c r="AD4" s="1" t="str">
        <f>"!import-table-item --" &amp; Z$1 &amp; " --" &amp; Z4 &amp; " --" &amp; AB4</f>
        <v>!import-table-item --Gems-5000gp --Jacinth (transparent fiery orange) --1</v>
      </c>
    </row>
    <row r="5" spans="1:30" x14ac:dyDescent="0.3">
      <c r="A5" s="3" t="s">
        <v>157</v>
      </c>
      <c r="B5" s="2" t="s">
        <v>0</v>
      </c>
      <c r="C5" s="2">
        <v>1</v>
      </c>
      <c r="D5" s="2">
        <f>IF(C5=0,"-",IF(C5=1,SUM(C$1:C4)+1,SUM(C$1:C4)+1 &amp; "-" &amp; SUM(C$1:C5)))</f>
        <v>4</v>
      </c>
      <c r="E5" s="1" t="str">
        <f t="shared" si="0"/>
        <v>!import-table-item --Gems-10gp --Eye agate (translucent circles of gray, white, brown, blue, or green) --1</v>
      </c>
      <c r="F5" s="3" t="s">
        <v>156</v>
      </c>
      <c r="G5" s="2" t="s">
        <v>0</v>
      </c>
      <c r="H5" s="2">
        <v>1</v>
      </c>
      <c r="I5" s="2">
        <f>IF(H5=0,"-",IF(H5=1,SUM(H$1:H4)+1,SUM(H$1:H4)+1 &amp; "-" &amp; SUM(H$1:H5)))</f>
        <v>4</v>
      </c>
      <c r="J5" s="1" t="str">
        <f t="shared" si="1"/>
        <v>!import-table-item --Gems-50gp --Chrysoprase (translucent green) --1</v>
      </c>
      <c r="K5" s="3" t="s">
        <v>155</v>
      </c>
      <c r="L5" s="2" t="s">
        <v>0</v>
      </c>
      <c r="M5" s="2">
        <v>1</v>
      </c>
      <c r="N5" s="2">
        <f>IF(M5=0,"-",IF(M5=1,SUM(M$1:M4)+1,SUM(M$1:M4)+1 &amp; "-" &amp; SUM(M$1:M5)))</f>
        <v>4</v>
      </c>
      <c r="O5" s="1" t="str">
        <f t="shared" si="2"/>
        <v>!import-table-item --Gems-100gp --Coral (opaque crimson) --1</v>
      </c>
      <c r="P5" s="3" t="s">
        <v>154</v>
      </c>
      <c r="Q5" s="2" t="s">
        <v>0</v>
      </c>
      <c r="R5" s="2">
        <v>1</v>
      </c>
      <c r="S5" s="2">
        <f>IF(R5=0,"-",IF(R5=1,SUM(R$1:R4)+1,SUM(R$1:R4)+1 &amp; "-" &amp; SUM(R$1:R5)))</f>
        <v>4</v>
      </c>
      <c r="T5" s="1" t="str">
        <f t="shared" si="3"/>
        <v>!import-table-item --Gems-500gp --Blue spinel (transparent deep blue) --1</v>
      </c>
      <c r="U5" s="3" t="s">
        <v>153</v>
      </c>
      <c r="V5" s="2" t="s">
        <v>0</v>
      </c>
      <c r="W5" s="2">
        <v>1</v>
      </c>
      <c r="X5" s="2">
        <f>IF(W5=0,"-",IF(W5=1,SUM(W$1:W4)+1,SUM(W$1:W4)+1 &amp; "-" &amp; SUM(W$1:W5)))</f>
        <v>4</v>
      </c>
      <c r="Y5" s="1" t="str">
        <f t="shared" si="4"/>
        <v>!import-table-item --Gems-1000gp --Fire opal (translucent fiery red) --1</v>
      </c>
      <c r="Z5" s="3" t="s">
        <v>152</v>
      </c>
      <c r="AA5" s="2" t="s">
        <v>0</v>
      </c>
      <c r="AB5" s="2">
        <v>1</v>
      </c>
      <c r="AC5" s="2">
        <f>IF(AB5=0,"-",IF(AB5=1,SUM(AB$1:AB4)+1,SUM(AB$1:AB4)+1 &amp; "-" &amp; SUM(AB$1:AB5)))</f>
        <v>4</v>
      </c>
      <c r="AD5" s="1" t="str">
        <f>"!import-table-item --" &amp; Z$1 &amp; " --" &amp; Z5 &amp; " --" &amp; AB5</f>
        <v>!import-table-item --Gems-5000gp --Ruby (transparent clear red to deep crimson) --1</v>
      </c>
    </row>
    <row r="6" spans="1:30" x14ac:dyDescent="0.3">
      <c r="A6" s="3" t="s">
        <v>151</v>
      </c>
      <c r="B6" s="2" t="s">
        <v>0</v>
      </c>
      <c r="C6" s="2">
        <v>1</v>
      </c>
      <c r="D6" s="2">
        <f>IF(C6=0,"-",IF(C6=1,SUM(C$1:C5)+1,SUM(C$1:C5)+1 &amp; "-" &amp; SUM(C$1:C6)))</f>
        <v>5</v>
      </c>
      <c r="E6" s="1" t="str">
        <f t="shared" si="0"/>
        <v>!import-table-item --Gems-10gp --Hematite (opaque gray-black) --1</v>
      </c>
      <c r="F6" s="3" t="s">
        <v>150</v>
      </c>
      <c r="G6" s="2" t="s">
        <v>0</v>
      </c>
      <c r="H6" s="2">
        <v>1</v>
      </c>
      <c r="I6" s="2">
        <f>IF(H6=0,"-",IF(H6=1,SUM(H$1:H5)+1,SUM(H$1:H5)+1 &amp; "-" &amp; SUM(H$1:H6)))</f>
        <v>5</v>
      </c>
      <c r="J6" s="1" t="str">
        <f t="shared" si="1"/>
        <v>!import-table-item --Gems-50gp --Citrine (transparent pale yellow-brown) --1</v>
      </c>
      <c r="K6" s="3" t="s">
        <v>149</v>
      </c>
      <c r="L6" s="2" t="s">
        <v>0</v>
      </c>
      <c r="M6" s="2">
        <v>1</v>
      </c>
      <c r="N6" s="2">
        <f>IF(M6=0,"-",IF(M6=1,SUM(M$1:M5)+1,SUM(M$1:M5)+1 &amp; "-" &amp; SUM(M$1:M6)))</f>
        <v>5</v>
      </c>
      <c r="O6" s="1" t="str">
        <f t="shared" si="2"/>
        <v>!import-table-item --Gems-100gp --Garnet (transparent red, brown-green, or violet) --1</v>
      </c>
      <c r="P6" s="3" t="s">
        <v>148</v>
      </c>
      <c r="Q6" s="2" t="s">
        <v>0</v>
      </c>
      <c r="R6" s="2">
        <v>1</v>
      </c>
      <c r="S6" s="2">
        <f>IF(R6=0,"-",IF(R6=1,SUM(R$1:R5)+1,SUM(R$1:R5)+1 &amp; "-" &amp; SUM(R$1:R6)))</f>
        <v>5</v>
      </c>
      <c r="T6" s="1" t="str">
        <f t="shared" si="3"/>
        <v>!import-table-item --Gems-500gp --Peridot (transparent rich olive green) --1</v>
      </c>
      <c r="U6" s="3" t="s">
        <v>147</v>
      </c>
      <c r="V6" s="2" t="s">
        <v>0</v>
      </c>
      <c r="W6" s="2">
        <v>1</v>
      </c>
      <c r="X6" s="2">
        <f>IF(W6=0,"-",IF(W6=1,SUM(W$1:W5)+1,SUM(W$1:W5)+1 &amp; "-" &amp; SUM(W$1:W6)))</f>
        <v>5</v>
      </c>
      <c r="Y6" s="1" t="str">
        <f t="shared" si="4"/>
        <v>!import-table-item --Gems-1000gp --Opal (translucent pale blue with green and golden mottling) --1</v>
      </c>
      <c r="AA6" s="2"/>
    </row>
    <row r="7" spans="1:30" x14ac:dyDescent="0.3">
      <c r="A7" s="3" t="s">
        <v>146</v>
      </c>
      <c r="B7" s="2" t="s">
        <v>0</v>
      </c>
      <c r="C7" s="2">
        <v>1</v>
      </c>
      <c r="D7" s="2">
        <f>IF(C7=0,"-",IF(C7=1,SUM(C$1:C6)+1,SUM(C$1:C6)+1 &amp; "-" &amp; SUM(C$1:C7)))</f>
        <v>6</v>
      </c>
      <c r="E7" s="1" t="str">
        <f t="shared" si="0"/>
        <v>!import-table-item --Gems-10gp --Lapis lazuli (opaque light and dark blue with yellow flecks) --1</v>
      </c>
      <c r="F7" s="3" t="s">
        <v>145</v>
      </c>
      <c r="G7" s="2" t="s">
        <v>0</v>
      </c>
      <c r="H7" s="2">
        <v>1</v>
      </c>
      <c r="I7" s="2">
        <f>IF(H7=0,"-",IF(H7=1,SUM(H$1:H6)+1,SUM(H$1:H6)+1 &amp; "-" &amp; SUM(H$1:H7)))</f>
        <v>6</v>
      </c>
      <c r="J7" s="1" t="str">
        <f t="shared" si="1"/>
        <v>!import-table-item --Gems-50gp --Jasper (opaque blue, black, or brown) --1</v>
      </c>
      <c r="K7" s="3" t="s">
        <v>144</v>
      </c>
      <c r="L7" s="2" t="s">
        <v>0</v>
      </c>
      <c r="M7" s="2">
        <v>1</v>
      </c>
      <c r="N7" s="2">
        <f>IF(M7=0,"-",IF(M7=1,SUM(M$1:M6)+1,SUM(M$1:M6)+1 &amp; "-" &amp; SUM(M$1:M7)))</f>
        <v>6</v>
      </c>
      <c r="O7" s="1" t="str">
        <f t="shared" si="2"/>
        <v>!import-table-item --Gems-100gp --Jade (translucent light green, deep green, or white) --1</v>
      </c>
      <c r="P7" s="3" t="s">
        <v>143</v>
      </c>
      <c r="Q7" s="2" t="s">
        <v>0</v>
      </c>
      <c r="R7" s="2">
        <v>1</v>
      </c>
      <c r="S7" s="2">
        <f>IF(R7=0,"-",IF(R7=1,SUM(R$1:R6)+1,SUM(R$1:R6)+1 &amp; "-" &amp; SUM(R$1:R7)))</f>
        <v>6</v>
      </c>
      <c r="T7" s="1" t="str">
        <f t="shared" si="3"/>
        <v>!import-table-item --Gems-500gp --Topaz (transparent golden yellow) --1</v>
      </c>
      <c r="U7" s="3" t="s">
        <v>142</v>
      </c>
      <c r="V7" s="2" t="s">
        <v>0</v>
      </c>
      <c r="W7" s="2">
        <v>1</v>
      </c>
      <c r="X7" s="2">
        <f>IF(W7=0,"-",IF(W7=1,SUM(W$1:W6)+1,SUM(W$1:W6)+1 &amp; "-" &amp; SUM(W$1:W7)))</f>
        <v>6</v>
      </c>
      <c r="Y7" s="1" t="str">
        <f t="shared" si="4"/>
        <v>!import-table-item --Gems-1000gp --Star ruby (translucent ruby with white star-shaped center) --1</v>
      </c>
      <c r="AA7" s="2"/>
    </row>
    <row r="8" spans="1:30" x14ac:dyDescent="0.3">
      <c r="A8" s="3" t="s">
        <v>141</v>
      </c>
      <c r="B8" s="2" t="s">
        <v>0</v>
      </c>
      <c r="C8" s="2">
        <v>1</v>
      </c>
      <c r="D8" s="2">
        <f>IF(C8=0,"-",IF(C8=1,SUM(C$1:C7)+1,SUM(C$1:C7)+1 &amp; "-" &amp; SUM(C$1:C8)))</f>
        <v>7</v>
      </c>
      <c r="E8" s="1" t="str">
        <f t="shared" si="0"/>
        <v>!import-table-item --Gems-10gp --Malachite (opaque striated light and dark green) --1</v>
      </c>
      <c r="F8" s="3" t="s">
        <v>140</v>
      </c>
      <c r="G8" s="2" t="s">
        <v>0</v>
      </c>
      <c r="H8" s="2">
        <v>1</v>
      </c>
      <c r="I8" s="2">
        <f>IF(H8=0,"-",IF(H8=1,SUM(H$1:H7)+1,SUM(H$1:H7)+1 &amp; "-" &amp; SUM(H$1:H8)))</f>
        <v>7</v>
      </c>
      <c r="J8" s="1" t="str">
        <f t="shared" si="1"/>
        <v>!import-table-item --Gems-50gp --Moonstone (translucent white with pale blue glow) --1</v>
      </c>
      <c r="K8" s="3" t="s">
        <v>139</v>
      </c>
      <c r="L8" s="2" t="s">
        <v>0</v>
      </c>
      <c r="M8" s="2">
        <v>1</v>
      </c>
      <c r="N8" s="2">
        <f>IF(M8=0,"-",IF(M8=1,SUM(M$1:M7)+1,SUM(M$1:M7)+1 &amp; "-" &amp; SUM(M$1:M8)))</f>
        <v>7</v>
      </c>
      <c r="O8" s="1" t="str">
        <f t="shared" si="2"/>
        <v>!import-table-item --Gems-100gp --Jet (opaque deep black) --1</v>
      </c>
      <c r="Q8" s="2"/>
      <c r="R8" s="3"/>
      <c r="S8" s="3"/>
      <c r="T8" s="9"/>
      <c r="U8" s="3" t="s">
        <v>138</v>
      </c>
      <c r="V8" s="2" t="s">
        <v>0</v>
      </c>
      <c r="W8" s="2">
        <v>1</v>
      </c>
      <c r="X8" s="2">
        <f>IF(W8=0,"-",IF(W8=1,SUM(W$1:W7)+1,SUM(W$1:W7)+1 &amp; "-" &amp; SUM(W$1:W8)))</f>
        <v>7</v>
      </c>
      <c r="Y8" s="1" t="str">
        <f t="shared" si="4"/>
        <v>!import-table-item --Gems-1000gp --Star sapphire (translucent blue sapphire with white star-shaped center) --1</v>
      </c>
      <c r="AA8" s="2"/>
    </row>
    <row r="9" spans="1:30" x14ac:dyDescent="0.3">
      <c r="A9" s="3" t="s">
        <v>137</v>
      </c>
      <c r="B9" s="2" t="s">
        <v>0</v>
      </c>
      <c r="C9" s="2">
        <v>1</v>
      </c>
      <c r="D9" s="2">
        <f>IF(C9=0,"-",IF(C9=1,SUM(C$1:C8)+1,SUM(C$1:C8)+1 &amp; "-" &amp; SUM(C$1:C9)))</f>
        <v>8</v>
      </c>
      <c r="E9" s="1" t="str">
        <f t="shared" si="0"/>
        <v>!import-table-item --Gems-10gp --Moss agate (translucent pink or yellow-white with mossy gray or green markings) --1</v>
      </c>
      <c r="F9" s="3" t="s">
        <v>136</v>
      </c>
      <c r="G9" s="2" t="s">
        <v>0</v>
      </c>
      <c r="H9" s="2">
        <v>1</v>
      </c>
      <c r="I9" s="2">
        <f>IF(H9=0,"-",IF(H9=1,SUM(H$1:H8)+1,SUM(H$1:H8)+1 &amp; "-" &amp; SUM(H$1:H9)))</f>
        <v>8</v>
      </c>
      <c r="J9" s="1" t="str">
        <f t="shared" si="1"/>
        <v>!import-table-item --Gems-50gp --Onyx (opaque bands of black and white, or pure black or white) --1</v>
      </c>
      <c r="K9" s="3" t="s">
        <v>135</v>
      </c>
      <c r="L9" s="2" t="s">
        <v>0</v>
      </c>
      <c r="M9" s="2">
        <v>1</v>
      </c>
      <c r="N9" s="2">
        <f>IF(M9=0,"-",IF(M9=1,SUM(M$1:M8)+1,SUM(M$1:M8)+1 &amp; "-" &amp; SUM(M$1:M9)))</f>
        <v>8</v>
      </c>
      <c r="O9" s="1" t="str">
        <f t="shared" si="2"/>
        <v>!import-table-item --Gems-100gp --Pearl (opaque lustrous white, yellow, or pink) --1</v>
      </c>
      <c r="Q9" s="2"/>
      <c r="R9" s="3"/>
      <c r="S9" s="3"/>
      <c r="T9" s="9"/>
      <c r="U9" s="3" t="s">
        <v>134</v>
      </c>
      <c r="V9" s="2" t="s">
        <v>0</v>
      </c>
      <c r="W9" s="2">
        <v>1</v>
      </c>
      <c r="X9" s="2">
        <f>IF(W9=0,"-",IF(W9=1,SUM(W$1:W8)+1,SUM(W$1:W8)+1 &amp; "-" &amp; SUM(W$1:W9)))</f>
        <v>8</v>
      </c>
      <c r="Y9" s="1" t="str">
        <f t="shared" si="4"/>
        <v>!import-table-item --Gems-1000gp --Yellow sapphire (transparent fiery yellow or yellow-green) --1</v>
      </c>
      <c r="AA9" s="2"/>
    </row>
    <row r="10" spans="1:30" x14ac:dyDescent="0.3">
      <c r="A10" s="3" t="s">
        <v>133</v>
      </c>
      <c r="B10" s="2" t="s">
        <v>0</v>
      </c>
      <c r="C10" s="2">
        <v>1</v>
      </c>
      <c r="D10" s="2">
        <f>IF(C10=0,"-",IF(C10=1,SUM(C$1:C9)+1,SUM(C$1:C9)+1 &amp; "-" &amp; SUM(C$1:C10)))</f>
        <v>9</v>
      </c>
      <c r="E10" s="1" t="str">
        <f t="shared" si="0"/>
        <v>!import-table-item --Gems-10gp --Obsidian (opaque black) --1</v>
      </c>
      <c r="F10" s="3" t="s">
        <v>132</v>
      </c>
      <c r="G10" s="2" t="s">
        <v>0</v>
      </c>
      <c r="H10" s="2">
        <v>1</v>
      </c>
      <c r="I10" s="2">
        <f>IF(H10=0,"-",IF(H10=1,SUM(H$1:H9)+1,SUM(H$1:H9)+1 &amp; "-" &amp; SUM(H$1:H10)))</f>
        <v>9</v>
      </c>
      <c r="J10" s="1" t="str">
        <f t="shared" si="1"/>
        <v>!import-table-item --Gems-50gp --Quartz (transparent white, smoky gray, or yellow) --1</v>
      </c>
      <c r="K10" s="3" t="s">
        <v>131</v>
      </c>
      <c r="L10" s="2" t="s">
        <v>0</v>
      </c>
      <c r="M10" s="2">
        <v>1</v>
      </c>
      <c r="N10" s="2">
        <f>IF(M10=0,"-",IF(M10=1,SUM(M$1:M9)+1,SUM(M$1:M9)+1 &amp; "-" &amp; SUM(M$1:M10)))</f>
        <v>9</v>
      </c>
      <c r="O10" s="1" t="str">
        <f t="shared" si="2"/>
        <v>!import-table-item --Gems-100gp --Spinel (transparent red, red-brown, or deep green) --1</v>
      </c>
      <c r="Q10" s="2"/>
      <c r="R10" s="3"/>
      <c r="S10" s="3"/>
      <c r="T10" s="9"/>
      <c r="V10" s="2"/>
      <c r="W10" s="3"/>
      <c r="X10" s="3"/>
      <c r="Y10" s="9"/>
      <c r="AA10" s="2"/>
    </row>
    <row r="11" spans="1:30" x14ac:dyDescent="0.3">
      <c r="A11" s="3" t="s">
        <v>130</v>
      </c>
      <c r="B11" s="2" t="s">
        <v>0</v>
      </c>
      <c r="C11" s="2">
        <v>1</v>
      </c>
      <c r="D11" s="2">
        <f>IF(C11=0,"-",IF(C11=1,SUM(C$1:C10)+1,SUM(C$1:C10)+1 &amp; "-" &amp; SUM(C$1:C11)))</f>
        <v>10</v>
      </c>
      <c r="E11" s="1" t="str">
        <f t="shared" si="0"/>
        <v>!import-table-item --Gems-10gp --Rhodochrosite (opaque light pink) --1</v>
      </c>
      <c r="F11" s="3" t="s">
        <v>129</v>
      </c>
      <c r="G11" s="2" t="s">
        <v>0</v>
      </c>
      <c r="H11" s="2">
        <v>1</v>
      </c>
      <c r="I11" s="2">
        <f>IF(H11=0,"-",IF(H11=1,SUM(H$1:H10)+1,SUM(H$1:H10)+1 &amp; "-" &amp; SUM(H$1:H11)))</f>
        <v>10</v>
      </c>
      <c r="J11" s="1" t="str">
        <f t="shared" si="1"/>
        <v>!import-table-item --Gems-50gp --Sardonyx (opaque bands of red and white) --1</v>
      </c>
      <c r="K11" s="3" t="s">
        <v>128</v>
      </c>
      <c r="L11" s="2" t="s">
        <v>0</v>
      </c>
      <c r="M11" s="2">
        <v>1</v>
      </c>
      <c r="N11" s="2">
        <f>IF(M11=0,"-",IF(M11=1,SUM(M$1:M10)+1,SUM(M$1:M10)+1 &amp; "-" &amp; SUM(M$1:M11)))</f>
        <v>10</v>
      </c>
      <c r="O11" s="1" t="str">
        <f t="shared" si="2"/>
        <v>!import-table-item --Gems-100gp --Tourmaline (transparent pale green, blue, brown, or red) --1</v>
      </c>
      <c r="Q11" s="2"/>
      <c r="R11" s="3"/>
      <c r="S11" s="3"/>
      <c r="T11" s="9"/>
      <c r="V11" s="2"/>
      <c r="W11" s="3"/>
      <c r="X11" s="3"/>
      <c r="Y11" s="9"/>
      <c r="AA11" s="2"/>
    </row>
    <row r="12" spans="1:30" x14ac:dyDescent="0.3">
      <c r="A12" s="3" t="s">
        <v>127</v>
      </c>
      <c r="B12" s="2" t="s">
        <v>0</v>
      </c>
      <c r="C12" s="2">
        <v>1</v>
      </c>
      <c r="D12" s="2">
        <f>IF(C12=0,"-",IF(C12=1,SUM(C$1:C11)+1,SUM(C$1:C11)+1 &amp; "-" &amp; SUM(C$1:C12)))</f>
        <v>11</v>
      </c>
      <c r="E12" s="1" t="str">
        <f t="shared" si="0"/>
        <v>!import-table-item --Gems-10gp --Tiger eye (translucent brown with golden center) --1</v>
      </c>
      <c r="F12" s="3" t="s">
        <v>126</v>
      </c>
      <c r="G12" s="2" t="s">
        <v>0</v>
      </c>
      <c r="H12" s="2">
        <v>1</v>
      </c>
      <c r="I12" s="2">
        <f>IF(H12=0,"-",IF(H12=1,SUM(H$1:H11)+1,SUM(H$1:H11)+1 &amp; "-" &amp; SUM(H$1:H12)))</f>
        <v>11</v>
      </c>
      <c r="J12" s="1" t="str">
        <f t="shared" si="1"/>
        <v>!import-table-item --Gems-50gp --Star rose quartz (translucent rosy stone with white star-shaped center) --1</v>
      </c>
      <c r="L12" s="2"/>
      <c r="M12" s="3"/>
      <c r="N12" s="3"/>
      <c r="O12" s="9"/>
      <c r="Q12" s="2"/>
      <c r="R12" s="3"/>
      <c r="S12" s="3"/>
      <c r="T12" s="9"/>
      <c r="V12" s="2"/>
      <c r="W12" s="3"/>
      <c r="X12" s="3"/>
      <c r="Y12" s="9"/>
      <c r="AA12" s="2"/>
    </row>
    <row r="13" spans="1:30" x14ac:dyDescent="0.3">
      <c r="A13" s="3" t="s">
        <v>125</v>
      </c>
      <c r="B13" s="2" t="s">
        <v>0</v>
      </c>
      <c r="C13" s="2">
        <v>1</v>
      </c>
      <c r="D13" s="2">
        <f>IF(C13=0,"-",IF(C13=1,SUM(C$1:C12)+1,SUM(C$1:C12)+1 &amp; "-" &amp; SUM(C$1:C13)))</f>
        <v>12</v>
      </c>
      <c r="E13" s="1" t="str">
        <f t="shared" si="0"/>
        <v>!import-table-item --Gems-10gp --Turquoise (opaque light blue-green) --1</v>
      </c>
      <c r="F13" s="3" t="s">
        <v>124</v>
      </c>
      <c r="G13" s="2" t="s">
        <v>0</v>
      </c>
      <c r="H13" s="2">
        <v>1</v>
      </c>
      <c r="I13" s="2">
        <f>IF(H13=0,"-",IF(H13=1,SUM(H$1:H12)+1,SUM(H$1:H12)+1 &amp; "-" &amp; SUM(H$1:H13)))</f>
        <v>12</v>
      </c>
      <c r="J13" s="1" t="str">
        <f t="shared" si="1"/>
        <v>!import-table-item --Gems-50gp --Zircon (transparent pale blue-green) --1</v>
      </c>
      <c r="L13" s="2"/>
      <c r="M13" s="3"/>
      <c r="N13" s="3"/>
      <c r="O13" s="9"/>
      <c r="Q13" s="2"/>
      <c r="R13" s="3"/>
      <c r="S13" s="3"/>
      <c r="T13" s="9"/>
      <c r="V13" s="2"/>
      <c r="W13" s="3"/>
      <c r="X13" s="3"/>
      <c r="Y13" s="9"/>
      <c r="AA13" s="2"/>
    </row>
    <row r="14" spans="1:30" x14ac:dyDescent="0.3">
      <c r="B14" s="2"/>
      <c r="G14" s="2"/>
      <c r="L14" s="2"/>
      <c r="Q14" s="2"/>
      <c r="V14" s="2"/>
      <c r="AA14" s="2"/>
    </row>
    <row r="15" spans="1:30" x14ac:dyDescent="0.3">
      <c r="B15" s="2"/>
      <c r="G15" s="2"/>
      <c r="L15" s="2"/>
      <c r="Q15" s="2"/>
      <c r="V15" s="2"/>
      <c r="AA15" s="2"/>
    </row>
    <row r="16" spans="1:30" x14ac:dyDescent="0.3">
      <c r="B16" s="2"/>
      <c r="G16" s="2"/>
      <c r="L16" s="2"/>
      <c r="Q16" s="2"/>
      <c r="V16" s="2"/>
      <c r="AA16" s="2"/>
    </row>
    <row r="17" spans="2:27" x14ac:dyDescent="0.3">
      <c r="B17" s="2"/>
      <c r="G17" s="2"/>
      <c r="L17" s="2"/>
      <c r="Q17" s="2"/>
      <c r="V17" s="2"/>
      <c r="AA17" s="2"/>
    </row>
    <row r="18" spans="2:27" x14ac:dyDescent="0.3">
      <c r="B18" s="2"/>
      <c r="G18" s="2"/>
      <c r="L18" s="2"/>
      <c r="Q18" s="2"/>
      <c r="V18" s="2"/>
      <c r="AA18" s="2"/>
    </row>
    <row r="19" spans="2:27" x14ac:dyDescent="0.3">
      <c r="B19" s="2"/>
      <c r="G19" s="2"/>
      <c r="L19" s="2"/>
      <c r="Q19" s="2"/>
      <c r="V19" s="2"/>
      <c r="AA19" s="2"/>
    </row>
    <row r="20" spans="2:27" x14ac:dyDescent="0.3">
      <c r="B20" s="2"/>
      <c r="G20" s="2"/>
      <c r="L20" s="2"/>
      <c r="Q20" s="2"/>
      <c r="V20" s="2"/>
      <c r="AA20" s="2"/>
    </row>
    <row r="21" spans="2:27" x14ac:dyDescent="0.3">
      <c r="B21" s="2"/>
      <c r="G21" s="2"/>
      <c r="L21" s="2"/>
      <c r="Q21" s="2"/>
      <c r="V21" s="2"/>
      <c r="AA21" s="2"/>
    </row>
    <row r="22" spans="2:27" x14ac:dyDescent="0.3">
      <c r="B22" s="2"/>
      <c r="G22" s="2"/>
      <c r="L22" s="2"/>
      <c r="Q22" s="2"/>
      <c r="V22" s="2"/>
      <c r="AA22" s="2"/>
    </row>
    <row r="23" spans="2:27" x14ac:dyDescent="0.3">
      <c r="B23" s="2"/>
      <c r="G23" s="2"/>
      <c r="L23" s="2"/>
      <c r="Q23" s="2"/>
      <c r="V23" s="2"/>
      <c r="AA23" s="2"/>
    </row>
    <row r="24" spans="2:27" x14ac:dyDescent="0.3">
      <c r="B24" s="2"/>
      <c r="G24" s="2"/>
      <c r="L24" s="2"/>
      <c r="Q24" s="2"/>
      <c r="V24" s="2"/>
      <c r="AA24" s="2"/>
    </row>
    <row r="25" spans="2:27" x14ac:dyDescent="0.3">
      <c r="B25" s="2"/>
      <c r="G25" s="2"/>
      <c r="L25" s="2"/>
      <c r="Q25" s="2"/>
      <c r="V25" s="2"/>
      <c r="AA25" s="2"/>
    </row>
    <row r="26" spans="2:27" x14ac:dyDescent="0.3">
      <c r="B26" s="2"/>
      <c r="G26" s="2"/>
      <c r="L26" s="2"/>
      <c r="Q26" s="2"/>
      <c r="V26" s="2"/>
      <c r="AA26" s="2"/>
    </row>
    <row r="27" spans="2:27" x14ac:dyDescent="0.3">
      <c r="B27" s="2"/>
      <c r="G27" s="2"/>
      <c r="L27" s="2"/>
      <c r="Q27" s="2"/>
      <c r="V27" s="2"/>
      <c r="AA27" s="2"/>
    </row>
    <row r="28" spans="2:27" x14ac:dyDescent="0.3">
      <c r="B28" s="2"/>
      <c r="G28" s="2"/>
      <c r="L28" s="2"/>
      <c r="Q28" s="2"/>
      <c r="V28" s="2"/>
      <c r="AA28" s="2"/>
    </row>
    <row r="29" spans="2:27" x14ac:dyDescent="0.3">
      <c r="B29" s="2"/>
      <c r="G29" s="2"/>
      <c r="L29" s="2"/>
      <c r="Q29" s="2"/>
      <c r="V29" s="2"/>
      <c r="AA29" s="2"/>
    </row>
    <row r="30" spans="2:27" x14ac:dyDescent="0.3">
      <c r="B30" s="2"/>
      <c r="G30" s="2"/>
      <c r="L30" s="2"/>
      <c r="Q30" s="2"/>
      <c r="V30" s="2"/>
      <c r="AA30" s="2"/>
    </row>
    <row r="31" spans="2:27" x14ac:dyDescent="0.3">
      <c r="B31" s="2"/>
      <c r="G31" s="2"/>
      <c r="L31" s="2"/>
      <c r="Q31" s="2"/>
      <c r="V31" s="2"/>
      <c r="AA31" s="2"/>
    </row>
    <row r="32" spans="2:27" x14ac:dyDescent="0.3">
      <c r="B32" s="2"/>
      <c r="G32" s="2"/>
      <c r="L32" s="2"/>
      <c r="Q32" s="2"/>
      <c r="V32" s="2"/>
      <c r="AA32" s="2"/>
    </row>
    <row r="33" spans="2:27" x14ac:dyDescent="0.3">
      <c r="B33" s="2"/>
      <c r="G33" s="2"/>
      <c r="L33" s="2"/>
      <c r="Q33" s="2"/>
      <c r="V33" s="2"/>
      <c r="AA33" s="2"/>
    </row>
    <row r="34" spans="2:27" x14ac:dyDescent="0.3">
      <c r="B34" s="2"/>
      <c r="G34" s="2"/>
      <c r="L34" s="2"/>
      <c r="Q34" s="2"/>
      <c r="V34" s="2"/>
      <c r="AA34" s="2"/>
    </row>
    <row r="35" spans="2:27" x14ac:dyDescent="0.3">
      <c r="B35" s="2"/>
      <c r="G35" s="2"/>
      <c r="L35" s="2"/>
      <c r="Q35" s="2"/>
      <c r="V35" s="2"/>
      <c r="AA35" s="2"/>
    </row>
    <row r="36" spans="2:27" x14ac:dyDescent="0.3">
      <c r="B36" s="2"/>
      <c r="G36" s="2"/>
      <c r="L36" s="2"/>
      <c r="Q36" s="2"/>
      <c r="V36" s="2"/>
      <c r="AA36" s="2"/>
    </row>
    <row r="37" spans="2:27" x14ac:dyDescent="0.3">
      <c r="B37" s="2"/>
      <c r="G37" s="2"/>
      <c r="L37" s="2"/>
      <c r="Q37" s="2"/>
      <c r="V37" s="2"/>
      <c r="AA37" s="2"/>
    </row>
    <row r="38" spans="2:27" x14ac:dyDescent="0.3">
      <c r="B38" s="2"/>
      <c r="G38" s="2"/>
      <c r="L38" s="2"/>
      <c r="Q38" s="2"/>
      <c r="V38" s="2"/>
      <c r="AA38" s="2"/>
    </row>
    <row r="39" spans="2:27" x14ac:dyDescent="0.3">
      <c r="B39" s="2"/>
      <c r="G39" s="2"/>
      <c r="L39" s="2"/>
      <c r="Q39" s="2"/>
      <c r="V39" s="2"/>
      <c r="AA39" s="2"/>
    </row>
    <row r="40" spans="2:27" x14ac:dyDescent="0.3">
      <c r="B40" s="2"/>
      <c r="G40" s="2"/>
      <c r="L40" s="2"/>
      <c r="Q40" s="2"/>
      <c r="V40" s="2"/>
      <c r="AA40" s="2"/>
    </row>
    <row r="41" spans="2:27" x14ac:dyDescent="0.3">
      <c r="B41" s="2"/>
      <c r="G41" s="2"/>
      <c r="L41" s="2"/>
      <c r="Q41" s="2"/>
      <c r="V41" s="2"/>
      <c r="AA41" s="2"/>
    </row>
    <row r="42" spans="2:27" x14ac:dyDescent="0.3">
      <c r="B42" s="2"/>
      <c r="G42" s="2"/>
      <c r="L42" s="2"/>
      <c r="Q42" s="2"/>
      <c r="V42" s="2"/>
      <c r="AA42" s="2"/>
    </row>
    <row r="43" spans="2:27" x14ac:dyDescent="0.3">
      <c r="B43" s="2"/>
      <c r="G43" s="2"/>
      <c r="L43" s="2"/>
      <c r="Q43" s="2"/>
      <c r="V43" s="2"/>
      <c r="AA43" s="2"/>
    </row>
    <row r="44" spans="2:27" x14ac:dyDescent="0.3">
      <c r="B44" s="2"/>
      <c r="G44" s="2"/>
      <c r="L44" s="2"/>
      <c r="Q44" s="2"/>
      <c r="V44" s="2"/>
      <c r="AA44" s="2"/>
    </row>
    <row r="45" spans="2:27" x14ac:dyDescent="0.3">
      <c r="B45" s="2"/>
      <c r="G45" s="2"/>
      <c r="L45" s="2"/>
      <c r="Q45" s="2"/>
      <c r="V45" s="2"/>
      <c r="AA45" s="2"/>
    </row>
    <row r="46" spans="2:27" x14ac:dyDescent="0.3">
      <c r="B46" s="2"/>
      <c r="G46" s="2"/>
      <c r="L46" s="2"/>
      <c r="Q46" s="2"/>
      <c r="V46" s="2"/>
      <c r="AA46" s="2"/>
    </row>
    <row r="47" spans="2:27" x14ac:dyDescent="0.3">
      <c r="B47" s="2"/>
      <c r="G47" s="2"/>
      <c r="L47" s="2"/>
      <c r="Q47" s="2"/>
      <c r="V47" s="2"/>
      <c r="AA47" s="2"/>
    </row>
    <row r="48" spans="2:27" x14ac:dyDescent="0.3">
      <c r="B48" s="2"/>
      <c r="G48" s="2"/>
      <c r="L48" s="2"/>
      <c r="Q48" s="2"/>
      <c r="V48" s="2"/>
      <c r="AA48" s="2"/>
    </row>
    <row r="49" spans="2:27" x14ac:dyDescent="0.3">
      <c r="B49" s="2"/>
      <c r="G49" s="2"/>
      <c r="L49" s="2"/>
      <c r="Q49" s="2"/>
      <c r="V49" s="2"/>
      <c r="AA49" s="2"/>
    </row>
    <row r="50" spans="2:27" x14ac:dyDescent="0.3">
      <c r="B50" s="2"/>
      <c r="G50" s="2"/>
      <c r="L50" s="2"/>
      <c r="Q50" s="2"/>
      <c r="V50" s="2"/>
      <c r="AA50" s="2"/>
    </row>
    <row r="51" spans="2:27" x14ac:dyDescent="0.3">
      <c r="B51" s="2"/>
      <c r="G51" s="2"/>
      <c r="L51" s="2"/>
      <c r="Q51" s="2"/>
      <c r="V51" s="2"/>
      <c r="AA51" s="2"/>
    </row>
    <row r="52" spans="2:27" x14ac:dyDescent="0.3">
      <c r="B52" s="2"/>
      <c r="G52" s="2"/>
      <c r="L52" s="2"/>
      <c r="Q52" s="2"/>
      <c r="V52" s="2"/>
      <c r="AA52" s="2"/>
    </row>
    <row r="53" spans="2:27" x14ac:dyDescent="0.3">
      <c r="B53" s="2"/>
      <c r="G53" s="2"/>
      <c r="L53" s="2"/>
      <c r="Q53" s="2"/>
      <c r="V53" s="2"/>
      <c r="AA53" s="2"/>
    </row>
    <row r="54" spans="2:27" x14ac:dyDescent="0.3">
      <c r="B54" s="2"/>
      <c r="G54" s="2"/>
      <c r="L54" s="2"/>
      <c r="Q54" s="2"/>
      <c r="V54" s="2"/>
      <c r="AA54" s="2"/>
    </row>
    <row r="55" spans="2:27" x14ac:dyDescent="0.3">
      <c r="B55" s="2"/>
      <c r="G55" s="2"/>
      <c r="L55" s="2"/>
      <c r="Q55" s="2"/>
      <c r="V55" s="2"/>
      <c r="AA55" s="2"/>
    </row>
    <row r="56" spans="2:27" x14ac:dyDescent="0.3">
      <c r="B56" s="2"/>
      <c r="G56" s="2"/>
      <c r="L56" s="2"/>
      <c r="Q56" s="2"/>
      <c r="V56" s="2"/>
      <c r="AA56" s="2"/>
    </row>
    <row r="57" spans="2:27" x14ac:dyDescent="0.3">
      <c r="B57" s="2"/>
      <c r="G57" s="2"/>
      <c r="L57" s="2"/>
      <c r="Q57" s="2"/>
      <c r="V57" s="2"/>
      <c r="AA57" s="2"/>
    </row>
    <row r="58" spans="2:27" x14ac:dyDescent="0.3">
      <c r="B58" s="2"/>
      <c r="G58" s="2"/>
      <c r="L58" s="2"/>
      <c r="Q58" s="2"/>
      <c r="V58" s="2"/>
      <c r="AA58" s="2"/>
    </row>
    <row r="59" spans="2:27" x14ac:dyDescent="0.3">
      <c r="B59" s="2"/>
      <c r="G59" s="2"/>
      <c r="L59" s="2"/>
      <c r="Q59" s="2"/>
      <c r="V59" s="2"/>
      <c r="AA59" s="2"/>
    </row>
    <row r="60" spans="2:27" x14ac:dyDescent="0.3">
      <c r="B60" s="2"/>
      <c r="G60" s="2"/>
      <c r="L60" s="2"/>
      <c r="Q60" s="2"/>
      <c r="V60" s="2"/>
      <c r="AA60" s="2"/>
    </row>
    <row r="61" spans="2:27" x14ac:dyDescent="0.3">
      <c r="B61" s="2"/>
      <c r="G61" s="2"/>
      <c r="L61" s="2"/>
      <c r="Q61" s="2"/>
      <c r="V61" s="2"/>
      <c r="AA61" s="2"/>
    </row>
    <row r="62" spans="2:27" x14ac:dyDescent="0.3">
      <c r="B62" s="2"/>
      <c r="G62" s="2"/>
      <c r="L62" s="2"/>
      <c r="Q62" s="2"/>
      <c r="V62" s="2"/>
      <c r="AA62" s="2"/>
    </row>
    <row r="63" spans="2:27" x14ac:dyDescent="0.3">
      <c r="B63" s="2"/>
      <c r="G63" s="2"/>
      <c r="L63" s="2"/>
      <c r="Q63" s="2"/>
      <c r="V63" s="2"/>
      <c r="AA63" s="2"/>
    </row>
    <row r="64" spans="2:27" x14ac:dyDescent="0.3">
      <c r="B64" s="2"/>
      <c r="G64" s="2"/>
      <c r="L64" s="2"/>
      <c r="Q64" s="2"/>
      <c r="V64" s="2"/>
      <c r="AA64" s="2"/>
    </row>
    <row r="65" spans="2:27" x14ac:dyDescent="0.3">
      <c r="B65" s="2"/>
      <c r="G65" s="2"/>
      <c r="L65" s="2"/>
      <c r="Q65" s="2"/>
      <c r="V65" s="2"/>
      <c r="AA65" s="2"/>
    </row>
    <row r="66" spans="2:27" x14ac:dyDescent="0.3">
      <c r="B66" s="2"/>
      <c r="G66" s="2"/>
      <c r="L66" s="2"/>
      <c r="Q66" s="2"/>
      <c r="V66" s="2"/>
      <c r="AA66" s="2"/>
    </row>
    <row r="67" spans="2:27" x14ac:dyDescent="0.3">
      <c r="B67" s="2"/>
      <c r="G67" s="2"/>
      <c r="L67" s="2"/>
      <c r="Q67" s="2"/>
      <c r="V67" s="2"/>
      <c r="AA67" s="2"/>
    </row>
    <row r="68" spans="2:27" x14ac:dyDescent="0.3">
      <c r="B68" s="2"/>
      <c r="G68" s="2"/>
      <c r="L68" s="2"/>
      <c r="Q68" s="2"/>
      <c r="V68" s="2"/>
      <c r="AA68" s="2"/>
    </row>
    <row r="69" spans="2:27" x14ac:dyDescent="0.3">
      <c r="B69" s="2"/>
      <c r="G69" s="2"/>
      <c r="L69" s="2"/>
      <c r="Q69" s="2"/>
      <c r="V69" s="2"/>
      <c r="AA69" s="2"/>
    </row>
    <row r="70" spans="2:27" x14ac:dyDescent="0.3">
      <c r="B70" s="2"/>
      <c r="G70" s="2"/>
      <c r="L70" s="2"/>
      <c r="Q70" s="2"/>
      <c r="V70" s="2"/>
      <c r="AA70" s="2"/>
    </row>
    <row r="71" spans="2:27" x14ac:dyDescent="0.3">
      <c r="B71" s="2"/>
      <c r="G71" s="2"/>
      <c r="L71" s="2"/>
      <c r="Q71" s="2"/>
      <c r="V71" s="2"/>
      <c r="AA71" s="2"/>
    </row>
    <row r="72" spans="2:27" x14ac:dyDescent="0.3">
      <c r="B72" s="2"/>
      <c r="G72" s="2"/>
      <c r="L72" s="2"/>
      <c r="Q72" s="2"/>
      <c r="V72" s="2"/>
      <c r="AA72" s="2"/>
    </row>
    <row r="73" spans="2:27" x14ac:dyDescent="0.3">
      <c r="B73" s="2"/>
      <c r="G73" s="2"/>
      <c r="L73" s="2"/>
      <c r="Q73" s="2"/>
      <c r="V73" s="2"/>
      <c r="AA73" s="2"/>
    </row>
    <row r="74" spans="2:27" x14ac:dyDescent="0.3">
      <c r="B74" s="2"/>
      <c r="G74" s="2"/>
      <c r="L74" s="2"/>
      <c r="Q74" s="2"/>
      <c r="V74" s="2"/>
      <c r="AA74" s="2"/>
    </row>
    <row r="75" spans="2:27" x14ac:dyDescent="0.3">
      <c r="B75" s="2"/>
      <c r="G75" s="2"/>
      <c r="L75" s="2"/>
      <c r="Q75" s="2"/>
      <c r="V75" s="2"/>
      <c r="AA75" s="2"/>
    </row>
    <row r="76" spans="2:27" x14ac:dyDescent="0.3">
      <c r="B76" s="2"/>
      <c r="G76" s="2"/>
      <c r="L76" s="2"/>
      <c r="Q76" s="2"/>
      <c r="V76" s="2"/>
      <c r="AA76" s="2"/>
    </row>
  </sheetData>
  <hyperlinks>
    <hyperlink ref="P2" r:id="rId1" location="alexandrite_dmg" display="https://5e.tools/items.html - alexandrite_dmg" xr:uid="{CF1FC888-D3E3-4A9C-B86F-C0B9A10F22E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DCDAA-03E6-4862-8D6C-6C1DC4FA62DA}">
  <dimension ref="A1:Y19"/>
  <sheetViews>
    <sheetView workbookViewId="0">
      <selection activeCell="I23" sqref="I23"/>
    </sheetView>
  </sheetViews>
  <sheetFormatPr defaultColWidth="8.85546875" defaultRowHeight="18.75" x14ac:dyDescent="0.3"/>
  <cols>
    <col min="1" max="1" width="51" style="2" bestFit="1" customWidth="1"/>
    <col min="2" max="2" width="8.85546875" style="2" bestFit="1" customWidth="1"/>
    <col min="3" max="3" width="9.140625" style="2" bestFit="1" customWidth="1"/>
    <col min="4" max="4" width="5.42578125" style="2" bestFit="1" customWidth="1"/>
    <col min="5" max="5" width="90.7109375" style="1" bestFit="1" customWidth="1"/>
    <col min="6" max="6" width="47" style="2" bestFit="1" customWidth="1"/>
    <col min="7" max="7" width="8.85546875" style="2" bestFit="1" customWidth="1"/>
    <col min="8" max="8" width="9.140625" style="2" bestFit="1" customWidth="1"/>
    <col min="9" max="9" width="5.42578125" style="2" bestFit="1" customWidth="1"/>
    <col min="10" max="10" width="88.28515625" style="1" bestFit="1" customWidth="1"/>
    <col min="11" max="11" width="77.7109375" style="2" bestFit="1" customWidth="1"/>
    <col min="12" max="12" width="8.85546875" style="2" bestFit="1" customWidth="1"/>
    <col min="13" max="13" width="9.140625" style="2" bestFit="1" customWidth="1"/>
    <col min="14" max="14" width="5.42578125" style="2" bestFit="1" customWidth="1"/>
    <col min="15" max="15" width="119" style="1" bestFit="1" customWidth="1"/>
    <col min="16" max="16" width="77.42578125" style="2" bestFit="1" customWidth="1"/>
    <col min="17" max="17" width="8.85546875" style="2" bestFit="1" customWidth="1"/>
    <col min="18" max="18" width="9.140625" style="2" bestFit="1" customWidth="1"/>
    <col min="19" max="19" width="5.42578125" style="2" bestFit="1" customWidth="1"/>
    <col min="20" max="20" width="120.140625" style="1" bestFit="1" customWidth="1"/>
    <col min="21" max="21" width="54.28515625" style="2" bestFit="1" customWidth="1"/>
    <col min="22" max="22" width="8.85546875" style="2" bestFit="1" customWidth="1"/>
    <col min="23" max="23" width="9.140625" style="2" bestFit="1" customWidth="1"/>
    <col min="24" max="24" width="4.140625" style="2" bestFit="1" customWidth="1"/>
    <col min="25" max="25" width="97.140625" style="1" bestFit="1" customWidth="1"/>
    <col min="26" max="16384" width="8.85546875" style="10"/>
  </cols>
  <sheetData>
    <row r="1" spans="1:25" s="11" customFormat="1" x14ac:dyDescent="0.3">
      <c r="A1" s="5" t="s">
        <v>234</v>
      </c>
      <c r="B1" s="5" t="s">
        <v>19</v>
      </c>
      <c r="C1" s="5" t="s">
        <v>18</v>
      </c>
      <c r="D1" s="5" t="str">
        <f>"d" &amp; SUM(C:C)</f>
        <v>d10</v>
      </c>
      <c r="E1" s="12" t="str">
        <f>"!import-table --" &amp; A1 &amp; " --hide"</f>
        <v>!import-table --Art-25gp --hide</v>
      </c>
      <c r="F1" s="5" t="s">
        <v>233</v>
      </c>
      <c r="G1" s="5" t="s">
        <v>19</v>
      </c>
      <c r="H1" s="5" t="s">
        <v>18</v>
      </c>
      <c r="I1" s="5" t="str">
        <f>"d" &amp; SUM(H:H)</f>
        <v>d10</v>
      </c>
      <c r="J1" s="12" t="str">
        <f>"!import-table --" &amp; F1 &amp; " --hide"</f>
        <v>!import-table --Art-250gp --hide</v>
      </c>
      <c r="K1" s="5" t="s">
        <v>232</v>
      </c>
      <c r="L1" s="5" t="s">
        <v>19</v>
      </c>
      <c r="M1" s="5" t="s">
        <v>18</v>
      </c>
      <c r="N1" s="5" t="str">
        <f>"d" &amp; SUM(M:M)</f>
        <v>d10</v>
      </c>
      <c r="O1" s="12" t="str">
        <f>"!import-table --" &amp; K1 &amp; " --hide"</f>
        <v>!import-table --Art-750gp --hide</v>
      </c>
      <c r="P1" s="5" t="s">
        <v>231</v>
      </c>
      <c r="Q1" s="5" t="s">
        <v>19</v>
      </c>
      <c r="R1" s="5" t="s">
        <v>18</v>
      </c>
      <c r="S1" s="5" t="str">
        <f>"d" &amp; SUM(R:R)</f>
        <v>d10</v>
      </c>
      <c r="T1" s="12" t="str">
        <f>"!import-table --" &amp; P1 &amp; " --hide"</f>
        <v>!import-table --Art-2500gp --hide</v>
      </c>
      <c r="U1" s="5" t="s">
        <v>230</v>
      </c>
      <c r="V1" s="5" t="s">
        <v>19</v>
      </c>
      <c r="W1" s="5" t="s">
        <v>18</v>
      </c>
      <c r="X1" s="5" t="str">
        <f>"d" &amp; SUM(W:W)</f>
        <v>d8</v>
      </c>
      <c r="Y1" s="12" t="str">
        <f>"!import-table --" &amp; U1 &amp; " --hide"</f>
        <v>!import-table --Art-7500gp --hide</v>
      </c>
    </row>
    <row r="2" spans="1:25" x14ac:dyDescent="0.3">
      <c r="A2" s="2" t="s">
        <v>229</v>
      </c>
      <c r="B2" s="2" t="s">
        <v>0</v>
      </c>
      <c r="C2" s="2">
        <v>1</v>
      </c>
      <c r="D2" s="8">
        <f>IF(C2=0,"-",IF(C2=1,SUM(C$1:C1)+1,SUM(C$1:C1)+1 &amp; "-" &amp; SUM(C$1:C2)))</f>
        <v>1</v>
      </c>
      <c r="E2" s="1" t="str">
        <f t="shared" ref="E2:E11" si="0">"!import-table-item --" &amp; A$1 &amp; " --" &amp; A2 &amp; " --" &amp; C2</f>
        <v>!import-table-item --Art-25gp --Silver ewer --1</v>
      </c>
      <c r="F2" s="2" t="s">
        <v>228</v>
      </c>
      <c r="G2" s="2" t="s">
        <v>0</v>
      </c>
      <c r="H2" s="2">
        <v>1</v>
      </c>
      <c r="I2" s="2">
        <f>IF(H2=0,"-",IF(H2=1,SUM(H$1:H1)+1,SUM(H$1:H1)+1 &amp; "-" &amp; SUM(H$1:H2)))</f>
        <v>1</v>
      </c>
      <c r="J2" s="1" t="str">
        <f t="shared" ref="J2:J11" si="1">"!import-table-item --" &amp; F$1 &amp; " --" &amp; F2 &amp; " --" &amp; H2</f>
        <v>!import-table-item --Art-250gp --Gold ring set with bloodstones --1</v>
      </c>
      <c r="K2" s="2" t="s">
        <v>227</v>
      </c>
      <c r="L2" s="2" t="s">
        <v>0</v>
      </c>
      <c r="M2" s="2">
        <v>1</v>
      </c>
      <c r="N2" s="8">
        <f>IF(M2=0,"-",IF(M2=1,SUM(M$1:M1)+1,SUM(M$1:M1)+1 &amp; "-" &amp; SUM(M$1:M2)))</f>
        <v>1</v>
      </c>
      <c r="O2" s="1" t="str">
        <f t="shared" ref="O2:O11" si="2">"!import-table-item --" &amp; K$1 &amp; " --" &amp; K2 &amp; " --" &amp; M2</f>
        <v>!import-table-item --Art-750gp --Silver chalice set with moonstones --1</v>
      </c>
      <c r="P2" s="2" t="s">
        <v>226</v>
      </c>
      <c r="Q2" s="2" t="s">
        <v>0</v>
      </c>
      <c r="R2" s="2">
        <v>1</v>
      </c>
      <c r="S2" s="8">
        <f>IF(R2=0,"-",IF(R2=1,SUM(R$1:R1)+1,SUM(R$1:R1)+1 &amp; "-" &amp; SUM(R$1:R2)))</f>
        <v>1</v>
      </c>
      <c r="T2" s="1" t="str">
        <f t="shared" ref="T2:T11" si="3">"!import-table-item --" &amp; P$1 &amp; " --" &amp; P2 &amp; " --" &amp; R2</f>
        <v>!import-table-item --Art-2500gp --Fine gold chain set with a fire opal --1</v>
      </c>
      <c r="U2" s="2" t="s">
        <v>225</v>
      </c>
      <c r="V2" s="2" t="s">
        <v>0</v>
      </c>
      <c r="W2" s="2">
        <v>1</v>
      </c>
      <c r="X2" s="8">
        <f>IF(W2=0,"-",IF(W2=1,SUM(W$1:W1)+1,SUM(W$1:W1)+1 &amp; "-" &amp; SUM(W$1:W2)))</f>
        <v>1</v>
      </c>
      <c r="Y2" s="1" t="str">
        <f t="shared" ref="Y2:Y9" si="4">"!import-table-item --" &amp; U$1 &amp; " --" &amp; U2 &amp; " --" &amp; W2</f>
        <v>!import-table-item --Art-7500gp --Jeweled gold crown --1</v>
      </c>
    </row>
    <row r="3" spans="1:25" x14ac:dyDescent="0.3">
      <c r="A3" s="2" t="s">
        <v>224</v>
      </c>
      <c r="B3" s="2" t="s">
        <v>0</v>
      </c>
      <c r="C3" s="2">
        <v>1</v>
      </c>
      <c r="D3" s="8">
        <f>IF(C3=0,"-",IF(C3=1,SUM(C$1:C2)+1,SUM(C$1:C2)+1 &amp; "-" &amp; SUM(C$1:C3)))</f>
        <v>2</v>
      </c>
      <c r="E3" s="1" t="str">
        <f t="shared" si="0"/>
        <v>!import-table-item --Art-25gp --Carved bone statuette --1</v>
      </c>
      <c r="F3" s="2" t="s">
        <v>223</v>
      </c>
      <c r="G3" s="2" t="s">
        <v>0</v>
      </c>
      <c r="H3" s="2">
        <v>1</v>
      </c>
      <c r="I3" s="2">
        <f>IF(H3=0,"-",IF(H3=1,SUM(H$1:H2)+1,SUM(H$1:H2)+1 &amp; "-" &amp; SUM(H$1:H3)))</f>
        <v>2</v>
      </c>
      <c r="J3" s="1" t="str">
        <f t="shared" si="1"/>
        <v>!import-table-item --Art-250gp --Carved ivory statuette --1</v>
      </c>
      <c r="K3" s="2" t="s">
        <v>222</v>
      </c>
      <c r="L3" s="2" t="s">
        <v>0</v>
      </c>
      <c r="M3" s="2">
        <v>1</v>
      </c>
      <c r="N3" s="2">
        <f>IF(M3=0,"-",IF(M3=1,SUM(M$1:M2)+1,SUM(M$1:M2)+1 &amp; "-" &amp; SUM(M$1:M3)))</f>
        <v>2</v>
      </c>
      <c r="O3" s="1" t="str">
        <f t="shared" si="2"/>
        <v>!import-table-item --Art-750gp --Silver-plated steel longsword with jet set in hilt --1</v>
      </c>
      <c r="P3" s="2" t="s">
        <v>221</v>
      </c>
      <c r="Q3" s="2" t="s">
        <v>0</v>
      </c>
      <c r="R3" s="2">
        <v>1</v>
      </c>
      <c r="S3" s="8">
        <f>IF(R3=0,"-",IF(R3=1,SUM(R$1:R2)+1,SUM(R$1:R2)+1 &amp; "-" &amp; SUM(R$1:R3)))</f>
        <v>2</v>
      </c>
      <c r="T3" s="1" t="str">
        <f t="shared" si="3"/>
        <v>!import-table-item --Art-2500gp --Old masterpiece painting --1</v>
      </c>
      <c r="U3" s="2" t="s">
        <v>220</v>
      </c>
      <c r="V3" s="2" t="s">
        <v>0</v>
      </c>
      <c r="W3" s="2">
        <v>1</v>
      </c>
      <c r="X3" s="2">
        <f>IF(W3=0,"-",IF(W3=1,SUM(W$1:W2)+1,SUM(W$1:W2)+1 &amp; "-" &amp; SUM(W$1:W3)))</f>
        <v>2</v>
      </c>
      <c r="Y3" s="1" t="str">
        <f t="shared" si="4"/>
        <v>!import-table-item --Art-7500gp --Jeweled platinum ring --1</v>
      </c>
    </row>
    <row r="4" spans="1:25" x14ac:dyDescent="0.3">
      <c r="A4" s="2" t="s">
        <v>219</v>
      </c>
      <c r="B4" s="2" t="s">
        <v>0</v>
      </c>
      <c r="C4" s="2">
        <v>1</v>
      </c>
      <c r="D4" s="8">
        <f>IF(C4=0,"-",IF(C4=1,SUM(C$1:C3)+1,SUM(C$1:C3)+1 &amp; "-" &amp; SUM(C$1:C4)))</f>
        <v>3</v>
      </c>
      <c r="E4" s="1" t="str">
        <f t="shared" si="0"/>
        <v>!import-table-item --Art-25gp --Small gold bracelet --1</v>
      </c>
      <c r="F4" s="2" t="s">
        <v>218</v>
      </c>
      <c r="G4" s="2" t="s">
        <v>0</v>
      </c>
      <c r="H4" s="2">
        <v>1</v>
      </c>
      <c r="I4" s="2">
        <f>IF(H4=0,"-",IF(H4=1,SUM(H$1:H3)+1,SUM(H$1:H3)+1 &amp; "-" &amp; SUM(H$1:H4)))</f>
        <v>3</v>
      </c>
      <c r="J4" s="1" t="str">
        <f t="shared" si="1"/>
        <v>!import-table-item --Art-250gp --Large gold bracelet --1</v>
      </c>
      <c r="K4" s="2" t="s">
        <v>217</v>
      </c>
      <c r="L4" s="2" t="s">
        <v>0</v>
      </c>
      <c r="M4" s="2">
        <v>1</v>
      </c>
      <c r="N4" s="2">
        <f>IF(M4=0,"-",IF(M4=1,SUM(M$1:M3)+1,SUM(M$1:M3)+1 &amp; "-" &amp; SUM(M$1:M4)))</f>
        <v>3</v>
      </c>
      <c r="O4" s="1" t="str">
        <f t="shared" si="2"/>
        <v>!import-table-item --Art-750gp --Carved harp of exotic wood with ivory inlay and zircon gems --1</v>
      </c>
      <c r="P4" s="2" t="s">
        <v>216</v>
      </c>
      <c r="Q4" s="2" t="s">
        <v>0</v>
      </c>
      <c r="R4" s="2">
        <v>1</v>
      </c>
      <c r="S4" s="8">
        <f>IF(R4=0,"-",IF(R4=1,SUM(R$1:R3)+1,SUM(R$1:R3)+1 &amp; "-" &amp; SUM(R$1:R4)))</f>
        <v>3</v>
      </c>
      <c r="T4" s="1" t="str">
        <f t="shared" si="3"/>
        <v>!import-table-item --Art-2500gp --Embroidered silk and velvet mantle set with numerous moonstones --1</v>
      </c>
      <c r="U4" s="2" t="s">
        <v>215</v>
      </c>
      <c r="V4" s="2" t="s">
        <v>0</v>
      </c>
      <c r="W4" s="2">
        <v>1</v>
      </c>
      <c r="X4" s="2">
        <f>IF(W4=0,"-",IF(W4=1,SUM(W$1:W3)+1,SUM(W$1:W3)+1 &amp; "-" &amp; SUM(W$1:W4)))</f>
        <v>3</v>
      </c>
      <c r="Y4" s="1" t="str">
        <f t="shared" si="4"/>
        <v>!import-table-item --Art-7500gp --Small gold statuette set with rubies --1</v>
      </c>
    </row>
    <row r="5" spans="1:25" x14ac:dyDescent="0.3">
      <c r="A5" s="2" t="s">
        <v>214</v>
      </c>
      <c r="B5" s="2" t="s">
        <v>0</v>
      </c>
      <c r="C5" s="2">
        <v>1</v>
      </c>
      <c r="D5" s="8">
        <f>IF(C5=0,"-",IF(C5=1,SUM(C$1:C4)+1,SUM(C$1:C4)+1 &amp; "-" &amp; SUM(C$1:C5)))</f>
        <v>4</v>
      </c>
      <c r="E5" s="1" t="str">
        <f t="shared" si="0"/>
        <v>!import-table-item --Art-25gp --Cloth-of-gold vestments --1</v>
      </c>
      <c r="F5" s="2" t="s">
        <v>213</v>
      </c>
      <c r="G5" s="2" t="s">
        <v>0</v>
      </c>
      <c r="H5" s="2">
        <v>1</v>
      </c>
      <c r="I5" s="2">
        <f>IF(H5=0,"-",IF(H5=1,SUM(H$1:H4)+1,SUM(H$1:H4)+1 &amp; "-" &amp; SUM(H$1:H5)))</f>
        <v>4</v>
      </c>
      <c r="J5" s="1" t="str">
        <f t="shared" si="1"/>
        <v>!import-table-item --Art-250gp --Silver necklace with a gemstone pendant --1</v>
      </c>
      <c r="K5" s="2" t="s">
        <v>212</v>
      </c>
      <c r="L5" s="2" t="s">
        <v>0</v>
      </c>
      <c r="M5" s="2">
        <v>1</v>
      </c>
      <c r="N5" s="2">
        <f>IF(M5=0,"-",IF(M5=1,SUM(M$1:M4)+1,SUM(M$1:M4)+1 &amp; "-" &amp; SUM(M$1:M5)))</f>
        <v>4</v>
      </c>
      <c r="O5" s="1" t="str">
        <f t="shared" si="2"/>
        <v>!import-table-item --Art-750gp --Small gold idol --1</v>
      </c>
      <c r="P5" s="2" t="s">
        <v>211</v>
      </c>
      <c r="Q5" s="2" t="s">
        <v>0</v>
      </c>
      <c r="R5" s="2">
        <v>1</v>
      </c>
      <c r="S5" s="8">
        <f>IF(R5=0,"-",IF(R5=1,SUM(R$1:R4)+1,SUM(R$1:R4)+1 &amp; "-" &amp; SUM(R$1:R5)))</f>
        <v>4</v>
      </c>
      <c r="T5" s="1" t="str">
        <f t="shared" si="3"/>
        <v>!import-table-item --Art-2500gp --Platinum bracelet set with a sapphire --1</v>
      </c>
      <c r="U5" s="2" t="s">
        <v>210</v>
      </c>
      <c r="V5" s="2" t="s">
        <v>0</v>
      </c>
      <c r="W5" s="2">
        <v>1</v>
      </c>
      <c r="X5" s="2">
        <f>IF(W5=0,"-",IF(W5=1,SUM(W$1:W4)+1,SUM(W$1:W4)+1 &amp; "-" &amp; SUM(W$1:W5)))</f>
        <v>4</v>
      </c>
      <c r="Y5" s="1" t="str">
        <f t="shared" si="4"/>
        <v>!import-table-item --Art-7500gp --Gold cup set with emeralds --1</v>
      </c>
    </row>
    <row r="6" spans="1:25" x14ac:dyDescent="0.3">
      <c r="A6" s="2" t="s">
        <v>209</v>
      </c>
      <c r="B6" s="2" t="s">
        <v>0</v>
      </c>
      <c r="C6" s="2">
        <v>1</v>
      </c>
      <c r="D6" s="8">
        <f>IF(C6=0,"-",IF(C6=1,SUM(C$1:C5)+1,SUM(C$1:C5)+1 &amp; "-" &amp; SUM(C$1:C6)))</f>
        <v>5</v>
      </c>
      <c r="E6" s="1" t="str">
        <f t="shared" si="0"/>
        <v>!import-table-item --Art-25gp --Black velvet mask stitched with silver thread --1</v>
      </c>
      <c r="F6" s="2" t="s">
        <v>208</v>
      </c>
      <c r="G6" s="2" t="s">
        <v>0</v>
      </c>
      <c r="H6" s="2">
        <v>1</v>
      </c>
      <c r="I6" s="2">
        <f>IF(H6=0,"-",IF(H6=1,SUM(H$1:H5)+1,SUM(H$1:H5)+1 &amp; "-" &amp; SUM(H$1:H6)))</f>
        <v>5</v>
      </c>
      <c r="J6" s="1" t="str">
        <f t="shared" si="1"/>
        <v>!import-table-item --Art-250gp --Bronze crown --1</v>
      </c>
      <c r="K6" s="2" t="s">
        <v>207</v>
      </c>
      <c r="L6" s="2" t="s">
        <v>0</v>
      </c>
      <c r="M6" s="2">
        <v>1</v>
      </c>
      <c r="N6" s="2">
        <f>IF(M6=0,"-",IF(M6=1,SUM(M$1:M5)+1,SUM(M$1:M5)+1 &amp; "-" &amp; SUM(M$1:M6)))</f>
        <v>5</v>
      </c>
      <c r="O6" s="1" t="str">
        <f t="shared" si="2"/>
        <v>!import-table-item --Art-750gp --Gold dragon comb set with red garnets as eyes --1</v>
      </c>
      <c r="P6" s="2" t="s">
        <v>206</v>
      </c>
      <c r="Q6" s="2" t="s">
        <v>0</v>
      </c>
      <c r="R6" s="2">
        <v>1</v>
      </c>
      <c r="S6" s="8">
        <f>IF(R6=0,"-",IF(R6=1,SUM(R$1:R5)+1,SUM(R$1:R5)+1 &amp; "-" &amp; SUM(R$1:R6)))</f>
        <v>5</v>
      </c>
      <c r="T6" s="1" t="str">
        <f t="shared" si="3"/>
        <v>!import-table-item --Art-2500gp --Embroidered glove set with jewel chips --1</v>
      </c>
      <c r="U6" s="2" t="s">
        <v>205</v>
      </c>
      <c r="V6" s="2" t="s">
        <v>0</v>
      </c>
      <c r="W6" s="2">
        <v>1</v>
      </c>
      <c r="X6" s="2">
        <f>IF(W6=0,"-",IF(W6=1,SUM(W$1:W5)+1,SUM(W$1:W5)+1 &amp; "-" &amp; SUM(W$1:W6)))</f>
        <v>5</v>
      </c>
      <c r="Y6" s="1" t="str">
        <f t="shared" si="4"/>
        <v>!import-table-item --Art-7500gp --Gold jewelry box with platinum filigree --1</v>
      </c>
    </row>
    <row r="7" spans="1:25" x14ac:dyDescent="0.3">
      <c r="A7" s="2" t="s">
        <v>204</v>
      </c>
      <c r="B7" s="2" t="s">
        <v>0</v>
      </c>
      <c r="C7" s="2">
        <v>1</v>
      </c>
      <c r="D7" s="8">
        <f>IF(C7=0,"-",IF(C7=1,SUM(C$1:C6)+1,SUM(C$1:C6)+1 &amp; "-" &amp; SUM(C$1:C7)))</f>
        <v>6</v>
      </c>
      <c r="E7" s="1" t="str">
        <f t="shared" si="0"/>
        <v>!import-table-item --Art-25gp --Copper chalice with silver filigree --1</v>
      </c>
      <c r="F7" s="2" t="s">
        <v>203</v>
      </c>
      <c r="G7" s="2" t="s">
        <v>0</v>
      </c>
      <c r="H7" s="2">
        <v>1</v>
      </c>
      <c r="I7" s="2">
        <f>IF(H7=0,"-",IF(H7=1,SUM(H$1:H6)+1,SUM(H$1:H6)+1 &amp; "-" &amp; SUM(H$1:H7)))</f>
        <v>6</v>
      </c>
      <c r="J7" s="1" t="str">
        <f t="shared" si="1"/>
        <v>!import-table-item --Art-250gp --Silk robe with gold embroidery --1</v>
      </c>
      <c r="K7" s="2" t="s">
        <v>202</v>
      </c>
      <c r="L7" s="2" t="s">
        <v>0</v>
      </c>
      <c r="M7" s="2">
        <v>1</v>
      </c>
      <c r="N7" s="2">
        <f>IF(M7=0,"-",IF(M7=1,SUM(M$1:M6)+1,SUM(M$1:M6)+1 &amp; "-" &amp; SUM(M$1:M7)))</f>
        <v>6</v>
      </c>
      <c r="O7" s="1" t="str">
        <f t="shared" si="2"/>
        <v>!import-table-item --Art-750gp --Bottle stopper cork embossed with gold leaf and set with amethysts --1</v>
      </c>
      <c r="P7" s="2" t="s">
        <v>201</v>
      </c>
      <c r="Q7" s="2" t="s">
        <v>0</v>
      </c>
      <c r="R7" s="2">
        <v>1</v>
      </c>
      <c r="S7" s="2">
        <f>IF(R7=0,"-",IF(R7=1,SUM(R$1:R6)+1,SUM(R$1:R6)+1 &amp; "-" &amp; SUM(R$1:R7)))</f>
        <v>6</v>
      </c>
      <c r="T7" s="1" t="str">
        <f t="shared" si="3"/>
        <v>!import-table-item --Art-2500gp --Jeweled anklet --1</v>
      </c>
      <c r="U7" s="2" t="s">
        <v>200</v>
      </c>
      <c r="V7" s="2" t="s">
        <v>0</v>
      </c>
      <c r="W7" s="2">
        <v>1</v>
      </c>
      <c r="X7" s="2">
        <f>IF(W7=0,"-",IF(W7=1,SUM(W$1:W6)+1,SUM(W$1:W6)+1 &amp; "-" &amp; SUM(W$1:W7)))</f>
        <v>6</v>
      </c>
      <c r="Y7" s="1" t="str">
        <f t="shared" si="4"/>
        <v>!import-table-item --Art-7500gp --Painted gold child's sarcophagus --1</v>
      </c>
    </row>
    <row r="8" spans="1:25" x14ac:dyDescent="0.3">
      <c r="A8" s="2" t="s">
        <v>199</v>
      </c>
      <c r="B8" s="2" t="s">
        <v>0</v>
      </c>
      <c r="C8" s="2">
        <v>1</v>
      </c>
      <c r="D8" s="8">
        <f>IF(C8=0,"-",IF(C8=1,SUM(C$1:C7)+1,SUM(C$1:C7)+1 &amp; "-" &amp; SUM(C$1:C8)))</f>
        <v>7</v>
      </c>
      <c r="E8" s="1" t="str">
        <f t="shared" si="0"/>
        <v>!import-table-item --Art-25gp --Pair of engraved bone dice --1</v>
      </c>
      <c r="F8" s="2" t="s">
        <v>198</v>
      </c>
      <c r="G8" s="2" t="s">
        <v>0</v>
      </c>
      <c r="H8" s="2">
        <v>1</v>
      </c>
      <c r="I8" s="2">
        <f>IF(H8=0,"-",IF(H8=1,SUM(H$1:H7)+1,SUM(H$1:H7)+1 &amp; "-" &amp; SUM(H$1:H8)))</f>
        <v>7</v>
      </c>
      <c r="J8" s="1" t="str">
        <f t="shared" si="1"/>
        <v>!import-table-item --Art-250gp --Large well-made tapestry --1</v>
      </c>
      <c r="K8" s="2" t="s">
        <v>197</v>
      </c>
      <c r="L8" s="2" t="s">
        <v>0</v>
      </c>
      <c r="M8" s="2">
        <v>1</v>
      </c>
      <c r="N8" s="2">
        <f>IF(M8=0,"-",IF(M8=1,SUM(M$1:M7)+1,SUM(M$1:M7)+1 &amp; "-" &amp; SUM(M$1:M8)))</f>
        <v>7</v>
      </c>
      <c r="O8" s="1" t="str">
        <f t="shared" si="2"/>
        <v>!import-table-item --Art-750gp --Ceremonial electrum dagger with a black pearl in the pommel --1</v>
      </c>
      <c r="P8" s="2" t="s">
        <v>196</v>
      </c>
      <c r="Q8" s="2" t="s">
        <v>0</v>
      </c>
      <c r="R8" s="2">
        <v>1</v>
      </c>
      <c r="S8" s="2">
        <f>IF(R8=0,"-",IF(R8=1,SUM(R$1:R7)+1,SUM(R$1:R7)+1 &amp; "-" &amp; SUM(R$1:R8)))</f>
        <v>7</v>
      </c>
      <c r="T8" s="1" t="str">
        <f t="shared" si="3"/>
        <v>!import-table-item --Art-2500gp --Gold music box --1</v>
      </c>
      <c r="U8" s="2" t="s">
        <v>195</v>
      </c>
      <c r="V8" s="2" t="s">
        <v>0</v>
      </c>
      <c r="W8" s="2">
        <v>1</v>
      </c>
      <c r="X8" s="2">
        <f>IF(W8=0,"-",IF(W8=1,SUM(W$1:W7)+1,SUM(W$1:W7)+1 &amp; "-" &amp; SUM(W$1:W8)))</f>
        <v>7</v>
      </c>
      <c r="Y8" s="1" t="str">
        <f t="shared" si="4"/>
        <v>!import-table-item --Art-7500gp --Jade game board with solid gold playing pieces --1</v>
      </c>
    </row>
    <row r="9" spans="1:25" x14ac:dyDescent="0.3">
      <c r="A9" s="2" t="s">
        <v>194</v>
      </c>
      <c r="B9" s="2" t="s">
        <v>0</v>
      </c>
      <c r="C9" s="2">
        <v>1</v>
      </c>
      <c r="D9" s="8">
        <f>IF(C9=0,"-",IF(C9=1,SUM(C$1:C8)+1,SUM(C$1:C8)+1 &amp; "-" &amp; SUM(C$1:C9)))</f>
        <v>8</v>
      </c>
      <c r="E9" s="1" t="str">
        <f t="shared" si="0"/>
        <v>!import-table-item --Art-25gp --Small mirror set in a painted wooden frame --1</v>
      </c>
      <c r="F9" s="2" t="s">
        <v>193</v>
      </c>
      <c r="G9" s="2" t="s">
        <v>0</v>
      </c>
      <c r="H9" s="2">
        <v>1</v>
      </c>
      <c r="I9" s="2">
        <f>IF(H9=0,"-",IF(H9=1,SUM(H$1:H8)+1,SUM(H$1:H8)+1 &amp; "-" &amp; SUM(H$1:H9)))</f>
        <v>8</v>
      </c>
      <c r="J9" s="1" t="str">
        <f t="shared" si="1"/>
        <v>!import-table-item --Art-250gp --Brass mug with jade inlay --1</v>
      </c>
      <c r="K9" s="2" t="s">
        <v>192</v>
      </c>
      <c r="L9" s="2" t="s">
        <v>0</v>
      </c>
      <c r="M9" s="2">
        <v>1</v>
      </c>
      <c r="N9" s="2">
        <f>IF(M9=0,"-",IF(M9=1,SUM(M$1:M8)+1,SUM(M$1:M8)+1 &amp; "-" &amp; SUM(M$1:M9)))</f>
        <v>8</v>
      </c>
      <c r="O9" s="1" t="str">
        <f t="shared" si="2"/>
        <v>!import-table-item --Art-750gp --Silver and gold brooch --1</v>
      </c>
      <c r="P9" s="2" t="s">
        <v>191</v>
      </c>
      <c r="Q9" s="2" t="s">
        <v>0</v>
      </c>
      <c r="R9" s="2">
        <v>1</v>
      </c>
      <c r="S9" s="2">
        <f>IF(R9=0,"-",IF(R9=1,SUM(R$1:R8)+1,SUM(R$1:R8)+1 &amp; "-" &amp; SUM(R$1:R9)))</f>
        <v>8</v>
      </c>
      <c r="T9" s="1" t="str">
        <f t="shared" si="3"/>
        <v>!import-table-item --Art-2500gp --Gold circlet set with four aquamarines --1</v>
      </c>
      <c r="U9" s="2" t="s">
        <v>190</v>
      </c>
      <c r="V9" s="2" t="s">
        <v>0</v>
      </c>
      <c r="W9" s="2">
        <v>1</v>
      </c>
      <c r="X9" s="2">
        <f>IF(W9=0,"-",IF(W9=1,SUM(W$1:W8)+1,SUM(W$1:W8)+1 &amp; "-" &amp; SUM(W$1:W9)))</f>
        <v>8</v>
      </c>
      <c r="Y9" s="1" t="str">
        <f t="shared" si="4"/>
        <v>!import-table-item --Art-7500gp --Bejeweled ivory drinking horn with gold filigree --1</v>
      </c>
    </row>
    <row r="10" spans="1:25" x14ac:dyDescent="0.3">
      <c r="A10" s="2" t="s">
        <v>189</v>
      </c>
      <c r="B10" s="2" t="s">
        <v>0</v>
      </c>
      <c r="C10" s="2">
        <v>1</v>
      </c>
      <c r="D10" s="8">
        <f>IF(C10=0,"-",IF(C10=1,SUM(C$1:C9)+1,SUM(C$1:C9)+1 &amp; "-" &amp; SUM(C$1:C10)))</f>
        <v>9</v>
      </c>
      <c r="E10" s="1" t="str">
        <f t="shared" si="0"/>
        <v>!import-table-item --Art-25gp --Embroidered silk handkerchief --1</v>
      </c>
      <c r="F10" s="2" t="s">
        <v>188</v>
      </c>
      <c r="G10" s="2" t="s">
        <v>0</v>
      </c>
      <c r="H10" s="2">
        <v>1</v>
      </c>
      <c r="I10" s="2">
        <f>IF(H10=0,"-",IF(H10=1,SUM(H$1:H9)+1,SUM(H$1:H9)+1 &amp; "-" &amp; SUM(H$1:H10)))</f>
        <v>9</v>
      </c>
      <c r="J10" s="1" t="str">
        <f t="shared" si="1"/>
        <v>!import-table-item --Art-250gp --Box of turquoise animal figurines --1</v>
      </c>
      <c r="K10" s="2" t="s">
        <v>187</v>
      </c>
      <c r="L10" s="2" t="s">
        <v>0</v>
      </c>
      <c r="M10" s="2">
        <v>1</v>
      </c>
      <c r="N10" s="2">
        <f>IF(M10=0,"-",IF(M10=1,SUM(M$1:M9)+1,SUM(M$1:M9)+1 &amp; "-" &amp; SUM(M$1:M10)))</f>
        <v>9</v>
      </c>
      <c r="O10" s="1" t="str">
        <f t="shared" si="2"/>
        <v>!import-table-item --Art-750gp --Obsidian statuette with gold fittings and inlay --1</v>
      </c>
      <c r="P10" s="2" t="s">
        <v>186</v>
      </c>
      <c r="Q10" s="2" t="s">
        <v>0</v>
      </c>
      <c r="R10" s="2">
        <v>1</v>
      </c>
      <c r="S10" s="2">
        <f>IF(R10=0,"-",IF(R10=1,SUM(R$1:R9)+1,SUM(R$1:R9)+1 &amp; "-" &amp; SUM(R$1:R10)))</f>
        <v>9</v>
      </c>
      <c r="T10" s="1" t="str">
        <f t="shared" si="3"/>
        <v>!import-table-item --Art-2500gp --Eye patch with a mock eye set in blue sapphire and moonstone --1</v>
      </c>
    </row>
    <row r="11" spans="1:25" x14ac:dyDescent="0.3">
      <c r="A11" s="2" t="s">
        <v>185</v>
      </c>
      <c r="B11" s="2" t="s">
        <v>0</v>
      </c>
      <c r="C11" s="2">
        <v>1</v>
      </c>
      <c r="D11" s="8">
        <f>IF(C11=0,"-",IF(C11=1,SUM(C$1:C10)+1,SUM(C$1:C10)+1 &amp; "-" &amp; SUM(C$1:C11)))</f>
        <v>10</v>
      </c>
      <c r="E11" s="1" t="str">
        <f t="shared" si="0"/>
        <v>!import-table-item --Art-25gp --Gold locket with a painted portrait inside --1</v>
      </c>
      <c r="F11" s="2" t="s">
        <v>184</v>
      </c>
      <c r="G11" s="2" t="s">
        <v>0</v>
      </c>
      <c r="H11" s="2">
        <v>1</v>
      </c>
      <c r="I11" s="2">
        <f>IF(H11=0,"-",IF(H11=1,SUM(H$1:H10)+1,SUM(H$1:H10)+1 &amp; "-" &amp; SUM(H$1:H11)))</f>
        <v>10</v>
      </c>
      <c r="J11" s="1" t="str">
        <f t="shared" si="1"/>
        <v>!import-table-item --Art-250gp --Gold bird cage with electrum filigree --1</v>
      </c>
      <c r="K11" s="2" t="s">
        <v>183</v>
      </c>
      <c r="L11" s="2" t="s">
        <v>0</v>
      </c>
      <c r="M11" s="2">
        <v>1</v>
      </c>
      <c r="N11" s="2">
        <f>IF(M11=0,"-",IF(M11=1,SUM(M$1:M10)+1,SUM(M$1:M10)+1 &amp; "-" &amp; SUM(M$1:M11)))</f>
        <v>10</v>
      </c>
      <c r="O11" s="1" t="str">
        <f t="shared" si="2"/>
        <v>!import-table-item --Art-750gp --Painted gold war mask --1</v>
      </c>
      <c r="P11" s="2" t="s">
        <v>182</v>
      </c>
      <c r="Q11" s="2" t="s">
        <v>0</v>
      </c>
      <c r="R11" s="2">
        <v>1</v>
      </c>
      <c r="S11" s="2">
        <f>IF(R11=0,"-",IF(R11=1,SUM(R$1:R10)+1,SUM(R$1:R10)+1 &amp; "-" &amp; SUM(R$1:R11)))</f>
        <v>10</v>
      </c>
      <c r="T11" s="1" t="str">
        <f t="shared" si="3"/>
        <v>!import-table-item --Art-2500gp --A necklace string of small pink pearls --1</v>
      </c>
    </row>
    <row r="12" spans="1:25" x14ac:dyDescent="0.3">
      <c r="D12" s="8"/>
    </row>
    <row r="13" spans="1:25" x14ac:dyDescent="0.3">
      <c r="D13" s="8"/>
    </row>
    <row r="14" spans="1:25" x14ac:dyDescent="0.3">
      <c r="D14" s="8"/>
    </row>
    <row r="15" spans="1:25" x14ac:dyDescent="0.3">
      <c r="D15" s="8"/>
    </row>
    <row r="16" spans="1:25" x14ac:dyDescent="0.3">
      <c r="D16" s="8"/>
    </row>
    <row r="17" spans="4:4" x14ac:dyDescent="0.3">
      <c r="D17" s="8"/>
    </row>
    <row r="18" spans="4:4" x14ac:dyDescent="0.3">
      <c r="D18" s="8"/>
    </row>
    <row r="19" spans="4:4" x14ac:dyDescent="0.3">
      <c r="D19"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Variable Prices - Value Score</vt:lpstr>
      <vt:lpstr>New Gems</vt:lpstr>
      <vt:lpstr>New Art</vt:lpstr>
      <vt:lpstr>New Individual Treasure</vt:lpstr>
      <vt:lpstr>Travel Encounters</vt:lpstr>
      <vt:lpstr>New Hoards</vt:lpstr>
      <vt:lpstr>DMG Individual Treasure</vt:lpstr>
      <vt:lpstr>DMG Treasure Hoards</vt:lpstr>
      <vt:lpstr>DMG Gems</vt:lpstr>
      <vt:lpstr>DMG 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A. Cherry</dc:creator>
  <cp:lastModifiedBy>Matt Cherry</cp:lastModifiedBy>
  <dcterms:created xsi:type="dcterms:W3CDTF">2023-12-16T19:23:30Z</dcterms:created>
  <dcterms:modified xsi:type="dcterms:W3CDTF">2025-06-06T04:57:17Z</dcterms:modified>
</cp:coreProperties>
</file>